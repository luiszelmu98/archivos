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10" documentId="8_{E9AFCAC9-B2A1-4EC4-B527-4B3219212ADD}" xr6:coauthVersionLast="47" xr6:coauthVersionMax="47" xr10:uidLastSave="{3899B7EA-BFC0-43FA-87CD-AF05DAF62C49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703" r:id="rId2"/>
    <pivotCache cacheId="704" r:id="rId3"/>
  </pivotCaches>
  <extLst>
    <ext xmlns:x14="http://schemas.microsoft.com/office/spreadsheetml/2009/9/main" uri="{876F7934-8845-4945-9796-88D515C7AA90}">
      <x14:pivotCaches>
        <pivotCache cacheId="70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<sst xmlns="http://schemas.openxmlformats.org/spreadsheetml/2006/main" count="1979" uniqueCount="273">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</sst>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</cellXfs>
  <cellStyles count="1">
    <cellStyle name="Normal" xfId="0" builtinId="0"/>
  </cellStyles>
  <dxfs count="39"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0.491207523148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412066" count="479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0402656"/>
        <n v="1760379450"/>
        <n v="1760409448"/>
        <n v="1760358990"/>
        <n v="1760379352"/>
        <n v="1760362840"/>
        <n v="1760402150"/>
        <n v="1760411582"/>
        <n v="1760375764"/>
        <n v="1760376220"/>
        <n v="1760397008"/>
        <n v="1760409090"/>
        <n v="1760412066"/>
        <n v="1760409723"/>
        <n v="1760411183"/>
        <n v="1760363227"/>
        <n v="1760380040"/>
        <n v="1760385450"/>
        <n v="1760385522"/>
        <n v="1760376604"/>
        <n v="1760397199"/>
        <n v="1760380423"/>
        <n v="1760398853"/>
        <n v="1760361356"/>
        <n v="1760379832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17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IMBAREX SA"/>
        <s v="EMUSA PERU SAC"/>
        <s v="CLASS COMPLEMENTS SAC"/>
        <s v="INVERSIONES RUBIN S SAC"/>
        <s v="S &amp; C SOLUCIONES INTEGRALES SAC"/>
        <s v="PROCESADORA COMERCIALIZADORA MONTENEGRO SAC"/>
        <s v="SUDAMERICANA DE FIBRAS S A"/>
        <s v="MAPRIAL SAC"/>
        <s v="BIG ROCK S A 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0.49120879629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0.491206597224" createdVersion="3" refreshedVersion="8" minRefreshableVersion="3" recordCount="0" supportSubquery="1" supportAdvancedDrill="1" xr:uid="{9B76B142-AA7F-472C-AFA0-5F49EC39EB19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9576056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704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703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494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79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 v="1"/>
      <x v="454"/>
      <x/>
      <x/>
      <x v="9"/>
    </i>
    <i r="1">
      <x v="2"/>
      <x v="455"/>
      <x/>
      <x v="1"/>
      <x v="17"/>
    </i>
    <i r="2">
      <x v="456"/>
      <x/>
      <x v="1"/>
      <x v="17"/>
    </i>
    <i r="1">
      <x v="3"/>
      <x v="457"/>
      <x v="1"/>
      <x v="2"/>
      <x v="22"/>
    </i>
    <i r="2">
      <x v="458"/>
      <x/>
      <x v="1"/>
      <x v="208"/>
    </i>
    <i r="1">
      <x v="6"/>
      <x v="459"/>
      <x v="1"/>
      <x/>
      <x v="209"/>
    </i>
    <i r="2">
      <x v="460"/>
      <x/>
      <x v="1"/>
      <x v="42"/>
    </i>
    <i r="2">
      <x v="461"/>
      <x/>
      <x v="1"/>
      <x v="44"/>
    </i>
    <i r="1">
      <x v="8"/>
      <x v="462"/>
      <x/>
      <x/>
      <x v="63"/>
    </i>
    <i r="2">
      <x v="463"/>
      <x/>
      <x v="1"/>
      <x v="59"/>
    </i>
    <i r="2">
      <x v="464"/>
      <x/>
      <x v="1"/>
      <x v="53"/>
    </i>
    <i r="2">
      <x v="465"/>
      <x v="1"/>
      <x v="2"/>
      <x v="61"/>
    </i>
    <i r="2">
      <x v="466"/>
      <x v="1"/>
      <x v="2"/>
      <x v="61"/>
    </i>
    <i r="1">
      <x v="9"/>
      <x v="467"/>
      <x v="1"/>
      <x v="1"/>
      <x v="210"/>
    </i>
    <i r="2">
      <x v="468"/>
      <x v="1"/>
      <x/>
      <x v="211"/>
    </i>
    <i r="1">
      <x v="10"/>
      <x v="469"/>
      <x/>
      <x v="1"/>
      <x v="173"/>
    </i>
    <i r="2">
      <x v="470"/>
      <x v="1"/>
      <x/>
      <x v="212"/>
    </i>
    <i r="1">
      <x v="11"/>
      <x v="471"/>
      <x/>
      <x v="1"/>
      <x v="71"/>
    </i>
    <i r="2">
      <x v="472"/>
      <x/>
      <x v="1"/>
      <x v="71"/>
    </i>
    <i r="1">
      <x v="12"/>
      <x v="473"/>
      <x/>
      <x v="1"/>
      <x v="213"/>
    </i>
    <i r="2">
      <x v="474"/>
      <x/>
      <x v="1"/>
      <x v="213"/>
    </i>
    <i r="1">
      <x v="14"/>
      <x v="475"/>
      <x/>
      <x v="1"/>
      <x v="214"/>
    </i>
    <i r="2">
      <x v="476"/>
      <x/>
      <x v="1"/>
      <x v="184"/>
    </i>
    <i r="1">
      <x v="21"/>
      <x v="477"/>
      <x/>
      <x v="2"/>
      <x v="215"/>
    </i>
    <i r="2">
      <x v="478"/>
      <x v="1"/>
      <x v="2"/>
      <x v="216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">
      <pivotArea outline="0" collapsedLevelsAreSubtotals="1" fieldPosition="0"/>
    </format>
    <format dxfId="36">
      <pivotArea field="0" type="button" dataOnly="0" labelOnly="1" outline="0" axis="axisRow" fieldPosition="0"/>
    </format>
    <format dxfId="35">
      <pivotArea field="2" type="button" dataOnly="0" labelOnly="1" outline="0" axis="axisRow" fieldPosition="1"/>
    </format>
    <format dxfId="34">
      <pivotArea field="1" type="button" dataOnly="0" labelOnly="1" outline="0" axis="axisRow" fieldPosition="2"/>
    </format>
    <format dxfId="33">
      <pivotArea field="8" type="button" dataOnly="0" labelOnly="1" outline="0" axis="axisRow" fieldPosition="3"/>
    </format>
    <format dxfId="32">
      <pivotArea field="4" type="button" dataOnly="0" labelOnly="1" outline="0" axis="axisRow" fieldPosition="4"/>
    </format>
    <format dxfId="31">
      <pivotArea field="3" type="button" dataOnly="0" labelOnly="1" outline="0" axis="axisRow" fieldPosition="5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field="0" type="button" dataOnly="0" labelOnly="1" outline="0" axis="axisRow" fieldPosition="0"/>
    </format>
    <format dxfId="28">
      <pivotArea field="2" type="button" dataOnly="0" labelOnly="1" outline="0" axis="axisRow" fieldPosition="1"/>
    </format>
    <format dxfId="27">
      <pivotArea field="1" type="button" dataOnly="0" labelOnly="1" outline="0" axis="axisRow" fieldPosition="2"/>
    </format>
    <format dxfId="26">
      <pivotArea field="8" type="button" dataOnly="0" labelOnly="1" outline="0" axis="axisRow" fieldPosition="3"/>
    </format>
    <format dxfId="25">
      <pivotArea field="4" type="button" dataOnly="0" labelOnly="1" outline="0" axis="axisRow" fieldPosition="4"/>
    </format>
    <format dxfId="24">
      <pivotArea field="3" type="button" dataOnly="0" labelOnly="1" outline="0" axis="axisRow" fieldPosition="5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field="0" type="button" dataOnly="0" labelOnly="1" outline="0" axis="axisRow" fieldPosition="0"/>
    </format>
    <format dxfId="21">
      <pivotArea field="2" type="button" dataOnly="0" labelOnly="1" outline="0" axis="axisRow" fieldPosition="1"/>
    </format>
    <format dxfId="20">
      <pivotArea field="1" type="button" dataOnly="0" labelOnly="1" outline="0" axis="axisRow" fieldPosition="2"/>
    </format>
    <format dxfId="19">
      <pivotArea field="8" type="button" dataOnly="0" labelOnly="1" outline="0" axis="axisRow" fieldPosition="3"/>
    </format>
    <format dxfId="18">
      <pivotArea field="4" type="button" dataOnly="0" labelOnly="1" outline="0" axis="axisRow" fieldPosition="4"/>
    </format>
    <format dxfId="17">
      <pivotArea field="3" type="button" dataOnly="0" labelOnly="1" outline="0" axis="axisRow" fieldPosition="5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field="0" type="button" dataOnly="0" labelOnly="1" outline="0" axis="axisRow" fieldPosition="0"/>
    </format>
    <format dxfId="14">
      <pivotArea field="2" type="button" dataOnly="0" labelOnly="1" outline="0" axis="axisRow" fieldPosition="1"/>
    </format>
    <format dxfId="13">
      <pivotArea field="1" type="button" dataOnly="0" labelOnly="1" outline="0" axis="axisRow" fieldPosition="2"/>
    </format>
    <format dxfId="12">
      <pivotArea field="8" type="button" dataOnly="0" labelOnly="1" outline="0" axis="axisRow" fieldPosition="3"/>
    </format>
    <format dxfId="11">
      <pivotArea field="4" type="button" dataOnly="0" labelOnly="1" outline="0" axis="axisRow" fieldPosition="4"/>
    </format>
    <format dxfId="10">
      <pivotArea field="3" type="button" dataOnly="0" labelOnly="1" outline="0" axis="axisRow" fieldPosition="5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field="0" type="button" dataOnly="0" labelOnly="1" outline="0" axis="axisRow" fieldPosition="0"/>
    </format>
    <format dxfId="7">
      <pivotArea field="2" type="button" dataOnly="0" labelOnly="1" outline="0" axis="axisRow" fieldPosition="1"/>
    </format>
    <format dxfId="6">
      <pivotArea field="1" type="button" dataOnly="0" labelOnly="1" outline="0" axis="axisRow" fieldPosition="2"/>
    </format>
    <format dxfId="5">
      <pivotArea field="8" type="button" dataOnly="0" labelOnly="1" outline="0" axis="axisRow" fieldPosition="3"/>
    </format>
    <format dxfId="4">
      <pivotArea field="4" type="button" dataOnly="0" labelOnly="1" outline="0" axis="axisRow" fieldPosition="4"/>
    </format>
    <format dxfId="3">
      <pivotArea field="3" type="button" dataOnly="0" labelOnly="1" outline="0" axis="axisRow" fieldPosition="5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095760564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095760564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095760564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94"/>
  <sheetViews>
    <sheetView showGridLines="0" tabSelected="1" zoomScaleNormal="100" workbookViewId="0">
      <selection activeCell="F10" sqref="F10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46179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3">
      <c r="F8" s="14" t="s">
        <v>263</v>
      </c>
      <c r="G8" s="6">
        <f>+IFERROR(SUMIFS(G16:G999997,A16:A999997,202606),0)</f>
        <v>30.320415677339998</v>
      </c>
      <c r="H8" s="21" cm="1">
        <f t="array" ref="H8">IFERROR(SUMPRODUCT(G16:G1006,H16:H1006*(A16:A1006=202606))/SUMIFS(G16:G1006,A16:A1006,202606),0)</f>
        <v>1.6163212597830461</v>
      </c>
      <c r="I8"/>
      <c r="J8"/>
      <c r="K8"/>
    </row>
    <row r="9" spans="1:22" x14ac:dyDescent="0.3">
      <c r="F9" s="13" t="str">
        <f>+F8 &amp; " Simulado"</f>
        <v>Junio Simulado</v>
      </c>
      <c r="G9" s="6">
        <f>+G8+SUM(J16:J999997)</f>
        <v>33.320415677339994</v>
      </c>
      <c r="H9" s="21">
        <f>+IFERROR(((G8*H8)+(SUM(J16:J1006)*(SUMPRODUCT(J16:J1006,K16:K1006)/SUM(J16:J1006))))/(G8+SUM(J16:J1006)),H8)</f>
        <v>1.4888029292647778</v>
      </c>
      <c r="I9"/>
      <c r="J9"/>
      <c r="K9"/>
    </row>
    <row r="10" spans="1:22" x14ac:dyDescent="0.3">
      <c r="F10" s="13" t="s">
        <v>6</v>
      </c>
      <c r="G10" s="6">
        <f>+SUM(G16:G999997)</f>
        <v>614.96694099981028</v>
      </c>
      <c r="H10" s="21">
        <f>+SUMPRODUCT(G16:G1006,H16:H1006)/SUM(G16:G1006)</f>
        <v>1.6115712213040283</v>
      </c>
      <c r="I10"/>
      <c r="J10"/>
      <c r="K10"/>
    </row>
    <row r="11" spans="1:22" x14ac:dyDescent="0.3">
      <c r="F11" s="13" t="s">
        <v>7</v>
      </c>
      <c r="G11" s="6">
        <f>+G10+SUM(J16:J999997)</f>
        <v>617.96694099981028</v>
      </c>
      <c r="H11" s="21">
        <f>+IFERROR(((G10*H10)+(SUM(J16:J1006)*(SUMPRODUCT(J16:J1006,K16:K1006)/SUM(J16:J1006))))/(G10+SUM(J16:J1006)),H10)</f>
        <v>1.6047185672493296</v>
      </c>
      <c r="I11"/>
      <c r="J11"/>
      <c r="K11"/>
    </row>
    <row r="12" spans="1:22" x14ac:dyDescent="0.3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3">
      <c r="I13"/>
      <c r="J13"/>
      <c r="K13"/>
    </row>
    <row r="14" spans="1:22" x14ac:dyDescent="0.3">
      <c r="G14" s="10" t="s">
        <v>9</v>
      </c>
      <c r="H14" s="7"/>
      <c r="K14" s="10" t="s">
        <v>10</v>
      </c>
    </row>
    <row r="15" spans="1:22" s="7" customFormat="1" ht="28.8" x14ac:dyDescent="0.3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3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4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3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4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3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4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3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4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3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4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3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4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3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4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3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4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3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4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3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4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ht="15" x14ac:dyDescent="0.3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4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3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4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3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4">
        <v>0.55000000000000004</v>
      </c>
      <c r="S28" s="2" t="s">
        <v>43</v>
      </c>
      <c r="U28" t="s">
        <v>28</v>
      </c>
      <c r="V28">
        <v>1.55</v>
      </c>
    </row>
    <row r="29" spans="1:22" x14ac:dyDescent="0.3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4">
        <v>3.57</v>
      </c>
      <c r="S29" s="2" t="s">
        <v>35</v>
      </c>
      <c r="U29" t="s">
        <v>30</v>
      </c>
      <c r="V29">
        <v>1.6</v>
      </c>
    </row>
    <row r="30" spans="1:22" x14ac:dyDescent="0.3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4">
        <v>9.6</v>
      </c>
      <c r="S30" s="2" t="s">
        <v>36</v>
      </c>
      <c r="U30" t="s">
        <v>32</v>
      </c>
      <c r="V30">
        <v>1.75</v>
      </c>
    </row>
    <row r="31" spans="1:22" x14ac:dyDescent="0.3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4">
        <v>0.8</v>
      </c>
      <c r="S31" s="2" t="s">
        <v>45</v>
      </c>
      <c r="U31" t="s">
        <v>41</v>
      </c>
      <c r="V31">
        <v>2.4</v>
      </c>
    </row>
    <row r="32" spans="1:22" x14ac:dyDescent="0.3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4">
        <v>0.1</v>
      </c>
      <c r="S32" s="2" t="s">
        <v>29</v>
      </c>
    </row>
    <row r="33" spans="1:19" x14ac:dyDescent="0.3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4">
        <v>1.51</v>
      </c>
      <c r="S33" s="2" t="s">
        <v>42</v>
      </c>
    </row>
    <row r="34" spans="1:19" x14ac:dyDescent="0.3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4">
        <v>0.25</v>
      </c>
      <c r="S34" s="2" t="s">
        <v>96</v>
      </c>
    </row>
    <row r="35" spans="1:19" x14ac:dyDescent="0.3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4">
        <v>3.35</v>
      </c>
      <c r="S35" s="2" t="s">
        <v>255</v>
      </c>
    </row>
    <row r="36" spans="1:19" x14ac:dyDescent="0.3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4">
        <v>1.55</v>
      </c>
      <c r="S36" s="2" t="s">
        <v>44</v>
      </c>
    </row>
    <row r="37" spans="1:19" x14ac:dyDescent="0.3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4">
        <v>3.3</v>
      </c>
      <c r="S37" s="2" t="s">
        <v>46</v>
      </c>
    </row>
    <row r="38" spans="1:19" x14ac:dyDescent="0.3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4">
        <v>3.3</v>
      </c>
      <c r="S38" s="2" t="s">
        <v>47</v>
      </c>
    </row>
    <row r="39" spans="1:19" x14ac:dyDescent="0.3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4">
        <v>3.3</v>
      </c>
      <c r="S39" s="2" t="s">
        <v>48</v>
      </c>
    </row>
    <row r="40" spans="1:19" x14ac:dyDescent="0.3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4">
        <v>3.3</v>
      </c>
    </row>
    <row r="41" spans="1:19" x14ac:dyDescent="0.3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4">
        <v>3.3</v>
      </c>
    </row>
    <row r="42" spans="1:19" x14ac:dyDescent="0.3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4">
        <v>3.3</v>
      </c>
    </row>
    <row r="43" spans="1:19" x14ac:dyDescent="0.3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4">
        <v>3.3</v>
      </c>
    </row>
    <row r="44" spans="1:19" x14ac:dyDescent="0.3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4">
        <v>2.99</v>
      </c>
    </row>
    <row r="45" spans="1:19" x14ac:dyDescent="0.3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4">
        <v>2.4500000000000002</v>
      </c>
    </row>
    <row r="46" spans="1:19" x14ac:dyDescent="0.3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4">
        <v>4.4800000000000004</v>
      </c>
    </row>
    <row r="47" spans="1:19" x14ac:dyDescent="0.3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4">
        <v>1.3</v>
      </c>
    </row>
    <row r="48" spans="1:19" x14ac:dyDescent="0.3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4">
        <v>0.85</v>
      </c>
    </row>
    <row r="49" spans="1:8" x14ac:dyDescent="0.3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4">
        <v>4.4800000000000004</v>
      </c>
    </row>
    <row r="50" spans="1:8" x14ac:dyDescent="0.3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4">
        <v>1.8</v>
      </c>
    </row>
    <row r="51" spans="1:8" x14ac:dyDescent="0.3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4">
        <v>1</v>
      </c>
    </row>
    <row r="52" spans="1:8" x14ac:dyDescent="0.3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4">
        <v>5.5</v>
      </c>
    </row>
    <row r="53" spans="1:8" x14ac:dyDescent="0.3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4">
        <v>1</v>
      </c>
    </row>
    <row r="54" spans="1:8" x14ac:dyDescent="0.3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4">
        <v>3.15</v>
      </c>
    </row>
    <row r="55" spans="1:8" x14ac:dyDescent="0.3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4">
        <v>0.85</v>
      </c>
    </row>
    <row r="56" spans="1:8" x14ac:dyDescent="0.3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4">
        <v>0.85</v>
      </c>
    </row>
    <row r="57" spans="1:8" x14ac:dyDescent="0.3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4">
        <v>5.47</v>
      </c>
    </row>
    <row r="58" spans="1:8" x14ac:dyDescent="0.3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4">
        <v>1.9</v>
      </c>
    </row>
    <row r="59" spans="1:8" x14ac:dyDescent="0.3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4">
        <v>2.58</v>
      </c>
    </row>
    <row r="60" spans="1:8" x14ac:dyDescent="0.3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4">
        <v>1.95</v>
      </c>
    </row>
    <row r="61" spans="1:8" x14ac:dyDescent="0.3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4">
        <v>1.95</v>
      </c>
    </row>
    <row r="62" spans="1:8" x14ac:dyDescent="0.3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4">
        <v>3.33</v>
      </c>
    </row>
    <row r="63" spans="1:8" x14ac:dyDescent="0.3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4">
        <v>0.2</v>
      </c>
    </row>
    <row r="64" spans="1:8" x14ac:dyDescent="0.3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4">
        <v>0.39</v>
      </c>
    </row>
    <row r="65" spans="1:8" x14ac:dyDescent="0.3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4">
        <v>3.94</v>
      </c>
    </row>
    <row r="66" spans="1:8" x14ac:dyDescent="0.3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4">
        <v>10.42</v>
      </c>
    </row>
    <row r="67" spans="1:8" x14ac:dyDescent="0.3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4">
        <v>10.37</v>
      </c>
    </row>
    <row r="68" spans="1:8" x14ac:dyDescent="0.3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4">
        <v>0.5</v>
      </c>
    </row>
    <row r="69" spans="1:8" x14ac:dyDescent="0.3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4">
        <v>1.2</v>
      </c>
    </row>
    <row r="70" spans="1:8" x14ac:dyDescent="0.3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4">
        <v>1.2</v>
      </c>
    </row>
    <row r="71" spans="1:8" x14ac:dyDescent="0.3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4">
        <v>1.2</v>
      </c>
    </row>
    <row r="72" spans="1:8" x14ac:dyDescent="0.3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4">
        <v>1.2</v>
      </c>
    </row>
    <row r="73" spans="1:8" x14ac:dyDescent="0.3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4">
        <v>1.2</v>
      </c>
    </row>
    <row r="74" spans="1:8" x14ac:dyDescent="0.3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4">
        <v>0.2</v>
      </c>
    </row>
    <row r="75" spans="1:8" x14ac:dyDescent="0.3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4">
        <v>2.35</v>
      </c>
    </row>
    <row r="76" spans="1:8" x14ac:dyDescent="0.3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4">
        <v>1.1499999999999999</v>
      </c>
    </row>
    <row r="77" spans="1:8" x14ac:dyDescent="0.3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4">
        <v>4.6900000000000004</v>
      </c>
    </row>
    <row r="78" spans="1:8" x14ac:dyDescent="0.3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4">
        <v>0.49</v>
      </c>
    </row>
    <row r="79" spans="1:8" x14ac:dyDescent="0.3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4">
        <v>0.5</v>
      </c>
    </row>
    <row r="80" spans="1:8" x14ac:dyDescent="0.3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4">
        <v>3.95</v>
      </c>
    </row>
    <row r="81" spans="1:8" x14ac:dyDescent="0.3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4">
        <v>3.95</v>
      </c>
    </row>
    <row r="82" spans="1:8" x14ac:dyDescent="0.3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4">
        <v>1.1499999999999999</v>
      </c>
    </row>
    <row r="83" spans="1:8" x14ac:dyDescent="0.3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4">
        <v>2.8</v>
      </c>
    </row>
    <row r="84" spans="1:8" x14ac:dyDescent="0.3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4">
        <v>0.5</v>
      </c>
    </row>
    <row r="85" spans="1:8" x14ac:dyDescent="0.3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4">
        <v>2.75</v>
      </c>
    </row>
    <row r="86" spans="1:8" x14ac:dyDescent="0.3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4">
        <v>6.15</v>
      </c>
    </row>
    <row r="87" spans="1:8" x14ac:dyDescent="0.3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4">
        <v>2.7</v>
      </c>
    </row>
    <row r="88" spans="1:8" x14ac:dyDescent="0.3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4">
        <v>1</v>
      </c>
    </row>
    <row r="89" spans="1:8" x14ac:dyDescent="0.3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4">
        <v>0.6</v>
      </c>
    </row>
    <row r="90" spans="1:8" x14ac:dyDescent="0.3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4">
        <v>0.6</v>
      </c>
    </row>
    <row r="91" spans="1:8" x14ac:dyDescent="0.3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4">
        <v>0.61</v>
      </c>
    </row>
    <row r="92" spans="1:8" x14ac:dyDescent="0.3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4">
        <v>0.6</v>
      </c>
    </row>
    <row r="93" spans="1:8" x14ac:dyDescent="0.3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4">
        <v>2.2000000000000002</v>
      </c>
    </row>
    <row r="94" spans="1:8" x14ac:dyDescent="0.3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4">
        <v>0.6</v>
      </c>
    </row>
    <row r="95" spans="1:8" x14ac:dyDescent="0.3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4">
        <v>1.1000000000000001</v>
      </c>
    </row>
    <row r="96" spans="1:8" x14ac:dyDescent="0.3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4">
        <v>1.1000000000000001</v>
      </c>
    </row>
    <row r="97" spans="1:8" x14ac:dyDescent="0.3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4">
        <v>2.5499999999999998</v>
      </c>
    </row>
    <row r="98" spans="1:8" x14ac:dyDescent="0.3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4">
        <v>1.9</v>
      </c>
    </row>
    <row r="99" spans="1:8" x14ac:dyDescent="0.3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4">
        <v>5.55</v>
      </c>
    </row>
    <row r="100" spans="1:8" x14ac:dyDescent="0.3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4">
        <v>4.43</v>
      </c>
    </row>
    <row r="101" spans="1:8" x14ac:dyDescent="0.3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4">
        <v>4.18</v>
      </c>
    </row>
    <row r="102" spans="1:8" x14ac:dyDescent="0.3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4">
        <v>4.18</v>
      </c>
    </row>
    <row r="103" spans="1:8" x14ac:dyDescent="0.3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4">
        <v>1.9</v>
      </c>
    </row>
    <row r="104" spans="1:8" x14ac:dyDescent="0.3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4">
        <v>1.9</v>
      </c>
    </row>
    <row r="105" spans="1:8" x14ac:dyDescent="0.3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4">
        <v>4.25</v>
      </c>
    </row>
    <row r="106" spans="1:8" x14ac:dyDescent="0.3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4">
        <v>4.25</v>
      </c>
    </row>
    <row r="107" spans="1:8" x14ac:dyDescent="0.3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4">
        <v>4.5</v>
      </c>
    </row>
    <row r="108" spans="1:8" x14ac:dyDescent="0.3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4">
        <v>0.95</v>
      </c>
    </row>
    <row r="109" spans="1:8" x14ac:dyDescent="0.3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4">
        <v>4.5</v>
      </c>
    </row>
    <row r="110" spans="1:8" x14ac:dyDescent="0.3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4">
        <v>4.25</v>
      </c>
    </row>
    <row r="111" spans="1:8" x14ac:dyDescent="0.3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4">
        <v>4.25</v>
      </c>
    </row>
    <row r="112" spans="1:8" x14ac:dyDescent="0.3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4">
        <v>0.7</v>
      </c>
    </row>
    <row r="113" spans="1:8" x14ac:dyDescent="0.3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4">
        <v>0.51</v>
      </c>
    </row>
    <row r="114" spans="1:8" x14ac:dyDescent="0.3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4">
        <v>5.55</v>
      </c>
    </row>
    <row r="115" spans="1:8" x14ac:dyDescent="0.3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4">
        <v>4.8</v>
      </c>
    </row>
    <row r="116" spans="1:8" x14ac:dyDescent="0.3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4">
        <v>4.5</v>
      </c>
    </row>
    <row r="117" spans="1:8" x14ac:dyDescent="0.3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4">
        <v>4.25</v>
      </c>
    </row>
    <row r="118" spans="1:8" x14ac:dyDescent="0.3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4">
        <v>4.25</v>
      </c>
    </row>
    <row r="119" spans="1:8" x14ac:dyDescent="0.3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4">
        <v>2.35</v>
      </c>
    </row>
    <row r="120" spans="1:8" x14ac:dyDescent="0.3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4">
        <v>4.9000000000000004</v>
      </c>
    </row>
    <row r="121" spans="1:8" x14ac:dyDescent="0.3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4">
        <v>2.5499999999999998</v>
      </c>
    </row>
    <row r="122" spans="1:8" x14ac:dyDescent="0.3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4">
        <v>1.3</v>
      </c>
    </row>
    <row r="123" spans="1:8" x14ac:dyDescent="0.3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4">
        <v>2.35</v>
      </c>
    </row>
    <row r="124" spans="1:8" x14ac:dyDescent="0.3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4">
        <v>4.25</v>
      </c>
    </row>
    <row r="125" spans="1:8" x14ac:dyDescent="0.3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4">
        <v>4.25</v>
      </c>
    </row>
    <row r="126" spans="1:8" x14ac:dyDescent="0.3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4">
        <v>4.25</v>
      </c>
    </row>
    <row r="127" spans="1:8" x14ac:dyDescent="0.3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4">
        <v>5.65</v>
      </c>
    </row>
    <row r="128" spans="1:8" x14ac:dyDescent="0.3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4">
        <v>5.65</v>
      </c>
    </row>
    <row r="129" spans="1:8" x14ac:dyDescent="0.3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4">
        <v>5.65</v>
      </c>
    </row>
    <row r="130" spans="1:8" x14ac:dyDescent="0.3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4">
        <v>5.65</v>
      </c>
    </row>
    <row r="131" spans="1:8" x14ac:dyDescent="0.3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4">
        <v>4</v>
      </c>
    </row>
    <row r="132" spans="1:8" x14ac:dyDescent="0.3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4">
        <v>4</v>
      </c>
    </row>
    <row r="133" spans="1:8" x14ac:dyDescent="0.3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4">
        <v>3.75</v>
      </c>
    </row>
    <row r="134" spans="1:8" x14ac:dyDescent="0.3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4">
        <v>3.75</v>
      </c>
    </row>
    <row r="135" spans="1:8" x14ac:dyDescent="0.3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4">
        <v>1.2</v>
      </c>
    </row>
    <row r="136" spans="1:8" x14ac:dyDescent="0.3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4">
        <v>8</v>
      </c>
    </row>
    <row r="137" spans="1:8" x14ac:dyDescent="0.3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4">
        <v>3.19</v>
      </c>
    </row>
    <row r="138" spans="1:8" x14ac:dyDescent="0.3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4">
        <v>6.1</v>
      </c>
    </row>
    <row r="139" spans="1:8" x14ac:dyDescent="0.3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4">
        <v>1.45</v>
      </c>
    </row>
    <row r="140" spans="1:8" x14ac:dyDescent="0.3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4">
        <v>1.45</v>
      </c>
    </row>
    <row r="141" spans="1:8" x14ac:dyDescent="0.3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4">
        <v>7.95</v>
      </c>
    </row>
    <row r="142" spans="1:8" x14ac:dyDescent="0.3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4">
        <v>1.98</v>
      </c>
    </row>
    <row r="143" spans="1:8" x14ac:dyDescent="0.3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4">
        <v>3.45</v>
      </c>
    </row>
    <row r="144" spans="1:8" x14ac:dyDescent="0.3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4">
        <v>6.55</v>
      </c>
    </row>
    <row r="145" spans="1:8" x14ac:dyDescent="0.3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4">
        <v>3.9</v>
      </c>
    </row>
    <row r="146" spans="1:8" x14ac:dyDescent="0.3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4">
        <v>1.5</v>
      </c>
    </row>
    <row r="147" spans="1:8" x14ac:dyDescent="0.3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4">
        <v>5</v>
      </c>
    </row>
    <row r="148" spans="1:8" x14ac:dyDescent="0.3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4">
        <v>3.8</v>
      </c>
    </row>
    <row r="149" spans="1:8" x14ac:dyDescent="0.3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4">
        <v>2.52</v>
      </c>
    </row>
    <row r="150" spans="1:8" x14ac:dyDescent="0.3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4">
        <v>2.5499999999999998</v>
      </c>
    </row>
    <row r="151" spans="1:8" x14ac:dyDescent="0.3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4">
        <v>3.6</v>
      </c>
    </row>
    <row r="152" spans="1:8" x14ac:dyDescent="0.3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4">
        <v>3.6</v>
      </c>
    </row>
    <row r="153" spans="1:8" x14ac:dyDescent="0.3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4">
        <v>3.6</v>
      </c>
    </row>
    <row r="154" spans="1:8" x14ac:dyDescent="0.3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4">
        <v>5.15</v>
      </c>
    </row>
    <row r="155" spans="1:8" x14ac:dyDescent="0.3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4">
        <v>1.3</v>
      </c>
    </row>
    <row r="156" spans="1:8" x14ac:dyDescent="0.3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4">
        <v>5.15</v>
      </c>
    </row>
    <row r="157" spans="1:8" x14ac:dyDescent="0.3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4">
        <v>3.65</v>
      </c>
    </row>
    <row r="158" spans="1:8" x14ac:dyDescent="0.3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4">
        <v>4.55</v>
      </c>
    </row>
    <row r="159" spans="1:8" x14ac:dyDescent="0.3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4">
        <v>1.1000000000000001</v>
      </c>
    </row>
    <row r="160" spans="1:8" x14ac:dyDescent="0.3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4">
        <v>1.7</v>
      </c>
    </row>
    <row r="161" spans="1:8" x14ac:dyDescent="0.3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4">
        <v>3.65</v>
      </c>
    </row>
    <row r="162" spans="1:8" x14ac:dyDescent="0.3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4">
        <v>1</v>
      </c>
    </row>
    <row r="163" spans="1:8" x14ac:dyDescent="0.3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4">
        <v>3.5</v>
      </c>
    </row>
    <row r="164" spans="1:8" x14ac:dyDescent="0.3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4">
        <v>0.7</v>
      </c>
    </row>
    <row r="165" spans="1:8" x14ac:dyDescent="0.3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4">
        <v>8.1999999999999993</v>
      </c>
    </row>
    <row r="166" spans="1:8" x14ac:dyDescent="0.3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4">
        <v>3.5</v>
      </c>
    </row>
    <row r="167" spans="1:8" x14ac:dyDescent="0.3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4">
        <v>0.2</v>
      </c>
    </row>
    <row r="168" spans="1:8" x14ac:dyDescent="0.3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4">
        <v>3.65</v>
      </c>
    </row>
    <row r="169" spans="1:8" x14ac:dyDescent="0.3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4">
        <v>1.55</v>
      </c>
    </row>
    <row r="170" spans="1:8" x14ac:dyDescent="0.3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4">
        <v>1.55</v>
      </c>
    </row>
    <row r="171" spans="1:8" x14ac:dyDescent="0.3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4">
        <v>3.5</v>
      </c>
    </row>
    <row r="172" spans="1:8" x14ac:dyDescent="0.3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4">
        <v>1.1000000000000001</v>
      </c>
    </row>
    <row r="173" spans="1:8" x14ac:dyDescent="0.3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4">
        <v>1.1000000000000001</v>
      </c>
    </row>
    <row r="174" spans="1:8" x14ac:dyDescent="0.3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4">
        <v>1.05</v>
      </c>
    </row>
    <row r="175" spans="1:8" x14ac:dyDescent="0.3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4">
        <v>1.1000000000000001</v>
      </c>
    </row>
    <row r="176" spans="1:8" x14ac:dyDescent="0.3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4">
        <v>1.1000000000000001</v>
      </c>
    </row>
    <row r="177" spans="1:8" x14ac:dyDescent="0.3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4">
        <v>1.1000000000000001</v>
      </c>
    </row>
    <row r="178" spans="1:8" x14ac:dyDescent="0.3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4">
        <v>1.1000000000000001</v>
      </c>
    </row>
    <row r="179" spans="1:8" x14ac:dyDescent="0.3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4">
        <v>4.1500000000000004</v>
      </c>
    </row>
    <row r="180" spans="1:8" x14ac:dyDescent="0.3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4">
        <v>4.7</v>
      </c>
    </row>
    <row r="181" spans="1:8" x14ac:dyDescent="0.3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4">
        <v>0.2752</v>
      </c>
    </row>
    <row r="182" spans="1:8" x14ac:dyDescent="0.3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4">
        <v>2.2999999999999998</v>
      </c>
    </row>
    <row r="183" spans="1:8" x14ac:dyDescent="0.3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4">
        <v>4.55</v>
      </c>
    </row>
    <row r="184" spans="1:8" x14ac:dyDescent="0.3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4">
        <v>0.6</v>
      </c>
    </row>
    <row r="185" spans="1:8" x14ac:dyDescent="0.3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4">
        <v>2.95</v>
      </c>
    </row>
    <row r="186" spans="1:8" x14ac:dyDescent="0.3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4">
        <v>0.6</v>
      </c>
    </row>
    <row r="187" spans="1:8" x14ac:dyDescent="0.3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4">
        <v>3.55</v>
      </c>
    </row>
    <row r="188" spans="1:8" x14ac:dyDescent="0.3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4">
        <v>4.1500000000000004</v>
      </c>
    </row>
    <row r="189" spans="1:8" x14ac:dyDescent="0.3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4">
        <v>0.25</v>
      </c>
    </row>
    <row r="190" spans="1:8" x14ac:dyDescent="0.3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4">
        <v>0.25</v>
      </c>
    </row>
    <row r="191" spans="1:8" x14ac:dyDescent="0.3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4">
        <v>3.66</v>
      </c>
    </row>
    <row r="192" spans="1:8" x14ac:dyDescent="0.3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4">
        <v>0.48</v>
      </c>
    </row>
    <row r="193" spans="1:8" x14ac:dyDescent="0.3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4">
        <v>0.48</v>
      </c>
    </row>
    <row r="194" spans="1:8" x14ac:dyDescent="0.3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4">
        <v>1</v>
      </c>
    </row>
    <row r="195" spans="1:8" x14ac:dyDescent="0.3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4">
        <v>0.5</v>
      </c>
    </row>
    <row r="196" spans="1:8" x14ac:dyDescent="0.3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4">
        <v>1</v>
      </c>
    </row>
    <row r="197" spans="1:8" x14ac:dyDescent="0.3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4">
        <v>2.4</v>
      </c>
    </row>
    <row r="198" spans="1:8" x14ac:dyDescent="0.3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4">
        <v>2.4</v>
      </c>
    </row>
    <row r="199" spans="1:8" x14ac:dyDescent="0.3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4">
        <v>4.6500000000000004</v>
      </c>
    </row>
    <row r="200" spans="1:8" x14ac:dyDescent="0.3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4">
        <v>1.1499999999999999</v>
      </c>
    </row>
    <row r="201" spans="1:8" x14ac:dyDescent="0.3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4">
        <v>2.95</v>
      </c>
    </row>
    <row r="202" spans="1:8" x14ac:dyDescent="0.3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4">
        <v>2.95</v>
      </c>
    </row>
    <row r="203" spans="1:8" x14ac:dyDescent="0.3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4">
        <v>2.95</v>
      </c>
    </row>
    <row r="204" spans="1:8" x14ac:dyDescent="0.3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4">
        <v>4.6500000000000004</v>
      </c>
    </row>
    <row r="205" spans="1:8" x14ac:dyDescent="0.3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4">
        <v>3.05</v>
      </c>
    </row>
    <row r="206" spans="1:8" x14ac:dyDescent="0.3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4">
        <v>2.2000000000000002</v>
      </c>
    </row>
    <row r="207" spans="1:8" x14ac:dyDescent="0.3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4">
        <v>2.2000000000000002</v>
      </c>
    </row>
    <row r="208" spans="1:8" x14ac:dyDescent="0.3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4">
        <v>2.2000000000000002</v>
      </c>
    </row>
    <row r="209" spans="1:8" x14ac:dyDescent="0.3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4">
        <v>5.5</v>
      </c>
    </row>
    <row r="210" spans="1:8" x14ac:dyDescent="0.3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4">
        <v>3.3</v>
      </c>
    </row>
    <row r="211" spans="1:8" x14ac:dyDescent="0.3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4">
        <v>1.1499999999999999</v>
      </c>
    </row>
    <row r="212" spans="1:8" x14ac:dyDescent="0.3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4">
        <v>2.35</v>
      </c>
    </row>
    <row r="213" spans="1:8" x14ac:dyDescent="0.3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4">
        <v>3.8</v>
      </c>
    </row>
    <row r="214" spans="1:8" x14ac:dyDescent="0.3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4">
        <v>0.4</v>
      </c>
    </row>
    <row r="215" spans="1:8" x14ac:dyDescent="0.3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4">
        <v>3.55</v>
      </c>
    </row>
    <row r="216" spans="1:8" x14ac:dyDescent="0.3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4">
        <v>0.8</v>
      </c>
    </row>
    <row r="217" spans="1:8" x14ac:dyDescent="0.3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4">
        <v>0.35</v>
      </c>
    </row>
    <row r="218" spans="1:8" x14ac:dyDescent="0.3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4">
        <v>0.5</v>
      </c>
    </row>
    <row r="219" spans="1:8" x14ac:dyDescent="0.3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4">
        <v>0.5</v>
      </c>
    </row>
    <row r="220" spans="1:8" x14ac:dyDescent="0.3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4">
        <v>1.35</v>
      </c>
    </row>
    <row r="221" spans="1:8" x14ac:dyDescent="0.3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4">
        <v>3.83</v>
      </c>
    </row>
    <row r="222" spans="1:8" x14ac:dyDescent="0.3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4">
        <v>3.83</v>
      </c>
    </row>
    <row r="223" spans="1:8" x14ac:dyDescent="0.3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4">
        <v>3.83</v>
      </c>
    </row>
    <row r="224" spans="1:8" x14ac:dyDescent="0.3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4">
        <v>3.83</v>
      </c>
    </row>
    <row r="225" spans="1:8" x14ac:dyDescent="0.3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4">
        <v>1.35</v>
      </c>
    </row>
    <row r="226" spans="1:8" x14ac:dyDescent="0.3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4">
        <v>3.3</v>
      </c>
    </row>
    <row r="227" spans="1:8" x14ac:dyDescent="0.3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4">
        <v>0.55000000000000004</v>
      </c>
    </row>
    <row r="228" spans="1:8" x14ac:dyDescent="0.3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4">
        <v>1.08</v>
      </c>
    </row>
    <row r="229" spans="1:8" x14ac:dyDescent="0.3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4">
        <v>0.5</v>
      </c>
    </row>
    <row r="230" spans="1:8" x14ac:dyDescent="0.3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4">
        <v>2.7</v>
      </c>
    </row>
    <row r="231" spans="1:8" x14ac:dyDescent="0.3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4">
        <v>2.35</v>
      </c>
    </row>
    <row r="232" spans="1:8" x14ac:dyDescent="0.3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4">
        <v>0.85</v>
      </c>
    </row>
    <row r="233" spans="1:8" x14ac:dyDescent="0.3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4">
        <v>2.1800000000000002</v>
      </c>
    </row>
    <row r="234" spans="1:8" x14ac:dyDescent="0.3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4">
        <v>0.5</v>
      </c>
    </row>
    <row r="235" spans="1:8" x14ac:dyDescent="0.3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4">
        <v>1.25</v>
      </c>
    </row>
    <row r="236" spans="1:8" x14ac:dyDescent="0.3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4">
        <v>2.15</v>
      </c>
    </row>
    <row r="237" spans="1:8" x14ac:dyDescent="0.3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4">
        <v>0.5</v>
      </c>
    </row>
    <row r="238" spans="1:8" x14ac:dyDescent="0.3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4">
        <v>4.1500000000000004</v>
      </c>
    </row>
    <row r="239" spans="1:8" x14ac:dyDescent="0.3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4">
        <v>3.34</v>
      </c>
    </row>
    <row r="240" spans="1:8" x14ac:dyDescent="0.3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4">
        <v>3.34</v>
      </c>
    </row>
    <row r="241" spans="1:8" x14ac:dyDescent="0.3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4">
        <v>0.7</v>
      </c>
    </row>
    <row r="242" spans="1:8" x14ac:dyDescent="0.3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4">
        <v>3.34</v>
      </c>
    </row>
    <row r="243" spans="1:8" x14ac:dyDescent="0.3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4">
        <v>1.51</v>
      </c>
    </row>
    <row r="244" spans="1:8" x14ac:dyDescent="0.3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4">
        <v>0.1</v>
      </c>
    </row>
    <row r="245" spans="1:8" x14ac:dyDescent="0.3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4">
        <v>1.95</v>
      </c>
    </row>
    <row r="246" spans="1:8" x14ac:dyDescent="0.3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4">
        <v>1</v>
      </c>
    </row>
    <row r="247" spans="1:8" x14ac:dyDescent="0.3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4">
        <v>1.56</v>
      </c>
    </row>
    <row r="248" spans="1:8" x14ac:dyDescent="0.3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4">
        <v>1.76</v>
      </c>
    </row>
    <row r="249" spans="1:8" x14ac:dyDescent="0.3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4">
        <v>0.6</v>
      </c>
    </row>
    <row r="250" spans="1:8" x14ac:dyDescent="0.3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4">
        <v>2.76</v>
      </c>
    </row>
    <row r="251" spans="1:8" x14ac:dyDescent="0.3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4">
        <v>1.24</v>
      </c>
    </row>
    <row r="252" spans="1:8" x14ac:dyDescent="0.3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4">
        <v>2.3199999999999998</v>
      </c>
    </row>
    <row r="253" spans="1:8" x14ac:dyDescent="0.3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4">
        <v>1.24</v>
      </c>
    </row>
    <row r="254" spans="1:8" x14ac:dyDescent="0.3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4">
        <v>1.86</v>
      </c>
    </row>
    <row r="255" spans="1:8" x14ac:dyDescent="0.3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4">
        <v>3.57</v>
      </c>
    </row>
    <row r="256" spans="1:8" x14ac:dyDescent="0.3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4">
        <v>0.3</v>
      </c>
    </row>
    <row r="257" spans="1:8" x14ac:dyDescent="0.3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4">
        <v>2.76</v>
      </c>
    </row>
    <row r="258" spans="1:8" x14ac:dyDescent="0.3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4">
        <v>1.24</v>
      </c>
    </row>
    <row r="259" spans="1:8" x14ac:dyDescent="0.3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4">
        <v>1.86</v>
      </c>
    </row>
    <row r="260" spans="1:8" x14ac:dyDescent="0.3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4">
        <v>3.3</v>
      </c>
    </row>
    <row r="261" spans="1:8" x14ac:dyDescent="0.3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4">
        <v>3.3</v>
      </c>
    </row>
    <row r="262" spans="1:8" x14ac:dyDescent="0.3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4">
        <v>1.5</v>
      </c>
    </row>
    <row r="263" spans="1:8" x14ac:dyDescent="0.3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4">
        <v>3.25</v>
      </c>
    </row>
    <row r="264" spans="1:8" x14ac:dyDescent="0.3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4">
        <v>2.94</v>
      </c>
    </row>
    <row r="265" spans="1:8" x14ac:dyDescent="0.3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4">
        <v>2.95</v>
      </c>
    </row>
    <row r="266" spans="1:8" x14ac:dyDescent="0.3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4">
        <v>0.7</v>
      </c>
    </row>
    <row r="267" spans="1:8" x14ac:dyDescent="0.3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4">
        <v>2.94</v>
      </c>
    </row>
    <row r="268" spans="1:8" x14ac:dyDescent="0.3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4">
        <v>2.94</v>
      </c>
    </row>
    <row r="269" spans="1:8" x14ac:dyDescent="0.3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4">
        <v>4.8899999999999997</v>
      </c>
    </row>
    <row r="270" spans="1:8" x14ac:dyDescent="0.3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4">
        <v>2.94</v>
      </c>
    </row>
    <row r="271" spans="1:8" x14ac:dyDescent="0.3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4">
        <v>3.35</v>
      </c>
    </row>
    <row r="272" spans="1:8" x14ac:dyDescent="0.3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4">
        <v>2.94</v>
      </c>
    </row>
    <row r="273" spans="1:8" x14ac:dyDescent="0.3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4">
        <v>2.94</v>
      </c>
    </row>
    <row r="274" spans="1:8" x14ac:dyDescent="0.3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4">
        <v>2.12</v>
      </c>
    </row>
    <row r="275" spans="1:8" x14ac:dyDescent="0.3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4">
        <v>0.35</v>
      </c>
    </row>
    <row r="276" spans="1:8" x14ac:dyDescent="0.3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4">
        <v>0.35</v>
      </c>
    </row>
    <row r="277" spans="1:8" x14ac:dyDescent="0.3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4">
        <v>2.15</v>
      </c>
    </row>
    <row r="278" spans="1:8" x14ac:dyDescent="0.3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4">
        <v>4.43</v>
      </c>
    </row>
    <row r="279" spans="1:8" x14ac:dyDescent="0.3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4">
        <v>4.25</v>
      </c>
    </row>
    <row r="280" spans="1:8" x14ac:dyDescent="0.3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4">
        <v>5.55</v>
      </c>
    </row>
    <row r="281" spans="1:8" x14ac:dyDescent="0.3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4">
        <v>18.649999999999999</v>
      </c>
    </row>
    <row r="282" spans="1:8" x14ac:dyDescent="0.3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4">
        <v>0.85</v>
      </c>
    </row>
    <row r="283" spans="1:8" x14ac:dyDescent="0.3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4">
        <v>0.85</v>
      </c>
    </row>
    <row r="284" spans="1:8" x14ac:dyDescent="0.3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4">
        <v>2.7</v>
      </c>
    </row>
    <row r="285" spans="1:8" x14ac:dyDescent="0.3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4">
        <v>3.33</v>
      </c>
    </row>
    <row r="286" spans="1:8" x14ac:dyDescent="0.3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4">
        <v>2.7</v>
      </c>
    </row>
    <row r="287" spans="1:8" x14ac:dyDescent="0.3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4">
        <v>0.85</v>
      </c>
    </row>
    <row r="288" spans="1:8" x14ac:dyDescent="0.3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4">
        <v>3.55</v>
      </c>
    </row>
    <row r="289" spans="1:8" x14ac:dyDescent="0.3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4">
        <v>4.7</v>
      </c>
    </row>
    <row r="290" spans="1:8" x14ac:dyDescent="0.3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4">
        <v>4.5999999999999996</v>
      </c>
    </row>
    <row r="291" spans="1:8" x14ac:dyDescent="0.3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4">
        <v>4.7</v>
      </c>
    </row>
    <row r="292" spans="1:8" x14ac:dyDescent="0.3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4">
        <v>4.7</v>
      </c>
    </row>
    <row r="293" spans="1:8" x14ac:dyDescent="0.3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4">
        <v>4.8</v>
      </c>
    </row>
    <row r="294" spans="1:8" x14ac:dyDescent="0.3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4">
        <v>0.9</v>
      </c>
    </row>
    <row r="295" spans="1:8" x14ac:dyDescent="0.3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4">
        <v>0.9</v>
      </c>
    </row>
    <row r="296" spans="1:8" x14ac:dyDescent="0.3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4">
        <v>4.04</v>
      </c>
    </row>
    <row r="297" spans="1:8" x14ac:dyDescent="0.3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4">
        <v>0.49</v>
      </c>
    </row>
    <row r="298" spans="1:8" x14ac:dyDescent="0.3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4">
        <v>2.94</v>
      </c>
    </row>
    <row r="299" spans="1:8" x14ac:dyDescent="0.3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4">
        <v>4.6900000000000004</v>
      </c>
    </row>
    <row r="300" spans="1:8" x14ac:dyDescent="0.3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4">
        <v>3.7</v>
      </c>
    </row>
    <row r="301" spans="1:8" x14ac:dyDescent="0.3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4">
        <v>4.6900000000000004</v>
      </c>
    </row>
    <row r="302" spans="1:8" x14ac:dyDescent="0.3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4">
        <v>3.7</v>
      </c>
    </row>
    <row r="303" spans="1:8" x14ac:dyDescent="0.3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4">
        <v>18.649999999999999</v>
      </c>
    </row>
    <row r="304" spans="1:8" x14ac:dyDescent="0.3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4">
        <v>0.9</v>
      </c>
    </row>
    <row r="305" spans="1:8" x14ac:dyDescent="0.3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4">
        <v>4.84</v>
      </c>
    </row>
    <row r="306" spans="1:8" x14ac:dyDescent="0.3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4">
        <v>1.1299999999999999</v>
      </c>
    </row>
    <row r="307" spans="1:8" x14ac:dyDescent="0.3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4">
        <v>1</v>
      </c>
    </row>
    <row r="308" spans="1:8" x14ac:dyDescent="0.3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4">
        <v>1.1499999999999999</v>
      </c>
    </row>
    <row r="309" spans="1:8" x14ac:dyDescent="0.3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4">
        <v>0.5</v>
      </c>
    </row>
    <row r="310" spans="1:8" x14ac:dyDescent="0.3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4">
        <v>0.5</v>
      </c>
    </row>
    <row r="311" spans="1:8" x14ac:dyDescent="0.3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4">
        <v>2.95</v>
      </c>
    </row>
    <row r="312" spans="1:8" x14ac:dyDescent="0.3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4">
        <v>1.8</v>
      </c>
    </row>
    <row r="313" spans="1:8" x14ac:dyDescent="0.3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4">
        <v>1.8</v>
      </c>
    </row>
    <row r="314" spans="1:8" x14ac:dyDescent="0.3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4">
        <v>1.1499999999999999</v>
      </c>
    </row>
    <row r="315" spans="1:8" x14ac:dyDescent="0.3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4">
        <v>2.8</v>
      </c>
    </row>
    <row r="316" spans="1:8" x14ac:dyDescent="0.3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4">
        <v>1.1499999999999999</v>
      </c>
    </row>
    <row r="317" spans="1:8" x14ac:dyDescent="0.3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4">
        <v>0.5</v>
      </c>
    </row>
    <row r="318" spans="1:8" x14ac:dyDescent="0.3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4">
        <v>3.15</v>
      </c>
    </row>
    <row r="319" spans="1:8" x14ac:dyDescent="0.3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4">
        <v>2.75</v>
      </c>
    </row>
    <row r="320" spans="1:8" x14ac:dyDescent="0.3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4">
        <v>2.9</v>
      </c>
    </row>
    <row r="321" spans="1:8" x14ac:dyDescent="0.3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4">
        <v>0.6</v>
      </c>
    </row>
    <row r="322" spans="1:8" x14ac:dyDescent="0.3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4">
        <v>1.1000000000000001</v>
      </c>
    </row>
    <row r="323" spans="1:8" x14ac:dyDescent="0.3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4">
        <v>1.1000000000000001</v>
      </c>
    </row>
    <row r="324" spans="1:8" x14ac:dyDescent="0.3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4">
        <v>2.0699999999999998</v>
      </c>
    </row>
    <row r="325" spans="1:8" x14ac:dyDescent="0.3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4">
        <v>3.1</v>
      </c>
    </row>
    <row r="326" spans="1:8" x14ac:dyDescent="0.3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4">
        <v>1.8</v>
      </c>
    </row>
    <row r="327" spans="1:8" x14ac:dyDescent="0.3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4">
        <v>4.9000000000000004</v>
      </c>
    </row>
    <row r="328" spans="1:8" x14ac:dyDescent="0.3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4">
        <v>1.1000000000000001</v>
      </c>
    </row>
    <row r="329" spans="1:8" x14ac:dyDescent="0.3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4">
        <v>0.6</v>
      </c>
    </row>
    <row r="330" spans="1:8" x14ac:dyDescent="0.3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4">
        <v>1.2</v>
      </c>
    </row>
    <row r="331" spans="1:8" x14ac:dyDescent="0.3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4">
        <v>1.2</v>
      </c>
    </row>
    <row r="332" spans="1:8" x14ac:dyDescent="0.3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4">
        <v>1.2</v>
      </c>
    </row>
    <row r="333" spans="1:8" x14ac:dyDescent="0.3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4">
        <v>1.2</v>
      </c>
    </row>
    <row r="334" spans="1:8" x14ac:dyDescent="0.3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4">
        <v>4.9000000000000004</v>
      </c>
    </row>
    <row r="335" spans="1:8" x14ac:dyDescent="0.3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4">
        <v>0.6</v>
      </c>
    </row>
    <row r="336" spans="1:8" x14ac:dyDescent="0.3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4">
        <v>1.85</v>
      </c>
    </row>
    <row r="337" spans="1:8" x14ac:dyDescent="0.3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4">
        <v>1.5</v>
      </c>
    </row>
    <row r="338" spans="1:8" x14ac:dyDescent="0.3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4">
        <v>5.9</v>
      </c>
    </row>
    <row r="339" spans="1:8" x14ac:dyDescent="0.3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4">
        <v>4.9000000000000004</v>
      </c>
    </row>
    <row r="340" spans="1:8" x14ac:dyDescent="0.3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4">
        <v>4.95</v>
      </c>
    </row>
    <row r="341" spans="1:8" x14ac:dyDescent="0.3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4">
        <v>1.2</v>
      </c>
    </row>
    <row r="342" spans="1:8" x14ac:dyDescent="0.3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4">
        <v>1.93</v>
      </c>
    </row>
    <row r="343" spans="1:8" x14ac:dyDescent="0.3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4">
        <v>4.25</v>
      </c>
    </row>
    <row r="344" spans="1:8" x14ac:dyDescent="0.3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4">
        <v>4.25</v>
      </c>
    </row>
    <row r="345" spans="1:8" x14ac:dyDescent="0.3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4">
        <v>4.25</v>
      </c>
    </row>
    <row r="346" spans="1:8" x14ac:dyDescent="0.3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4">
        <v>2.35</v>
      </c>
    </row>
    <row r="347" spans="1:8" x14ac:dyDescent="0.3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4">
        <v>4.95</v>
      </c>
    </row>
    <row r="348" spans="1:8" x14ac:dyDescent="0.3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4">
        <v>4.25</v>
      </c>
    </row>
    <row r="349" spans="1:8" x14ac:dyDescent="0.3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4">
        <v>4.25</v>
      </c>
    </row>
    <row r="350" spans="1:8" x14ac:dyDescent="0.3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4">
        <v>4.25</v>
      </c>
    </row>
    <row r="351" spans="1:8" x14ac:dyDescent="0.3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4">
        <v>4.25</v>
      </c>
    </row>
    <row r="352" spans="1:8" x14ac:dyDescent="0.3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4">
        <v>4.25</v>
      </c>
    </row>
    <row r="353" spans="1:8" x14ac:dyDescent="0.3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4">
        <v>4.25</v>
      </c>
    </row>
    <row r="354" spans="1:8" x14ac:dyDescent="0.3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4">
        <v>5.75</v>
      </c>
    </row>
    <row r="355" spans="1:8" x14ac:dyDescent="0.3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4">
        <v>2.15</v>
      </c>
    </row>
    <row r="356" spans="1:8" x14ac:dyDescent="0.3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4">
        <v>4.95</v>
      </c>
    </row>
    <row r="357" spans="1:8" x14ac:dyDescent="0.3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4">
        <v>1.93</v>
      </c>
    </row>
    <row r="358" spans="1:8" x14ac:dyDescent="0.3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4">
        <v>6.25</v>
      </c>
    </row>
    <row r="359" spans="1:8" x14ac:dyDescent="0.3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4">
        <v>6.25</v>
      </c>
    </row>
    <row r="360" spans="1:8" x14ac:dyDescent="0.3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4">
        <v>5.45</v>
      </c>
    </row>
    <row r="361" spans="1:8" x14ac:dyDescent="0.3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4">
        <v>0.9</v>
      </c>
    </row>
    <row r="362" spans="1:8" x14ac:dyDescent="0.3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4">
        <v>0.9</v>
      </c>
    </row>
    <row r="363" spans="1:8" x14ac:dyDescent="0.3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4">
        <v>4.25</v>
      </c>
    </row>
    <row r="364" spans="1:8" x14ac:dyDescent="0.3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4">
        <v>4.25</v>
      </c>
    </row>
    <row r="365" spans="1:8" x14ac:dyDescent="0.3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4">
        <v>4.25</v>
      </c>
    </row>
    <row r="366" spans="1:8" x14ac:dyDescent="0.3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4">
        <v>1.3</v>
      </c>
    </row>
    <row r="367" spans="1:8" x14ac:dyDescent="0.3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4">
        <v>1.75</v>
      </c>
    </row>
    <row r="368" spans="1:8" x14ac:dyDescent="0.3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4">
        <v>2.65</v>
      </c>
    </row>
    <row r="369" spans="1:8" x14ac:dyDescent="0.3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4">
        <v>1.77</v>
      </c>
    </row>
    <row r="370" spans="1:8" x14ac:dyDescent="0.3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4">
        <v>6.6</v>
      </c>
    </row>
    <row r="371" spans="1:8" x14ac:dyDescent="0.3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4">
        <v>6.55</v>
      </c>
    </row>
    <row r="372" spans="1:8" x14ac:dyDescent="0.3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4">
        <v>3.9</v>
      </c>
    </row>
    <row r="373" spans="1:8" x14ac:dyDescent="0.3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4">
        <v>1.7</v>
      </c>
    </row>
    <row r="374" spans="1:8" x14ac:dyDescent="0.3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4">
        <v>0</v>
      </c>
    </row>
    <row r="375" spans="1:8" x14ac:dyDescent="0.3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4">
        <v>4.9000000000000004</v>
      </c>
    </row>
    <row r="376" spans="1:8" x14ac:dyDescent="0.3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4">
        <v>0.55000000000000004</v>
      </c>
    </row>
    <row r="377" spans="1:8" x14ac:dyDescent="0.3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4">
        <v>0.95</v>
      </c>
    </row>
    <row r="378" spans="1:8" x14ac:dyDescent="0.3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4">
        <v>0.8</v>
      </c>
    </row>
    <row r="379" spans="1:8" x14ac:dyDescent="0.3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4">
        <v>0.4</v>
      </c>
    </row>
    <row r="380" spans="1:8" x14ac:dyDescent="0.3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4">
        <v>9.75</v>
      </c>
    </row>
    <row r="381" spans="1:8" x14ac:dyDescent="0.3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4">
        <v>2.4500000000000002</v>
      </c>
    </row>
    <row r="382" spans="1:8" x14ac:dyDescent="0.3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4">
        <v>2.7</v>
      </c>
    </row>
    <row r="383" spans="1:8" x14ac:dyDescent="0.3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4">
        <v>2.5</v>
      </c>
    </row>
    <row r="384" spans="1:8" x14ac:dyDescent="0.3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4">
        <v>2.4500000000000002</v>
      </c>
    </row>
    <row r="385" spans="1:8" x14ac:dyDescent="0.3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4">
        <v>6.2</v>
      </c>
    </row>
    <row r="386" spans="1:8" x14ac:dyDescent="0.3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4">
        <v>5.2</v>
      </c>
    </row>
    <row r="387" spans="1:8" x14ac:dyDescent="0.3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4">
        <v>3.5</v>
      </c>
    </row>
    <row r="388" spans="1:8" x14ac:dyDescent="0.3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4">
        <v>1.55</v>
      </c>
    </row>
    <row r="389" spans="1:8" x14ac:dyDescent="0.3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4">
        <v>1.55</v>
      </c>
    </row>
    <row r="390" spans="1:8" x14ac:dyDescent="0.3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4">
        <v>1.3</v>
      </c>
    </row>
    <row r="391" spans="1:8" x14ac:dyDescent="0.3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4">
        <v>1.8</v>
      </c>
    </row>
    <row r="392" spans="1:8" x14ac:dyDescent="0.3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4">
        <v>1.8</v>
      </c>
    </row>
    <row r="393" spans="1:8" x14ac:dyDescent="0.3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4">
        <v>1.8</v>
      </c>
    </row>
    <row r="394" spans="1:8" x14ac:dyDescent="0.3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4">
        <v>1.8</v>
      </c>
    </row>
    <row r="395" spans="1:8" x14ac:dyDescent="0.3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4">
        <v>1.5</v>
      </c>
    </row>
    <row r="396" spans="1:8" x14ac:dyDescent="0.3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4">
        <v>1.5</v>
      </c>
    </row>
    <row r="397" spans="1:8" x14ac:dyDescent="0.3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4">
        <v>1.1200000000000001</v>
      </c>
    </row>
    <row r="398" spans="1:8" x14ac:dyDescent="0.3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4">
        <v>1.1200000000000001</v>
      </c>
    </row>
    <row r="399" spans="1:8" x14ac:dyDescent="0.3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4">
        <v>1.1200000000000001</v>
      </c>
    </row>
    <row r="400" spans="1:8" x14ac:dyDescent="0.3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4">
        <v>0.75</v>
      </c>
    </row>
    <row r="401" spans="1:8" x14ac:dyDescent="0.3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4">
        <v>1</v>
      </c>
    </row>
    <row r="402" spans="1:8" x14ac:dyDescent="0.3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4">
        <v>1</v>
      </c>
    </row>
    <row r="403" spans="1:8" x14ac:dyDescent="0.3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4">
        <v>3.85</v>
      </c>
    </row>
    <row r="404" spans="1:8" x14ac:dyDescent="0.3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4">
        <v>3.85</v>
      </c>
    </row>
    <row r="405" spans="1:8" x14ac:dyDescent="0.3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4">
        <v>3.85</v>
      </c>
    </row>
    <row r="406" spans="1:8" x14ac:dyDescent="0.3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4">
        <v>0.9</v>
      </c>
    </row>
    <row r="407" spans="1:8" x14ac:dyDescent="0.3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4">
        <v>0.24</v>
      </c>
    </row>
    <row r="408" spans="1:8" x14ac:dyDescent="0.3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4">
        <v>0.5</v>
      </c>
    </row>
    <row r="409" spans="1:8" x14ac:dyDescent="0.3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4">
        <v>0.5</v>
      </c>
    </row>
    <row r="410" spans="1:8" x14ac:dyDescent="0.3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4">
        <v>0.25</v>
      </c>
    </row>
    <row r="411" spans="1:8" x14ac:dyDescent="0.3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4">
        <v>0.6</v>
      </c>
    </row>
    <row r="412" spans="1:8" x14ac:dyDescent="0.3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4">
        <v>4.5999999999999996</v>
      </c>
    </row>
    <row r="413" spans="1:8" x14ac:dyDescent="0.3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4">
        <v>3.15</v>
      </c>
    </row>
    <row r="414" spans="1:8" x14ac:dyDescent="0.3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4">
        <v>0</v>
      </c>
    </row>
    <row r="415" spans="1:8" x14ac:dyDescent="0.3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4">
        <v>0</v>
      </c>
    </row>
    <row r="416" spans="1:8" x14ac:dyDescent="0.3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4">
        <v>0</v>
      </c>
    </row>
    <row r="417" spans="1:8" x14ac:dyDescent="0.3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4">
        <v>0</v>
      </c>
    </row>
    <row r="418" spans="1:8" x14ac:dyDescent="0.3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4">
        <v>0</v>
      </c>
    </row>
    <row r="419" spans="1:8" x14ac:dyDescent="0.3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4">
        <v>0</v>
      </c>
    </row>
    <row r="420" spans="1:8" x14ac:dyDescent="0.3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4">
        <v>0</v>
      </c>
    </row>
    <row r="421" spans="1:8" x14ac:dyDescent="0.3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4">
        <v>0</v>
      </c>
    </row>
    <row r="422" spans="1:8" x14ac:dyDescent="0.3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4">
        <v>0</v>
      </c>
    </row>
    <row r="423" spans="1:8" x14ac:dyDescent="0.3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4">
        <v>0</v>
      </c>
    </row>
    <row r="424" spans="1:8" x14ac:dyDescent="0.3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4">
        <v>0.9</v>
      </c>
    </row>
    <row r="425" spans="1:8" x14ac:dyDescent="0.3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4">
        <v>4.6500000000000004</v>
      </c>
    </row>
    <row r="426" spans="1:8" x14ac:dyDescent="0.3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4">
        <v>3.9</v>
      </c>
    </row>
    <row r="427" spans="1:8" x14ac:dyDescent="0.3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4">
        <v>3.9</v>
      </c>
    </row>
    <row r="428" spans="1:8" x14ac:dyDescent="0.3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4">
        <v>2.2000000000000002</v>
      </c>
    </row>
    <row r="429" spans="1:8" x14ac:dyDescent="0.3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4">
        <v>1.1000000000000001</v>
      </c>
    </row>
    <row r="430" spans="1:8" x14ac:dyDescent="0.3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4">
        <v>2.2799999999999998</v>
      </c>
    </row>
    <row r="431" spans="1:8" x14ac:dyDescent="0.3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4">
        <v>2.9</v>
      </c>
    </row>
    <row r="432" spans="1:8" x14ac:dyDescent="0.3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4">
        <v>3.9</v>
      </c>
    </row>
    <row r="433" spans="1:8" x14ac:dyDescent="0.3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4">
        <v>0.8</v>
      </c>
    </row>
    <row r="434" spans="1:8" x14ac:dyDescent="0.3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4">
        <v>0.8</v>
      </c>
    </row>
    <row r="435" spans="1:8" x14ac:dyDescent="0.3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4">
        <v>0.6</v>
      </c>
    </row>
    <row r="436" spans="1:8" x14ac:dyDescent="0.3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4">
        <v>2.25</v>
      </c>
    </row>
    <row r="437" spans="1:8" x14ac:dyDescent="0.3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4">
        <v>3.9</v>
      </c>
    </row>
    <row r="438" spans="1:8" x14ac:dyDescent="0.3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4">
        <v>2.2000000000000002</v>
      </c>
    </row>
    <row r="439" spans="1:8" x14ac:dyDescent="0.3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4">
        <v>3.65</v>
      </c>
    </row>
    <row r="440" spans="1:8" x14ac:dyDescent="0.3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4">
        <v>2.5</v>
      </c>
    </row>
    <row r="441" spans="1:8" x14ac:dyDescent="0.3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4">
        <v>2.5</v>
      </c>
    </row>
    <row r="442" spans="1:8" x14ac:dyDescent="0.3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4">
        <v>2.5</v>
      </c>
    </row>
    <row r="443" spans="1:8" x14ac:dyDescent="0.3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4">
        <v>2.5</v>
      </c>
    </row>
    <row r="444" spans="1:8" x14ac:dyDescent="0.3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4">
        <v>1.3</v>
      </c>
    </row>
    <row r="445" spans="1:8" x14ac:dyDescent="0.3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4">
        <v>0.35</v>
      </c>
    </row>
    <row r="446" spans="1:8" x14ac:dyDescent="0.3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4">
        <v>0.35</v>
      </c>
    </row>
    <row r="447" spans="1:8" x14ac:dyDescent="0.3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4">
        <v>0.8</v>
      </c>
    </row>
    <row r="448" spans="1:8" x14ac:dyDescent="0.3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4">
        <v>0.4</v>
      </c>
    </row>
    <row r="449" spans="1:8" x14ac:dyDescent="0.3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4">
        <v>0.8</v>
      </c>
    </row>
    <row r="450" spans="1:8" x14ac:dyDescent="0.3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4">
        <v>1.85</v>
      </c>
    </row>
    <row r="451" spans="1:8" x14ac:dyDescent="0.3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4">
        <v>1.85</v>
      </c>
    </row>
    <row r="452" spans="1:8" x14ac:dyDescent="0.3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4">
        <v>15.2</v>
      </c>
    </row>
    <row r="453" spans="1:8" x14ac:dyDescent="0.3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4">
        <v>13.2</v>
      </c>
    </row>
    <row r="454" spans="1:8" x14ac:dyDescent="0.3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4">
        <v>4.7</v>
      </c>
    </row>
    <row r="455" spans="1:8" x14ac:dyDescent="0.3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4">
        <v>8.65</v>
      </c>
    </row>
    <row r="456" spans="1:8" x14ac:dyDescent="0.3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4">
        <v>0.4</v>
      </c>
    </row>
    <row r="457" spans="1:8" x14ac:dyDescent="0.3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4">
        <v>0.35</v>
      </c>
    </row>
    <row r="458" spans="1:8" x14ac:dyDescent="0.3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4">
        <v>6.7</v>
      </c>
    </row>
    <row r="459" spans="1:8" x14ac:dyDescent="0.3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4">
        <v>2.85</v>
      </c>
    </row>
    <row r="460" spans="1:8" x14ac:dyDescent="0.3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4">
        <v>1.1000000000000001</v>
      </c>
    </row>
    <row r="461" spans="1:8" x14ac:dyDescent="0.3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4">
        <v>1.6</v>
      </c>
    </row>
    <row r="462" spans="1:8" x14ac:dyDescent="0.3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4">
        <v>1.6</v>
      </c>
    </row>
    <row r="463" spans="1:8" x14ac:dyDescent="0.3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4">
        <v>18.649999999999999</v>
      </c>
    </row>
    <row r="464" spans="1:8" x14ac:dyDescent="0.3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4">
        <v>0.13</v>
      </c>
    </row>
    <row r="465" spans="1:8" x14ac:dyDescent="0.3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4">
        <v>0.13</v>
      </c>
    </row>
    <row r="466" spans="1:8" x14ac:dyDescent="0.3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4">
        <v>0.5</v>
      </c>
    </row>
    <row r="467" spans="1:8" x14ac:dyDescent="0.3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4">
        <v>0.9</v>
      </c>
    </row>
    <row r="468" spans="1:8" x14ac:dyDescent="0.3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4">
        <v>0.13</v>
      </c>
    </row>
    <row r="469" spans="1:8" x14ac:dyDescent="0.3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4">
        <v>0.5</v>
      </c>
    </row>
    <row r="470" spans="1:8" x14ac:dyDescent="0.3">
      <c r="A470">
        <v>202606</v>
      </c>
      <c r="B470" t="s">
        <v>28</v>
      </c>
      <c r="C470">
        <v>1760402656</v>
      </c>
      <c r="D470" t="s">
        <v>20</v>
      </c>
      <c r="E470" t="s">
        <v>21</v>
      </c>
      <c r="F470" t="s">
        <v>109</v>
      </c>
      <c r="G470" s="8">
        <v>0.85375000000000001</v>
      </c>
      <c r="H470" s="4">
        <v>0.6</v>
      </c>
    </row>
    <row r="471" spans="1:8" x14ac:dyDescent="0.3">
      <c r="A471">
        <v>202606</v>
      </c>
      <c r="B471" t="s">
        <v>94</v>
      </c>
      <c r="C471">
        <v>1760379450</v>
      </c>
      <c r="D471" t="s">
        <v>20</v>
      </c>
      <c r="E471" t="s">
        <v>26</v>
      </c>
      <c r="F471" t="s">
        <v>118</v>
      </c>
      <c r="G471" s="8">
        <v>0.12014203733999999</v>
      </c>
      <c r="H471" s="4">
        <v>2.94</v>
      </c>
    </row>
    <row r="472" spans="1:8" x14ac:dyDescent="0.3">
      <c r="A472">
        <v>202606</v>
      </c>
      <c r="B472" t="s">
        <v>94</v>
      </c>
      <c r="C472">
        <v>1760409448</v>
      </c>
      <c r="D472" t="s">
        <v>20</v>
      </c>
      <c r="E472" t="s">
        <v>26</v>
      </c>
      <c r="F472" t="s">
        <v>118</v>
      </c>
      <c r="G472" s="8">
        <v>0.10516167058000001</v>
      </c>
      <c r="H472" s="4">
        <v>2.94</v>
      </c>
    </row>
    <row r="473" spans="1:8" x14ac:dyDescent="0.3">
      <c r="A473">
        <v>202606</v>
      </c>
      <c r="B473" t="s">
        <v>32</v>
      </c>
      <c r="C473">
        <v>1760358990</v>
      </c>
      <c r="D473" t="s">
        <v>25</v>
      </c>
      <c r="E473" t="s">
        <v>37</v>
      </c>
      <c r="F473" t="s">
        <v>126</v>
      </c>
      <c r="G473" s="8">
        <v>1.54617194</v>
      </c>
      <c r="H473" s="4">
        <v>0.85</v>
      </c>
    </row>
    <row r="474" spans="1:8" x14ac:dyDescent="0.3">
      <c r="A474">
        <v>202606</v>
      </c>
      <c r="B474" t="s">
        <v>32</v>
      </c>
      <c r="C474">
        <v>1760379352</v>
      </c>
      <c r="D474" t="s">
        <v>20</v>
      </c>
      <c r="E474" t="s">
        <v>26</v>
      </c>
      <c r="F474" t="s">
        <v>264</v>
      </c>
      <c r="G474" s="8">
        <v>0.68220000000000003</v>
      </c>
      <c r="H474" s="4">
        <v>0.98</v>
      </c>
    </row>
    <row r="475" spans="1:8" x14ac:dyDescent="0.3">
      <c r="A475">
        <v>202606</v>
      </c>
      <c r="B475" t="s">
        <v>27</v>
      </c>
      <c r="C475">
        <v>1760362840</v>
      </c>
      <c r="D475" t="s">
        <v>25</v>
      </c>
      <c r="E475" t="s">
        <v>21</v>
      </c>
      <c r="F475" t="s">
        <v>265</v>
      </c>
      <c r="G475" s="8">
        <v>4.5</v>
      </c>
      <c r="H475" s="4">
        <v>0.4</v>
      </c>
    </row>
    <row r="476" spans="1:8" x14ac:dyDescent="0.3">
      <c r="A476">
        <v>202606</v>
      </c>
      <c r="B476" t="s">
        <v>27</v>
      </c>
      <c r="C476">
        <v>1760402150</v>
      </c>
      <c r="D476" t="s">
        <v>20</v>
      </c>
      <c r="E476" t="s">
        <v>26</v>
      </c>
      <c r="F476" t="s">
        <v>142</v>
      </c>
      <c r="G476" s="8">
        <v>2.7320000000000002</v>
      </c>
      <c r="H476" s="4">
        <v>4</v>
      </c>
    </row>
    <row r="477" spans="1:8" x14ac:dyDescent="0.3">
      <c r="A477">
        <v>202606</v>
      </c>
      <c r="B477" t="s">
        <v>27</v>
      </c>
      <c r="C477">
        <v>1760411582</v>
      </c>
      <c r="D477" t="s">
        <v>20</v>
      </c>
      <c r="E477" t="s">
        <v>26</v>
      </c>
      <c r="F477" t="s">
        <v>144</v>
      </c>
      <c r="G477" s="8">
        <v>0.12807733629999998</v>
      </c>
      <c r="H477" s="4">
        <v>2.95</v>
      </c>
    </row>
    <row r="478" spans="1:8" x14ac:dyDescent="0.3">
      <c r="A478">
        <v>202606</v>
      </c>
      <c r="B478" t="s">
        <v>40</v>
      </c>
      <c r="C478">
        <v>1760375764</v>
      </c>
      <c r="D478" t="s">
        <v>20</v>
      </c>
      <c r="E478" t="s">
        <v>21</v>
      </c>
      <c r="F478" t="s">
        <v>66</v>
      </c>
      <c r="G478" s="8">
        <v>0.13644000000000001</v>
      </c>
      <c r="H478" s="4">
        <v>5.75</v>
      </c>
    </row>
    <row r="479" spans="1:8" x14ac:dyDescent="0.3">
      <c r="A479">
        <v>202606</v>
      </c>
      <c r="B479" t="s">
        <v>40</v>
      </c>
      <c r="C479">
        <v>1760376220</v>
      </c>
      <c r="D479" t="s">
        <v>20</v>
      </c>
      <c r="E479" t="s">
        <v>26</v>
      </c>
      <c r="F479" t="s">
        <v>62</v>
      </c>
      <c r="G479" s="8">
        <v>0.80158499999999999</v>
      </c>
      <c r="H479" s="4">
        <v>2.35</v>
      </c>
    </row>
    <row r="480" spans="1:8" x14ac:dyDescent="0.3">
      <c r="A480">
        <v>202606</v>
      </c>
      <c r="B480" t="s">
        <v>40</v>
      </c>
      <c r="C480">
        <v>1760397008</v>
      </c>
      <c r="D480" t="s">
        <v>20</v>
      </c>
      <c r="E480" t="s">
        <v>26</v>
      </c>
      <c r="F480" t="s">
        <v>56</v>
      </c>
      <c r="G480" s="8">
        <v>0.2732</v>
      </c>
      <c r="H480" s="4">
        <v>5.55</v>
      </c>
    </row>
    <row r="481" spans="1:8" x14ac:dyDescent="0.3">
      <c r="A481">
        <v>202606</v>
      </c>
      <c r="B481" t="s">
        <v>40</v>
      </c>
      <c r="C481">
        <v>1760409090</v>
      </c>
      <c r="D481" t="s">
        <v>25</v>
      </c>
      <c r="E481" t="s">
        <v>37</v>
      </c>
      <c r="F481" t="s">
        <v>64</v>
      </c>
      <c r="G481" s="8">
        <v>0.14740560999999999</v>
      </c>
      <c r="H481" s="4">
        <v>2.5499999999999998</v>
      </c>
    </row>
    <row r="482" spans="1:8" x14ac:dyDescent="0.3">
      <c r="A482">
        <v>202606</v>
      </c>
      <c r="B482" t="s">
        <v>40</v>
      </c>
      <c r="C482">
        <v>1760412066</v>
      </c>
      <c r="D482" t="s">
        <v>25</v>
      </c>
      <c r="E482" t="s">
        <v>37</v>
      </c>
      <c r="F482" t="s">
        <v>64</v>
      </c>
      <c r="G482" s="8">
        <v>0.48440138999999999</v>
      </c>
      <c r="H482" s="4">
        <v>2.5499999999999998</v>
      </c>
    </row>
    <row r="483" spans="1:8" x14ac:dyDescent="0.3">
      <c r="A483">
        <v>202606</v>
      </c>
      <c r="B483" t="s">
        <v>41</v>
      </c>
      <c r="C483">
        <v>1760409723</v>
      </c>
      <c r="D483" t="s">
        <v>25</v>
      </c>
      <c r="E483" t="s">
        <v>26</v>
      </c>
      <c r="F483" t="s">
        <v>266</v>
      </c>
      <c r="G483" s="8">
        <v>1.3</v>
      </c>
      <c r="H483" s="4">
        <v>0.9</v>
      </c>
    </row>
    <row r="484" spans="1:8" x14ac:dyDescent="0.3">
      <c r="A484">
        <v>202606</v>
      </c>
      <c r="B484" t="s">
        <v>41</v>
      </c>
      <c r="C484">
        <v>1760411183</v>
      </c>
      <c r="D484" t="s">
        <v>25</v>
      </c>
      <c r="E484" t="s">
        <v>21</v>
      </c>
      <c r="F484" t="s">
        <v>267</v>
      </c>
      <c r="G484" s="8">
        <v>0.8</v>
      </c>
      <c r="H484" s="4">
        <v>1.79</v>
      </c>
    </row>
    <row r="485" spans="1:8" x14ac:dyDescent="0.3">
      <c r="A485">
        <v>202606</v>
      </c>
      <c r="B485" t="s">
        <v>43</v>
      </c>
      <c r="C485">
        <v>1760363227</v>
      </c>
      <c r="D485" t="s">
        <v>20</v>
      </c>
      <c r="E485" t="s">
        <v>26</v>
      </c>
      <c r="F485" t="s">
        <v>240</v>
      </c>
      <c r="G485" s="8">
        <v>3.4169999999999998</v>
      </c>
      <c r="H485" s="4">
        <v>0.55000000000000004</v>
      </c>
    </row>
    <row r="486" spans="1:8" x14ac:dyDescent="0.3">
      <c r="A486">
        <v>202606</v>
      </c>
      <c r="B486" t="s">
        <v>43</v>
      </c>
      <c r="C486">
        <v>1760380040</v>
      </c>
      <c r="D486" t="s">
        <v>25</v>
      </c>
      <c r="E486" t="s">
        <v>21</v>
      </c>
      <c r="F486" t="s">
        <v>268</v>
      </c>
      <c r="G486" s="8">
        <v>0.35</v>
      </c>
      <c r="H486" s="4">
        <v>2.5499999999999998</v>
      </c>
    </row>
    <row r="487" spans="1:8" x14ac:dyDescent="0.3">
      <c r="A487">
        <v>202606</v>
      </c>
      <c r="B487" t="s">
        <v>35</v>
      </c>
      <c r="C487">
        <v>1760385450</v>
      </c>
      <c r="D487" t="s">
        <v>20</v>
      </c>
      <c r="E487" t="s">
        <v>26</v>
      </c>
      <c r="F487" t="s">
        <v>153</v>
      </c>
      <c r="G487" s="8">
        <v>0.30762</v>
      </c>
      <c r="H487" s="4">
        <v>5</v>
      </c>
    </row>
    <row r="488" spans="1:8" x14ac:dyDescent="0.3">
      <c r="A488">
        <v>202606</v>
      </c>
      <c r="B488" t="s">
        <v>35</v>
      </c>
      <c r="C488">
        <v>1760385522</v>
      </c>
      <c r="D488" t="s">
        <v>20</v>
      </c>
      <c r="E488" t="s">
        <v>26</v>
      </c>
      <c r="F488" t="s">
        <v>153</v>
      </c>
      <c r="G488" s="8">
        <v>0.372562</v>
      </c>
      <c r="H488" s="4">
        <v>5</v>
      </c>
    </row>
    <row r="489" spans="1:8" x14ac:dyDescent="0.3">
      <c r="A489">
        <v>202606</v>
      </c>
      <c r="B489" t="s">
        <v>36</v>
      </c>
      <c r="C489">
        <v>1760376604</v>
      </c>
      <c r="D489" t="s">
        <v>20</v>
      </c>
      <c r="E489" t="s">
        <v>26</v>
      </c>
      <c r="F489" t="s">
        <v>269</v>
      </c>
      <c r="G489" s="8">
        <v>0.50428223999999999</v>
      </c>
      <c r="H489" s="4">
        <v>1.1100000000000001</v>
      </c>
    </row>
    <row r="490" spans="1:8" x14ac:dyDescent="0.3">
      <c r="A490">
        <v>202606</v>
      </c>
      <c r="B490" t="s">
        <v>36</v>
      </c>
      <c r="C490">
        <v>1760397199</v>
      </c>
      <c r="D490" t="s">
        <v>20</v>
      </c>
      <c r="E490" t="s">
        <v>26</v>
      </c>
      <c r="F490" t="s">
        <v>269</v>
      </c>
      <c r="G490" s="8">
        <v>0.836760375</v>
      </c>
      <c r="H490" s="4">
        <v>1.1100000000000001</v>
      </c>
    </row>
    <row r="491" spans="1:8" x14ac:dyDescent="0.3">
      <c r="A491">
        <v>202606</v>
      </c>
      <c r="B491" t="s">
        <v>29</v>
      </c>
      <c r="C491">
        <v>1760380423</v>
      </c>
      <c r="D491" t="s">
        <v>20</v>
      </c>
      <c r="E491" t="s">
        <v>26</v>
      </c>
      <c r="F491" t="s">
        <v>270</v>
      </c>
      <c r="G491" s="8">
        <v>5.1165000000000003</v>
      </c>
      <c r="H491" s="4">
        <v>2.4</v>
      </c>
    </row>
    <row r="492" spans="1:8" x14ac:dyDescent="0.3">
      <c r="A492">
        <v>202606</v>
      </c>
      <c r="B492" t="s">
        <v>29</v>
      </c>
      <c r="C492">
        <v>1760398853</v>
      </c>
      <c r="D492" t="s">
        <v>20</v>
      </c>
      <c r="E492" t="s">
        <v>26</v>
      </c>
      <c r="F492" t="s">
        <v>221</v>
      </c>
      <c r="G492" s="8">
        <v>4.4394999999999998</v>
      </c>
      <c r="H492" s="4">
        <v>0.3</v>
      </c>
    </row>
    <row r="493" spans="1:8" x14ac:dyDescent="0.3">
      <c r="A493">
        <v>202606</v>
      </c>
      <c r="B493" t="s">
        <v>255</v>
      </c>
      <c r="C493">
        <v>1760361356</v>
      </c>
      <c r="D493" t="s">
        <v>20</v>
      </c>
      <c r="E493" t="s">
        <v>37</v>
      </c>
      <c r="F493" t="s">
        <v>271</v>
      </c>
      <c r="G493" s="8">
        <v>2.581324812E-2</v>
      </c>
      <c r="H493" s="4">
        <v>5.2</v>
      </c>
    </row>
    <row r="494" spans="1:8" x14ac:dyDescent="0.3">
      <c r="A494">
        <v>202606</v>
      </c>
      <c r="B494" t="s">
        <v>255</v>
      </c>
      <c r="C494">
        <v>1760379832</v>
      </c>
      <c r="D494" t="s">
        <v>25</v>
      </c>
      <c r="E494" t="s">
        <v>37</v>
      </c>
      <c r="F494" t="s">
        <v>272</v>
      </c>
      <c r="G494" s="8">
        <v>0.33984283000000004</v>
      </c>
      <c r="H494" s="4">
        <v>8.65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2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4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5.xml><?xml version="1.0" encoding="utf-8"?>
<ds:datastoreItem xmlns:ds="http://schemas.openxmlformats.org/officeDocument/2006/customXml" ds:itemID="{7C2C2752-0D11-4B61-8E3D-14B33468B2AA}">
  <ds:schemaRefs/>
</ds:datastoreItem>
</file>

<file path=customXml/itemProps6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7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8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9.xml><?xml version="1.0" encoding="utf-8"?>
<ds:datastoreItem xmlns:ds="http://schemas.openxmlformats.org/officeDocument/2006/customXml" ds:itemID="{B87F79FE-7980-4AD6-99EB-1325C92CAEF2}">
  <ds:schemaRefs/>
</ds:datastoreItem>
</file>

<file path=customXml/itemProps10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1.xml><?xml version="1.0" encoding="utf-8"?>
<ds:datastoreItem xmlns:ds="http://schemas.openxmlformats.org/officeDocument/2006/customXml" ds:itemID="{3000459F-D182-48BF-9207-58F67F3AD29E}">
  <ds:schemaRefs/>
</ds:datastoreItem>
</file>

<file path=customXml/itemProps1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3.xml><?xml version="1.0" encoding="utf-8"?>
<ds:datastoreItem xmlns:ds="http://schemas.openxmlformats.org/officeDocument/2006/customXml" ds:itemID="{684BD215-7A5A-4621-BE15-AABAD29A354C}">
  <ds:schemaRefs/>
</ds:datastoreItem>
</file>

<file path=customXml/itemProps14.xml><?xml version="1.0" encoding="utf-8"?>
<ds:datastoreItem xmlns:ds="http://schemas.openxmlformats.org/officeDocument/2006/customXml" ds:itemID="{26F92E32-2156-45BC-B346-2ADAD76EEEB1}">
  <ds:schemaRefs/>
</ds:datastoreItem>
</file>

<file path=customXml/itemProps1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6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2026-06-07T16:48:43Z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