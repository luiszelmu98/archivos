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68" documentId="8_{E36DC478-9D34-4691-AA52-C22FB807C30C}" xr6:coauthVersionLast="47" xr6:coauthVersionMax="47" xr10:uidLastSave="{CFC5D5A4-2AB7-4189-A9B5-9FABFFFC9EDF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471" r:id="rId2"/>
    <pivotCache cacheId="474" r:id="rId3"/>
  </pivotCaches>
  <extLst>
    <ext xmlns:x14="http://schemas.microsoft.com/office/spreadsheetml/2009/9/main" uri="{876F7934-8845-4945-9796-88D515C7AA90}">
      <x14:pivotCaches>
        <pivotCache cacheId="470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2" l="1"/>
  <c r="G10" i="2"/>
  <c r="F10" i="2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3" i="2" l="1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<sst xmlns="http://schemas.openxmlformats.org/spreadsheetml/2006/main" count="1361" uniqueCount="216">
  <si>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</si>
  <si>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</si>
  <si>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</si>
  <si>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</si>
  <si>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</si>
  <si>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</si>
  <si>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</si>
  <si>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</si>
  <si>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</si>
  <si>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</si>
  <si>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</si>
  <si>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</si>
  <si>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</si>
  <si>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</si>
  <si>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</si>
  <si>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</si>
  <si>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</si>
  <si>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</si>
  <si>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</si>
  <si>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</si>
  <si>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</si>
  <si>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</si>
  <si>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</si>
  <si>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</si>
  <si>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</si>
  <si>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</si>
  <si>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</si>
  <si>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</si>
  <si>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</si>
  <si>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</si>
  <si>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</si>
  <si>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</si>
  <si>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</si>
  <si>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</si>
  <si>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</si>
  <si>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</si>
  <si>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</si>
  <si>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</si>
  <si>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</si>
  <si>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</si>
  <si>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</si>
  <si>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</si>
  <si>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</si>
  <si>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</si>
  <si>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</si>
  <si>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</si>
  <si>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</si>
  <si>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</si>
  <si>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</si>
  <si>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</si>
  <si>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</si>
  <si>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</si>
  <si>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</si>
  <si>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</si>
  <si>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</si>
  <si>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</si>
  <si>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</si>
  <si>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</si>
  <si>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</si>
  <si>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</si>
  <si>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</si>
  <si>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</si>
  <si>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</si>
  <si>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</si>
  <si>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</si>
  <si>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</si>
  <si>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</si>
  <si>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</si>
  <si>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</si>
  <si>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</si>
  <si>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</si>
  <si>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</si>
  <si>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</si>
  <si>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</si>
  <si>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</si>
  <si>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</si>
  <si>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</si>
  <si>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</si>
  <si>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</si>
  <si>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</si>
  <si>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</si>
  <si>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</si>
  <si>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</si>
  <si>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</si>
  <si>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</si>
  <si>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</si>
  <si>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</si>
  <si>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</si>
  <si>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</si>
  <si>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</si>
  <si>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</si>
  <si>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</si>
  <si>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</si>
  <si>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</si>
  <si>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</si>
  <si>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</si>
  <si>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</si>
  <si>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</si>
  <si>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</si>
  <si>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</si>
  <si>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</si>
  <si>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</si>
  <si>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</si>
  <si>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</si>
  <si>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</si>
  <si>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</si>
  <si>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</si>
  <si>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</si>
  <si>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</si>
  <si>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</si>
  <si>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</si>
  <si>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</si>
  <si>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</si>
  <si>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</si>
  <si>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</si>
  <si>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</si>
  <si>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</si>
  <si>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</si>
  <si>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</si>
  <si>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</si>
  <si>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</si>
  <si>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</si>
  <si>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</si>
  <si>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</si>
  <si>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</si>
  <si>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</si>
  <si>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</si>
  <si>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</si>
  <si>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</si>
  <si>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</si>
  <si>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</si>
  <si>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</si>
  <si>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</si>
  <si>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</si>
  <si>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</si>
  <si>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</si>
  <si>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</si>
  <si>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</si>
  <si>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</si>
  <si>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</si>
  <si>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</si>
  <si>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</si>
  <si>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</si>
  <si>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</si>
  <si>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</si>
  <si>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</si>
  <si>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</si>
  <si>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</si>
  <si>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</si>
  <si>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</si>
  <si>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</si>
  <si>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</si>
  <si>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</si>
  <si>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</si>
  <si>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</si>
  <si>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</si>
  <si>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</si>
  <si>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</si>
  <si>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</si>
  <si>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</si>
  <si>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</si>
  <si>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</si>
  <si>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</si>
  <si>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</si>
  <si>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</si>
  <si>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</si>
  <si>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</si>
  <si>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</si>
  <si>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</si>
  <si>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</si>
  <si>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</si>
  <si>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</si>
  <si>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</si>
  <si>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</si>
  <si>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</si>
  <si>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</si>
  <si>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</si>
  <si>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</si>
  <si>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</si>
  <si>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</si>
  <si>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</si>
  <si>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</si>
  <si>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</si>
  <si>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</si>
  <si>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</si>
  <si>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</si>
  <si>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</si>
  <si>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</si>
  <si>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</si>
  <si>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</si>
  <si>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</si>
  <si>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</si>
  <si>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</si>
  <si>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</si>
  <si>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</si>
  <si>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</si>
  <si>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</si>
  <si>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</si>
  <si>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</si>
  <si>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</si>
  <si>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</si>
  <si>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</si>
  <si>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</si>
  <si>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</si>
  <si>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</si>
  <si>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</si>
  <si>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</si>
  <si>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</si>
  <si>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</si>
  <si>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</si>
  <si>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</si>
  <si>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</si>
  <si>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</si>
  <si>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</si>
  <si>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</si>
  <si>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06/08/2026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</si>
</sst>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15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15</xdr:row>
      <xdr:rowOff>72390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1.766018171293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69102388" count="324"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078703"/>
        <n v="1769086730"/>
        <n v="1769094260"/>
        <n v="1769063340"/>
        <n v="1769065768"/>
        <n v="1769099514"/>
        <n v="1769099522"/>
        <n v="1769100695"/>
        <n v="1769063935"/>
        <n v="1769094750"/>
        <n v="1769072322"/>
        <n v="1769086617"/>
        <n v="1769094229"/>
        <n v="1769063722"/>
        <n v="1769063820"/>
        <n v="1769072560"/>
        <n v="1769084428"/>
        <n v="1769095527"/>
        <n v="1769086757"/>
        <n v="1769100090"/>
        <n v="1769102370"/>
        <n v="1769087672"/>
        <n v="1769099506"/>
        <n v="1769102388"/>
        <n v="1769073990"/>
        <n v="1769093930"/>
        <n v="1769100377"/>
        <n v="1769078193"/>
        <n v="1769094865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55"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AGROINDUSTRIAS HUARAL SAC"/>
        <s v="CONDUTO PERU SAC"/>
        <s v="ACEROS COMERCIALES S C R L"/>
        <s v="TRANSPORTES LINEA S A"/>
        <s v="ZEDINA ALIMENTOS SAC"/>
        <s v="CONSORCIO MEDITERRANEO SAC"/>
        <s v="CENTRO COMERCIAL PLAZA NORTE SAC"/>
        <s v="E &amp; M SRL"/>
        <s v="LA LLAVE SA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1.766020023148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1.766016319445" createdVersion="3" refreshedVersion="8" minRefreshableVersion="3" recordCount="0" supportSubquery="1" supportAdvancedDrill="1" xr:uid="{01411A53-FF10-4340-BA16-4D0AE0B31D4B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34309174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471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6:H340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324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2">
      <x v="4"/>
      <x v="1"/>
      <x v="1"/>
      <x v="3"/>
    </i>
    <i r="1">
      <x v="1"/>
      <x v="5"/>
      <x/>
      <x v="2"/>
      <x v="4"/>
    </i>
    <i r="2">
      <x v="6"/>
      <x/>
      <x v="1"/>
      <x v="5"/>
    </i>
    <i r="2">
      <x v="7"/>
      <x/>
      <x v="2"/>
      <x v="4"/>
    </i>
    <i r="2">
      <x v="8"/>
      <x/>
      <x v="2"/>
      <x v="4"/>
    </i>
    <i r="2">
      <x v="9"/>
      <x v="1"/>
      <x v="1"/>
      <x v="6"/>
    </i>
    <i r="2">
      <x v="10"/>
      <x/>
      <x v="2"/>
      <x v="4"/>
    </i>
    <i r="2">
      <x v="11"/>
      <x v="1"/>
      <x v="1"/>
      <x v="7"/>
    </i>
    <i r="2">
      <x v="12"/>
      <x/>
      <x v="2"/>
      <x v="4"/>
    </i>
    <i r="2">
      <x v="13"/>
      <x/>
      <x v="2"/>
      <x v="8"/>
    </i>
    <i r="2">
      <x v="14"/>
      <x/>
      <x v="2"/>
      <x v="9"/>
    </i>
    <i r="2">
      <x v="15"/>
      <x/>
      <x v="2"/>
      <x v="9"/>
    </i>
    <i r="1">
      <x v="2"/>
      <x v="16"/>
      <x/>
      <x/>
      <x v="10"/>
    </i>
    <i r="2">
      <x v="17"/>
      <x/>
      <x v="2"/>
      <x v="11"/>
    </i>
    <i r="2">
      <x v="18"/>
      <x v="1"/>
      <x v="1"/>
      <x v="12"/>
    </i>
    <i r="2">
      <x v="19"/>
      <x v="1"/>
      <x v="1"/>
      <x v="12"/>
    </i>
    <i r="2">
      <x v="20"/>
      <x v="1"/>
      <x v="1"/>
      <x v="13"/>
    </i>
    <i r="2">
      <x v="21"/>
      <x v="1"/>
      <x/>
      <x v="13"/>
    </i>
    <i r="2">
      <x v="22"/>
      <x v="1"/>
      <x v="2"/>
      <x v="14"/>
    </i>
    <i r="2">
      <x v="23"/>
      <x/>
      <x v="1"/>
      <x v="15"/>
    </i>
    <i r="2">
      <x v="24"/>
      <x/>
      <x v="2"/>
      <x v="16"/>
    </i>
    <i r="2">
      <x v="25"/>
      <x/>
      <x/>
      <x v="10"/>
    </i>
    <i r="2">
      <x v="26"/>
      <x/>
      <x v="2"/>
      <x v="17"/>
    </i>
    <i r="2">
      <x v="27"/>
      <x/>
      <x v="2"/>
      <x v="18"/>
    </i>
    <i r="2">
      <x v="28"/>
      <x/>
      <x v="2"/>
      <x v="18"/>
    </i>
    <i r="2">
      <x v="29"/>
      <x/>
      <x v="2"/>
      <x v="19"/>
    </i>
    <i r="2">
      <x v="30"/>
      <x/>
      <x/>
      <x v="10"/>
    </i>
    <i r="2">
      <x v="31"/>
      <x/>
      <x v="1"/>
      <x v="20"/>
    </i>
    <i r="2">
      <x v="32"/>
      <x/>
      <x v="2"/>
      <x v="21"/>
    </i>
    <i r="2">
      <x v="33"/>
      <x/>
      <x v="2"/>
      <x v="19"/>
    </i>
    <i r="2">
      <x v="34"/>
      <x/>
      <x v="2"/>
      <x v="22"/>
    </i>
    <i r="2">
      <x v="35"/>
      <x/>
      <x v="2"/>
      <x v="22"/>
    </i>
    <i r="1">
      <x v="3"/>
      <x v="36"/>
      <x/>
      <x/>
      <x v="23"/>
    </i>
    <i r="2">
      <x v="37"/>
      <x v="1"/>
      <x/>
      <x v="23"/>
    </i>
    <i r="2">
      <x v="38"/>
      <x/>
      <x/>
      <x v="23"/>
    </i>
    <i r="2">
      <x v="39"/>
      <x v="1"/>
      <x/>
      <x v="23"/>
    </i>
    <i r="2">
      <x v="40"/>
      <x/>
      <x/>
      <x v="23"/>
    </i>
    <i r="2">
      <x v="41"/>
      <x/>
      <x/>
      <x v="24"/>
    </i>
    <i r="2">
      <x v="42"/>
      <x v="1"/>
      <x/>
      <x v="23"/>
    </i>
    <i r="2">
      <x v="43"/>
      <x/>
      <x/>
      <x v="23"/>
    </i>
    <i r="2">
      <x v="44"/>
      <x/>
      <x/>
      <x v="24"/>
    </i>
    <i r="2">
      <x v="45"/>
      <x v="1"/>
      <x/>
      <x v="25"/>
    </i>
    <i r="2">
      <x v="46"/>
      <x/>
      <x/>
      <x v="24"/>
    </i>
    <i r="2">
      <x v="47"/>
      <x v="1"/>
      <x/>
      <x v="23"/>
    </i>
    <i r="2">
      <x v="48"/>
      <x/>
      <x/>
      <x v="23"/>
    </i>
    <i r="1">
      <x v="4"/>
      <x v="49"/>
      <x/>
      <x v="1"/>
      <x v="26"/>
    </i>
    <i r="2">
      <x v="50"/>
      <x/>
      <x v="2"/>
      <x v="27"/>
    </i>
    <i r="2">
      <x v="51"/>
      <x/>
      <x v="1"/>
      <x v="28"/>
    </i>
    <i r="2">
      <x v="52"/>
      <x v="1"/>
      <x v="2"/>
      <x v="29"/>
    </i>
    <i r="2">
      <x v="53"/>
      <x v="1"/>
      <x v="1"/>
      <x v="30"/>
    </i>
    <i r="2">
      <x v="54"/>
      <x/>
      <x v="2"/>
      <x v="28"/>
    </i>
    <i r="1">
      <x v="5"/>
      <x v="55"/>
      <x v="1"/>
      <x v="1"/>
      <x v="31"/>
    </i>
    <i r="2">
      <x v="56"/>
      <x/>
      <x v="2"/>
      <x v="32"/>
    </i>
    <i r="2">
      <x v="57"/>
      <x/>
      <x v="2"/>
      <x v="32"/>
    </i>
    <i r="2">
      <x v="58"/>
      <x/>
      <x v="2"/>
      <x v="33"/>
    </i>
    <i r="2">
      <x v="59"/>
      <x/>
      <x v="2"/>
      <x v="33"/>
    </i>
    <i r="2">
      <x v="60"/>
      <x v="1"/>
      <x v="1"/>
      <x v="34"/>
    </i>
    <i r="2">
      <x v="61"/>
      <x v="1"/>
      <x v="1"/>
      <x v="34"/>
    </i>
    <i r="2">
      <x v="62"/>
      <x/>
      <x v="2"/>
      <x v="35"/>
    </i>
    <i r="2">
      <x v="63"/>
      <x/>
      <x v="2"/>
      <x v="36"/>
    </i>
    <i r="2">
      <x v="64"/>
      <x/>
      <x v="2"/>
      <x v="35"/>
    </i>
    <i r="2">
      <x v="65"/>
      <x v="1"/>
      <x v="1"/>
      <x v="37"/>
    </i>
    <i r="2">
      <x v="66"/>
      <x/>
      <x/>
      <x v="38"/>
    </i>
    <i r="2">
      <x v="67"/>
      <x/>
      <x/>
      <x v="38"/>
    </i>
    <i r="2">
      <x v="68"/>
      <x/>
      <x v="2"/>
      <x v="35"/>
    </i>
    <i r="2">
      <x v="69"/>
      <x/>
      <x v="2"/>
      <x v="35"/>
    </i>
    <i r="2">
      <x v="70"/>
      <x v="1"/>
      <x v="1"/>
      <x v="39"/>
    </i>
    <i r="2">
      <x v="71"/>
      <x/>
      <x v="2"/>
      <x v="35"/>
    </i>
    <i r="2">
      <x v="72"/>
      <x/>
      <x v="2"/>
      <x v="35"/>
    </i>
    <i r="2">
      <x v="73"/>
      <x/>
      <x v="1"/>
      <x v="31"/>
    </i>
    <i r="2">
      <x v="74"/>
      <x/>
      <x v="2"/>
      <x v="35"/>
    </i>
    <i r="2">
      <x v="75"/>
      <x/>
      <x v="2"/>
      <x v="35"/>
    </i>
    <i r="2">
      <x v="76"/>
      <x v="1"/>
      <x v="1"/>
      <x v="40"/>
    </i>
    <i r="2">
      <x v="77"/>
      <x/>
      <x v="2"/>
      <x v="33"/>
    </i>
    <i r="2">
      <x v="78"/>
      <x/>
      <x v="2"/>
      <x v="36"/>
    </i>
    <i r="2">
      <x v="79"/>
      <x v="1"/>
      <x v="3"/>
      <x v="41"/>
    </i>
    <i r="2">
      <x v="80"/>
      <x v="1"/>
      <x v="3"/>
      <x v="41"/>
    </i>
    <i r="2">
      <x v="81"/>
      <x/>
      <x v="2"/>
      <x v="35"/>
    </i>
    <i r="2">
      <x v="82"/>
      <x/>
      <x v="2"/>
      <x v="35"/>
    </i>
    <i r="2">
      <x v="83"/>
      <x/>
      <x v="2"/>
      <x v="31"/>
    </i>
    <i r="2">
      <x v="84"/>
      <x/>
      <x v="2"/>
      <x v="31"/>
    </i>
    <i r="2">
      <x v="85"/>
      <x/>
      <x v="2"/>
      <x v="31"/>
    </i>
    <i r="1">
      <x v="6"/>
      <x v="86"/>
      <x v="1"/>
      <x v="1"/>
      <x v="42"/>
    </i>
    <i r="2">
      <x v="87"/>
      <x/>
      <x v="1"/>
      <x v="43"/>
    </i>
    <i r="2">
      <x v="88"/>
      <x v="1"/>
      <x/>
      <x v="44"/>
    </i>
    <i r="2">
      <x v="89"/>
      <x v="1"/>
      <x v="1"/>
      <x v="42"/>
    </i>
    <i r="2">
      <x v="90"/>
      <x/>
      <x/>
      <x v="44"/>
    </i>
    <i r="2">
      <x v="91"/>
      <x/>
      <x v="2"/>
      <x v="45"/>
    </i>
    <i r="2">
      <x v="92"/>
      <x v="1"/>
      <x v="1"/>
      <x v="42"/>
    </i>
    <i r="1">
      <x v="7"/>
      <x v="93"/>
      <x/>
      <x/>
      <x v="46"/>
    </i>
    <i r="2">
      <x v="94"/>
      <x/>
      <x/>
      <x v="46"/>
    </i>
    <i r="2">
      <x v="95"/>
      <x v="1"/>
      <x/>
      <x v="47"/>
    </i>
    <i r="2">
      <x v="96"/>
      <x v="1"/>
      <x/>
      <x v="48"/>
    </i>
    <i r="2">
      <x v="97"/>
      <x v="1"/>
      <x/>
      <x v="47"/>
    </i>
    <i r="1">
      <x v="8"/>
      <x v="98"/>
      <x/>
      <x v="2"/>
      <x v="49"/>
    </i>
    <i r="2">
      <x v="99"/>
      <x/>
      <x/>
      <x v="50"/>
    </i>
    <i r="2">
      <x v="100"/>
      <x/>
      <x v="2"/>
      <x v="51"/>
    </i>
    <i r="2">
      <x v="101"/>
      <x/>
      <x v="2"/>
      <x v="52"/>
    </i>
    <i r="2">
      <x v="102"/>
      <x/>
      <x v="2"/>
      <x v="53"/>
    </i>
    <i r="2">
      <x v="103"/>
      <x v="1"/>
      <x v="1"/>
      <x v="54"/>
    </i>
    <i r="2">
      <x v="104"/>
      <x/>
      <x v="2"/>
      <x v="49"/>
    </i>
    <i r="2">
      <x v="105"/>
      <x/>
      <x v="2"/>
      <x v="49"/>
    </i>
    <i r="2">
      <x v="106"/>
      <x/>
      <x v="2"/>
      <x v="49"/>
    </i>
    <i r="2">
      <x v="107"/>
      <x v="1"/>
      <x v="2"/>
      <x v="55"/>
    </i>
    <i r="2">
      <x v="108"/>
      <x v="1"/>
      <x v="2"/>
      <x v="55"/>
    </i>
    <i r="2">
      <x v="109"/>
      <x v="1"/>
      <x v="2"/>
      <x v="55"/>
    </i>
    <i r="2">
      <x v="110"/>
      <x/>
      <x v="2"/>
      <x v="49"/>
    </i>
    <i r="2">
      <x v="111"/>
      <x/>
      <x v="2"/>
      <x v="49"/>
    </i>
    <i r="2">
      <x v="112"/>
      <x v="1"/>
      <x v="1"/>
      <x v="54"/>
    </i>
    <i r="2">
      <x v="113"/>
      <x/>
      <x v="1"/>
      <x v="56"/>
    </i>
    <i r="2">
      <x v="114"/>
      <x v="1"/>
      <x v="2"/>
      <x v="55"/>
    </i>
    <i r="2">
      <x v="115"/>
      <x v="1"/>
      <x v="2"/>
      <x v="55"/>
    </i>
    <i r="2">
      <x v="116"/>
      <x/>
      <x/>
      <x v="57"/>
    </i>
    <i r="2">
      <x v="117"/>
      <x/>
      <x v="1"/>
      <x v="54"/>
    </i>
    <i r="2">
      <x v="118"/>
      <x/>
      <x v="1"/>
      <x v="54"/>
    </i>
    <i r="2">
      <x v="119"/>
      <x v="1"/>
      <x v="1"/>
      <x v="54"/>
    </i>
    <i r="2">
      <x v="120"/>
      <x v="1"/>
      <x v="1"/>
      <x v="54"/>
    </i>
    <i r="2">
      <x v="121"/>
      <x v="1"/>
      <x v="1"/>
      <x v="54"/>
    </i>
    <i r="2">
      <x v="122"/>
      <x v="1"/>
      <x v="1"/>
      <x v="54"/>
    </i>
    <i r="2">
      <x v="123"/>
      <x v="1"/>
      <x/>
      <x v="58"/>
    </i>
    <i r="2">
      <x v="124"/>
      <x/>
      <x v="2"/>
      <x v="49"/>
    </i>
    <i r="2">
      <x v="125"/>
      <x v="1"/>
      <x/>
      <x v="58"/>
    </i>
    <i r="2">
      <x v="126"/>
      <x v="1"/>
      <x v="2"/>
      <x v="55"/>
    </i>
    <i r="2">
      <x v="127"/>
      <x v="1"/>
      <x v="2"/>
      <x v="55"/>
    </i>
    <i r="2">
      <x v="128"/>
      <x/>
      <x v="2"/>
      <x v="59"/>
    </i>
    <i r="2">
      <x v="129"/>
      <x/>
      <x v="1"/>
      <x v="59"/>
    </i>
    <i r="2">
      <x v="130"/>
      <x/>
      <x v="1"/>
      <x v="60"/>
    </i>
    <i r="2">
      <x v="131"/>
      <x/>
      <x v="2"/>
      <x v="49"/>
    </i>
    <i r="2">
      <x v="132"/>
      <x/>
      <x v="2"/>
      <x v="56"/>
    </i>
    <i r="2">
      <x v="133"/>
      <x/>
      <x v="2"/>
      <x v="56"/>
    </i>
    <i r="2">
      <x v="134"/>
      <x/>
      <x v="2"/>
      <x v="61"/>
    </i>
    <i r="2">
      <x v="135"/>
      <x/>
      <x v="1"/>
      <x v="62"/>
    </i>
    <i r="2">
      <x v="136"/>
      <x/>
      <x v="1"/>
      <x v="63"/>
    </i>
    <i r="2">
      <x v="137"/>
      <x/>
      <x v="1"/>
      <x v="63"/>
    </i>
    <i r="1">
      <x v="9"/>
      <x v="138"/>
      <x v="1"/>
      <x v="1"/>
      <x v="64"/>
    </i>
    <i r="2">
      <x v="139"/>
      <x/>
      <x v="1"/>
      <x v="65"/>
    </i>
    <i r="2">
      <x v="140"/>
      <x/>
      <x v="1"/>
      <x v="66"/>
    </i>
    <i r="1">
      <x v="10"/>
      <x v="141"/>
      <x v="1"/>
      <x v="1"/>
      <x v="67"/>
    </i>
    <i r="2">
      <x v="142"/>
      <x/>
      <x v="2"/>
      <x v="68"/>
    </i>
    <i r="2">
      <x v="143"/>
      <x v="1"/>
      <x v="1"/>
      <x v="69"/>
    </i>
    <i r="2">
      <x v="144"/>
      <x v="1"/>
      <x v="1"/>
      <x v="67"/>
    </i>
    <i r="2">
      <x v="145"/>
      <x/>
      <x v="1"/>
      <x v="70"/>
    </i>
    <i r="1">
      <x v="11"/>
      <x v="146"/>
      <x/>
      <x v="2"/>
      <x v="71"/>
    </i>
    <i r="2">
      <x v="147"/>
      <x v="1"/>
      <x v="1"/>
      <x v="72"/>
    </i>
    <i r="2">
      <x v="148"/>
      <x/>
      <x v="1"/>
      <x v="73"/>
    </i>
    <i r="2">
      <x v="149"/>
      <x v="1"/>
      <x v="1"/>
      <x v="72"/>
    </i>
    <i r="2">
      <x v="150"/>
      <x v="1"/>
      <x v="1"/>
      <x v="74"/>
    </i>
    <i r="2">
      <x v="151"/>
      <x/>
      <x v="2"/>
      <x v="75"/>
    </i>
    <i r="2">
      <x v="152"/>
      <x/>
      <x v="1"/>
      <x v="76"/>
    </i>
    <i r="2">
      <x v="153"/>
      <x/>
      <x v="1"/>
      <x v="73"/>
    </i>
    <i r="2">
      <x v="154"/>
      <x/>
      <x v="1"/>
      <x v="73"/>
    </i>
    <i r="2">
      <x v="155"/>
      <x v="1"/>
      <x v="1"/>
      <x v="77"/>
    </i>
    <i r="2">
      <x v="156"/>
      <x v="1"/>
      <x v="1"/>
      <x v="74"/>
    </i>
    <i r="2">
      <x v="157"/>
      <x v="1"/>
      <x v="1"/>
      <x v="77"/>
    </i>
    <i r="2">
      <x v="158"/>
      <x v="1"/>
      <x v="1"/>
      <x v="74"/>
    </i>
    <i r="2">
      <x v="159"/>
      <x v="1"/>
      <x v="1"/>
      <x v="77"/>
    </i>
    <i r="2">
      <x v="160"/>
      <x/>
      <x v="1"/>
      <x v="73"/>
    </i>
    <i r="2">
      <x v="161"/>
      <x v="1"/>
      <x v="1"/>
      <x v="77"/>
    </i>
    <i r="2">
      <x v="162"/>
      <x v="1"/>
      <x v="1"/>
      <x v="77"/>
    </i>
    <i r="2">
      <x v="163"/>
      <x v="1"/>
      <x v="1"/>
      <x v="77"/>
    </i>
    <i r="2">
      <x v="164"/>
      <x/>
      <x v="1"/>
      <x v="76"/>
    </i>
    <i r="2">
      <x v="165"/>
      <x v="1"/>
      <x v="1"/>
      <x v="77"/>
    </i>
    <i r="2">
      <x v="166"/>
      <x v="1"/>
      <x v="1"/>
      <x v="77"/>
    </i>
    <i r="2">
      <x v="167"/>
      <x v="1"/>
      <x v="1"/>
      <x v="77"/>
    </i>
    <i r="2">
      <x v="168"/>
      <x v="1"/>
      <x v="1"/>
      <x v="77"/>
    </i>
    <i r="2">
      <x v="169"/>
      <x v="1"/>
      <x v="1"/>
      <x v="77"/>
    </i>
    <i r="2">
      <x v="170"/>
      <x v="1"/>
      <x v="1"/>
      <x v="77"/>
    </i>
    <i r="2">
      <x v="171"/>
      <x/>
      <x v="2"/>
      <x v="78"/>
    </i>
    <i r="2">
      <x v="172"/>
      <x/>
      <x v="2"/>
      <x v="78"/>
    </i>
    <i r="2">
      <x v="173"/>
      <x v="1"/>
      <x v="1"/>
      <x v="77"/>
    </i>
    <i r="2">
      <x v="174"/>
      <x v="1"/>
      <x v="1"/>
      <x v="77"/>
    </i>
    <i r="2">
      <x v="175"/>
      <x v="1"/>
      <x v="1"/>
      <x v="77"/>
    </i>
    <i r="2">
      <x v="176"/>
      <x v="1"/>
      <x v="1"/>
      <x v="77"/>
    </i>
    <i r="2">
      <x v="177"/>
      <x v="1"/>
      <x v="1"/>
      <x v="77"/>
    </i>
    <i r="2">
      <x v="178"/>
      <x v="1"/>
      <x v="1"/>
      <x v="77"/>
    </i>
    <i r="2">
      <x v="179"/>
      <x v="1"/>
      <x v="1"/>
      <x v="77"/>
    </i>
    <i r="2">
      <x v="180"/>
      <x v="1"/>
      <x v="1"/>
      <x v="79"/>
    </i>
    <i r="2">
      <x v="181"/>
      <x v="1"/>
      <x v="1"/>
      <x v="72"/>
    </i>
    <i r="2">
      <x v="182"/>
      <x v="1"/>
      <x v="1"/>
      <x v="72"/>
    </i>
    <i r="2">
      <x v="183"/>
      <x v="1"/>
      <x v="1"/>
      <x v="77"/>
    </i>
    <i r="2">
      <x v="184"/>
      <x v="1"/>
      <x v="1"/>
      <x v="77"/>
    </i>
    <i r="2">
      <x v="185"/>
      <x/>
      <x v="2"/>
      <x v="78"/>
    </i>
    <i r="2">
      <x v="186"/>
      <x v="1"/>
      <x v="1"/>
      <x v="77"/>
    </i>
    <i r="2">
      <x v="187"/>
      <x v="1"/>
      <x v="1"/>
      <x v="77"/>
    </i>
    <i r="1">
      <x v="12"/>
      <x v="188"/>
      <x/>
      <x v="2"/>
      <x v="80"/>
    </i>
    <i r="2">
      <x v="189"/>
      <x/>
      <x v="2"/>
      <x v="81"/>
    </i>
    <i r="2">
      <x v="190"/>
      <x/>
      <x v="1"/>
      <x v="82"/>
    </i>
    <i r="2">
      <x v="191"/>
      <x/>
      <x v="2"/>
      <x v="81"/>
    </i>
    <i r="2">
      <x v="192"/>
      <x/>
      <x v="2"/>
      <x v="83"/>
    </i>
    <i r="2">
      <x v="193"/>
      <x/>
      <x v="2"/>
      <x v="84"/>
    </i>
    <i r="2">
      <x v="194"/>
      <x/>
      <x v="2"/>
      <x v="85"/>
    </i>
    <i r="2">
      <x v="195"/>
      <x/>
      <x v="2"/>
      <x v="85"/>
    </i>
    <i r="2">
      <x v="196"/>
      <x/>
      <x v="2"/>
      <x v="81"/>
    </i>
    <i r="2">
      <x v="197"/>
      <x/>
      <x v="2"/>
      <x v="80"/>
    </i>
    <i r="2">
      <x v="198"/>
      <x v="1"/>
      <x v="2"/>
      <x v="86"/>
    </i>
    <i r="2">
      <x v="199"/>
      <x/>
      <x v="2"/>
      <x v="84"/>
    </i>
    <i r="2">
      <x v="200"/>
      <x/>
      <x v="2"/>
      <x v="80"/>
    </i>
    <i r="2">
      <x v="201"/>
      <x/>
      <x v="2"/>
      <x v="82"/>
    </i>
    <i r="2">
      <x v="202"/>
      <x/>
      <x v="2"/>
      <x v="81"/>
    </i>
    <i r="2">
      <x v="203"/>
      <x/>
      <x v="1"/>
      <x v="87"/>
    </i>
    <i r="2">
      <x v="204"/>
      <x/>
      <x v="2"/>
      <x v="88"/>
    </i>
    <i r="1">
      <x v="13"/>
      <x v="205"/>
      <x v="1"/>
      <x v="1"/>
      <x v="89"/>
    </i>
    <i r="2">
      <x v="206"/>
      <x v="1"/>
      <x v="1"/>
      <x v="89"/>
    </i>
    <i r="2">
      <x v="207"/>
      <x v="1"/>
      <x v="1"/>
      <x v="89"/>
    </i>
    <i r="2">
      <x v="208"/>
      <x v="1"/>
      <x v="1"/>
      <x v="89"/>
    </i>
    <i r="2">
      <x v="209"/>
      <x v="1"/>
      <x v="1"/>
      <x v="89"/>
    </i>
    <i r="2">
      <x v="210"/>
      <x v="1"/>
      <x v="1"/>
      <x v="89"/>
    </i>
    <i r="2">
      <x v="211"/>
      <x v="1"/>
      <x v="1"/>
      <x v="89"/>
    </i>
    <i r="2">
      <x v="212"/>
      <x/>
      <x v="3"/>
      <x v="90"/>
    </i>
    <i r="1">
      <x v="14"/>
      <x v="213"/>
      <x v="1"/>
      <x v="1"/>
      <x v="91"/>
    </i>
    <i r="2">
      <x v="214"/>
      <x v="1"/>
      <x v="1"/>
      <x v="92"/>
    </i>
    <i r="2">
      <x v="215"/>
      <x/>
      <x v="2"/>
      <x v="93"/>
    </i>
    <i r="2">
      <x v="216"/>
      <x v="1"/>
      <x v="1"/>
      <x v="94"/>
    </i>
    <i r="2">
      <x v="217"/>
      <x v="1"/>
      <x v="1"/>
      <x v="92"/>
    </i>
    <i r="2">
      <x v="218"/>
      <x/>
      <x v="3"/>
      <x v="95"/>
    </i>
    <i r="2">
      <x v="219"/>
      <x/>
      <x v="3"/>
      <x v="96"/>
    </i>
    <i r="2">
      <x v="220"/>
      <x/>
      <x v="2"/>
      <x v="97"/>
    </i>
    <i r="2">
      <x v="221"/>
      <x/>
      <x v="2"/>
      <x v="98"/>
    </i>
    <i r="2">
      <x v="222"/>
      <x v="1"/>
      <x/>
      <x v="99"/>
    </i>
    <i r="2">
      <x v="223"/>
      <x v="1"/>
      <x/>
      <x v="99"/>
    </i>
    <i r="2">
      <x v="224"/>
      <x v="1"/>
      <x v="2"/>
      <x v="99"/>
    </i>
    <i r="2">
      <x v="225"/>
      <x v="1"/>
      <x v="1"/>
      <x v="100"/>
    </i>
    <i r="2">
      <x v="226"/>
      <x/>
      <x v="2"/>
      <x v="101"/>
    </i>
    <i r="1">
      <x v="15"/>
      <x v="227"/>
      <x v="1"/>
      <x/>
      <x v="102"/>
    </i>
    <i r="2">
      <x v="228"/>
      <x/>
      <x v="2"/>
      <x v="103"/>
    </i>
    <i r="2">
      <x v="229"/>
      <x/>
      <x v="1"/>
      <x v="104"/>
    </i>
    <i r="2">
      <x v="230"/>
      <x v="1"/>
      <x/>
      <x v="105"/>
    </i>
    <i r="2">
      <x v="231"/>
      <x v="1"/>
      <x/>
      <x v="105"/>
    </i>
    <i r="2">
      <x v="232"/>
      <x v="1"/>
      <x/>
      <x v="102"/>
    </i>
    <i r="2">
      <x v="233"/>
      <x v="1"/>
      <x/>
      <x v="102"/>
    </i>
    <i r="1">
      <x v="16"/>
      <x v="234"/>
      <x v="1"/>
      <x v="1"/>
      <x v="106"/>
    </i>
    <i r="2">
      <x v="235"/>
      <x/>
      <x v="2"/>
      <x v="107"/>
    </i>
    <i r="2">
      <x v="236"/>
      <x/>
      <x v="2"/>
      <x v="108"/>
    </i>
    <i r="2">
      <x v="237"/>
      <x/>
      <x v="2"/>
      <x v="108"/>
    </i>
    <i r="2">
      <x v="238"/>
      <x/>
      <x v="2"/>
      <x v="109"/>
    </i>
    <i r="2">
      <x v="239"/>
      <x/>
      <x v="2"/>
      <x v="110"/>
    </i>
    <i r="2">
      <x v="240"/>
      <x/>
      <x v="1"/>
      <x v="111"/>
    </i>
    <i r="2">
      <x v="241"/>
      <x/>
      <x v="1"/>
      <x v="112"/>
    </i>
    <i r="2">
      <x v="242"/>
      <x/>
      <x v="2"/>
      <x v="107"/>
    </i>
    <i r="2">
      <x v="243"/>
      <x v="1"/>
      <x v="1"/>
      <x v="106"/>
    </i>
    <i r="2">
      <x v="244"/>
      <x v="1"/>
      <x v="1"/>
      <x v="106"/>
    </i>
    <i r="2">
      <x v="245"/>
      <x/>
      <x v="2"/>
      <x v="113"/>
    </i>
    <i r="1">
      <x v="17"/>
      <x v="246"/>
      <x v="1"/>
      <x/>
      <x v="114"/>
    </i>
    <i r="2">
      <x v="247"/>
      <x/>
      <x v="1"/>
      <x v="115"/>
    </i>
    <i r="2">
      <x v="248"/>
      <x/>
      <x/>
      <x v="114"/>
    </i>
    <i r="2">
      <x v="249"/>
      <x v="1"/>
      <x v="1"/>
      <x v="116"/>
    </i>
    <i r="2">
      <x v="250"/>
      <x/>
      <x v="1"/>
      <x v="115"/>
    </i>
    <i r="2">
      <x v="251"/>
      <x v="1"/>
      <x v="2"/>
      <x v="117"/>
    </i>
    <i r="2">
      <x v="252"/>
      <x/>
      <x v="2"/>
      <x v="118"/>
    </i>
    <i r="2">
      <x v="253"/>
      <x/>
      <x v="2"/>
      <x v="119"/>
    </i>
    <i r="2">
      <x v="254"/>
      <x/>
      <x v="1"/>
      <x v="120"/>
    </i>
    <i r="2">
      <x v="255"/>
      <x/>
      <x/>
      <x v="114"/>
    </i>
    <i r="2">
      <x v="256"/>
      <x/>
      <x v="2"/>
      <x v="121"/>
    </i>
    <i r="2">
      <x v="257"/>
      <x/>
      <x v="2"/>
      <x v="121"/>
    </i>
    <i r="1">
      <x v="18"/>
      <x v="258"/>
      <x/>
      <x v="1"/>
      <x v="122"/>
    </i>
    <i r="2">
      <x v="259"/>
      <x v="1"/>
      <x/>
      <x v="123"/>
    </i>
    <i r="2">
      <x v="260"/>
      <x/>
      <x v="1"/>
      <x v="124"/>
    </i>
    <i r="2">
      <x v="261"/>
      <x v="1"/>
      <x v="1"/>
      <x v="125"/>
    </i>
    <i r="2">
      <x v="262"/>
      <x/>
      <x/>
      <x v="126"/>
    </i>
    <i r="2">
      <x v="263"/>
      <x v="1"/>
      <x v="1"/>
      <x v="127"/>
    </i>
    <i r="2">
      <x v="264"/>
      <x/>
      <x/>
      <x v="126"/>
    </i>
    <i r="2">
      <x v="265"/>
      <x/>
      <x/>
      <x v="126"/>
    </i>
    <i r="2">
      <x v="266"/>
      <x v="1"/>
      <x v="1"/>
      <x v="128"/>
    </i>
    <i r="2">
      <x v="267"/>
      <x v="1"/>
      <x v="1"/>
      <x v="129"/>
    </i>
    <i r="1">
      <x v="19"/>
      <x v="268"/>
      <x/>
      <x v="2"/>
      <x v="130"/>
    </i>
    <i r="2">
      <x v="269"/>
      <x/>
      <x v="2"/>
      <x v="131"/>
    </i>
    <i r="2">
      <x v="270"/>
      <x/>
      <x v="2"/>
      <x v="131"/>
    </i>
    <i r="2">
      <x v="271"/>
      <x/>
      <x v="3"/>
      <x v="132"/>
    </i>
    <i r="2">
      <x v="272"/>
      <x v="1"/>
      <x/>
      <x v="133"/>
    </i>
    <i r="2">
      <x v="273"/>
      <x v="1"/>
      <x v="2"/>
      <x v="134"/>
    </i>
    <i r="2">
      <x v="274"/>
      <x/>
      <x v="1"/>
      <x v="135"/>
    </i>
    <i r="2">
      <x v="275"/>
      <x v="1"/>
      <x v="1"/>
      <x v="136"/>
    </i>
    <i r="2">
      <x v="276"/>
      <x v="1"/>
      <x/>
      <x v="137"/>
    </i>
    <i r="2">
      <x v="277"/>
      <x v="1"/>
      <x v="2"/>
      <x v="138"/>
    </i>
    <i r="2">
      <x v="278"/>
      <x/>
      <x/>
      <x v="133"/>
    </i>
    <i r="1">
      <x v="20"/>
      <x v="279"/>
      <x/>
      <x v="2"/>
      <x v="139"/>
    </i>
    <i r="2">
      <x v="280"/>
      <x v="1"/>
      <x/>
      <x v="140"/>
    </i>
    <i r="2">
      <x v="281"/>
      <x v="1"/>
      <x v="1"/>
      <x v="141"/>
    </i>
    <i r="2">
      <x v="282"/>
      <x v="1"/>
      <x v="1"/>
      <x v="142"/>
    </i>
    <i r="2">
      <x v="283"/>
      <x/>
      <x/>
      <x v="140"/>
    </i>
    <i r="2">
      <x v="284"/>
      <x/>
      <x/>
      <x v="140"/>
    </i>
    <i r="2">
      <x v="285"/>
      <x v="1"/>
      <x/>
      <x v="140"/>
    </i>
    <i r="2">
      <x v="286"/>
      <x v="1"/>
      <x/>
      <x v="140"/>
    </i>
    <i r="2">
      <x v="287"/>
      <x v="1"/>
      <x/>
      <x v="140"/>
    </i>
    <i r="2">
      <x v="288"/>
      <x v="1"/>
      <x/>
      <x v="143"/>
    </i>
    <i r="2">
      <x v="289"/>
      <x v="1"/>
      <x/>
      <x v="140"/>
    </i>
    <i r="2">
      <x v="290"/>
      <x v="1"/>
      <x v="1"/>
      <x v="144"/>
    </i>
    <i r="2">
      <x v="291"/>
      <x v="1"/>
      <x/>
      <x v="140"/>
    </i>
    <i r="2">
      <x v="292"/>
      <x/>
      <x v="2"/>
      <x v="145"/>
    </i>
    <i r="2">
      <x v="293"/>
      <x v="1"/>
      <x/>
      <x v="143"/>
    </i>
    <i>
      <x v="1"/>
      <x/>
      <x v="294"/>
      <x/>
      <x/>
      <x/>
    </i>
    <i r="1">
      <x v="2"/>
      <x v="295"/>
      <x/>
      <x/>
      <x v="10"/>
    </i>
    <i r="2">
      <x v="296"/>
      <x/>
      <x v="1"/>
      <x v="146"/>
    </i>
    <i r="2">
      <x v="297"/>
      <x/>
      <x v="1"/>
      <x v="147"/>
    </i>
    <i r="1">
      <x v="5"/>
      <x v="298"/>
      <x/>
      <x v="2"/>
      <x v="35"/>
    </i>
    <i r="2">
      <x v="299"/>
      <x v="1"/>
      <x v="1"/>
      <x v="31"/>
    </i>
    <i r="2">
      <x v="300"/>
      <x/>
      <x v="2"/>
      <x v="35"/>
    </i>
    <i r="2">
      <x v="301"/>
      <x/>
      <x v="2"/>
      <x v="35"/>
    </i>
    <i r="2">
      <x v="302"/>
      <x/>
      <x v="2"/>
      <x v="33"/>
    </i>
    <i r="1">
      <x v="6"/>
      <x v="303"/>
      <x v="1"/>
      <x v="1"/>
      <x v="42"/>
    </i>
    <i r="2">
      <x v="304"/>
      <x v="1"/>
      <x v="1"/>
      <x v="42"/>
    </i>
    <i r="1">
      <x v="10"/>
      <x v="305"/>
      <x/>
      <x v="2"/>
      <x v="68"/>
    </i>
    <i r="2">
      <x v="306"/>
      <x/>
      <x v="2"/>
      <x v="148"/>
    </i>
    <i r="2">
      <x v="307"/>
      <x v="1"/>
      <x v="1"/>
      <x v="67"/>
    </i>
    <i r="1">
      <x v="11"/>
      <x v="308"/>
      <x v="1"/>
      <x v="1"/>
      <x v="77"/>
    </i>
    <i r="2">
      <x v="309"/>
      <x v="1"/>
      <x v="1"/>
      <x v="77"/>
    </i>
    <i r="2">
      <x v="310"/>
      <x/>
      <x v="2"/>
      <x v="78"/>
    </i>
    <i r="2">
      <x v="311"/>
      <x v="1"/>
      <x v="1"/>
      <x v="149"/>
    </i>
    <i r="2">
      <x v="312"/>
      <x/>
      <x v="1"/>
      <x v="76"/>
    </i>
    <i r="1">
      <x v="13"/>
      <x v="313"/>
      <x v="1"/>
      <x v="1"/>
      <x v="150"/>
    </i>
    <i r="2">
      <x v="314"/>
      <x v="1"/>
      <x v="1"/>
      <x v="151"/>
    </i>
    <i r="2">
      <x v="315"/>
      <x v="1"/>
      <x v="1"/>
      <x v="152"/>
    </i>
    <i r="1">
      <x v="14"/>
      <x v="316"/>
      <x/>
      <x v="2"/>
      <x v="153"/>
    </i>
    <i r="2">
      <x v="317"/>
      <x/>
      <x v="2"/>
      <x v="154"/>
    </i>
    <i r="1">
      <x v="16"/>
      <x v="318"/>
      <x/>
      <x v="2"/>
      <x v="108"/>
    </i>
    <i r="1">
      <x v="17"/>
      <x v="319"/>
      <x/>
      <x v="2"/>
      <x v="119"/>
    </i>
    <i r="2">
      <x v="320"/>
      <x/>
      <x v="2"/>
      <x v="119"/>
    </i>
    <i r="2">
      <x v="321"/>
      <x/>
      <x v="2"/>
      <x v="121"/>
    </i>
    <i r="1">
      <x v="20"/>
      <x v="322"/>
      <x v="1"/>
      <x v="1"/>
      <x v="144"/>
    </i>
    <i r="2">
      <x v="323"/>
      <x v="1"/>
      <x v="1"/>
      <x v="144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474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343091741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343091741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343091741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I7" sqref="I7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06/08/2026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55.269429322939992</v>
      </c>
      <c r="H8" s="21" cm="1">
        <f t="array" ref="H8">IFERROR(SUMPRODUCT(G17:G1007,H17:H1007*(A17:A1007=202608))/SUMIFS(G17:G1007,A17:A1007,202608),0)</f>
        <v>1.2485409366982367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58.269429322939992</v>
      </c>
      <c r="H10" s="21">
        <f>+IFERROR(((G8*H8)+(SUM(J17:J1007)*(SUMPRODUCT(J17:J1007,K17:K1007)/SUM(J17:J1007))))/(G8+SUM(J17:J1007)),H8)</f>
        <v>1.1945568348004632</v>
      </c>
      <c r="I10"/>
      <c r="J10"/>
      <c r="K10"/>
    </row>
    <row r="11" spans="1:19" x14ac:dyDescent="0.3">
      <c r="F11" s="13" t="s">
        <v>4</v>
      </c>
      <c r="G11" s="6">
        <f>+SUM(G17:G999998)</f>
        <v>512.61417997996989</v>
      </c>
      <c r="H11" s="21">
        <f>+SUMPRODUCT(G17:G1007,H17:H1007)/SUM(G17:G1007)</f>
        <v>1.3207869615602037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515.61417997996989</v>
      </c>
      <c r="H12" s="21">
        <f>+IFERROR(((G11*H11)+(SUM(J17:J1007)*(SUMPRODUCT(J17:J1007,K17:K1007)/SUM(J17:J1007))))/(G11+SUM(J17:J1007)),H11)</f>
        <v>1.3142658823982396</v>
      </c>
      <c r="I12"/>
      <c r="J12"/>
      <c r="K12"/>
      <c r="S12" t="s">
        <v>215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6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17</v>
      </c>
      <c r="C21">
        <v>1769028315</v>
      </c>
      <c r="D21" t="s">
        <v>23</v>
      </c>
      <c r="E21" t="s">
        <v>19</v>
      </c>
      <c r="F21" t="s">
        <v>192</v>
      </c>
      <c r="G21" s="8">
        <v>1.4999999999999999E-2</v>
      </c>
      <c r="H21" s="26">
        <v>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1764780050</v>
      </c>
      <c r="D22" t="s">
        <v>18</v>
      </c>
      <c r="E22" t="s">
        <v>24</v>
      </c>
      <c r="F22" t="s">
        <v>65</v>
      </c>
      <c r="G22" s="8">
        <v>0.17258443395</v>
      </c>
      <c r="H22" s="26">
        <v>2.74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1768856150</v>
      </c>
      <c r="D23" t="s">
        <v>18</v>
      </c>
      <c r="E23" t="s">
        <v>19</v>
      </c>
      <c r="F23" t="s">
        <v>63</v>
      </c>
      <c r="G23" s="8">
        <v>1.0206</v>
      </c>
      <c r="H23" s="26">
        <v>1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1768937893</v>
      </c>
      <c r="D24" t="s">
        <v>18</v>
      </c>
      <c r="E24" t="s">
        <v>24</v>
      </c>
      <c r="F24" t="s">
        <v>65</v>
      </c>
      <c r="G24" s="8">
        <v>0.69095532900000001</v>
      </c>
      <c r="H24" s="26">
        <v>2.74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1768957975</v>
      </c>
      <c r="D25" t="s">
        <v>18</v>
      </c>
      <c r="E25" t="s">
        <v>24</v>
      </c>
      <c r="F25" t="s">
        <v>65</v>
      </c>
      <c r="G25" s="8">
        <v>0.5638636935000001</v>
      </c>
      <c r="H25" s="26">
        <v>2.74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1768963649</v>
      </c>
      <c r="D26" t="s">
        <v>23</v>
      </c>
      <c r="E26" t="s">
        <v>19</v>
      </c>
      <c r="F26" t="s">
        <v>174</v>
      </c>
      <c r="G26" s="8">
        <v>0.82</v>
      </c>
      <c r="H26" s="26">
        <v>2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55</v>
      </c>
      <c r="C27">
        <v>1768999490</v>
      </c>
      <c r="D27" t="s">
        <v>18</v>
      </c>
      <c r="E27" t="s">
        <v>24</v>
      </c>
      <c r="F27" t="s">
        <v>65</v>
      </c>
      <c r="G27" s="8">
        <v>0.17189801999999998</v>
      </c>
      <c r="H27" s="26">
        <v>2.74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1769040510</v>
      </c>
      <c r="D28" t="s">
        <v>23</v>
      </c>
      <c r="E28" t="s">
        <v>19</v>
      </c>
      <c r="F28" t="s">
        <v>193</v>
      </c>
      <c r="G28" s="8">
        <v>0.65</v>
      </c>
      <c r="H28" s="26">
        <v>2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1769041419</v>
      </c>
      <c r="D29" t="s">
        <v>18</v>
      </c>
      <c r="E29" t="s">
        <v>24</v>
      </c>
      <c r="F29" t="s">
        <v>65</v>
      </c>
      <c r="G29" s="8">
        <v>0.12202167600000001</v>
      </c>
      <c r="H29" s="26">
        <v>2.79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1769041524</v>
      </c>
      <c r="D30" t="s">
        <v>18</v>
      </c>
      <c r="E30" t="s">
        <v>24</v>
      </c>
      <c r="F30" t="s">
        <v>194</v>
      </c>
      <c r="G30" s="8">
        <v>1.698</v>
      </c>
      <c r="H30" s="26">
        <v>3.35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1769042385</v>
      </c>
      <c r="D31" t="s">
        <v>18</v>
      </c>
      <c r="E31" t="s">
        <v>24</v>
      </c>
      <c r="F31" t="s">
        <v>195</v>
      </c>
      <c r="G31" s="8">
        <v>1.3272111359999998</v>
      </c>
      <c r="H31" s="26">
        <v>2.25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1769048383</v>
      </c>
      <c r="D32" t="s">
        <v>18</v>
      </c>
      <c r="E32" t="s">
        <v>24</v>
      </c>
      <c r="F32" t="s">
        <v>195</v>
      </c>
      <c r="G32" s="8">
        <v>1.52269192572</v>
      </c>
      <c r="H32" s="26">
        <v>2.15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1764742540</v>
      </c>
      <c r="D33" t="s">
        <v>18</v>
      </c>
      <c r="E33" t="s">
        <v>34</v>
      </c>
      <c r="F33" t="s">
        <v>109</v>
      </c>
      <c r="G33" s="8">
        <v>0.229630053</v>
      </c>
      <c r="H33" s="26">
        <v>2.85</v>
      </c>
      <c r="S33" s="2" t="s">
        <v>114</v>
      </c>
    </row>
    <row r="34" spans="1:19" x14ac:dyDescent="0.3">
      <c r="A34">
        <v>202607</v>
      </c>
      <c r="B34" t="s">
        <v>30</v>
      </c>
      <c r="C34">
        <v>1768858497</v>
      </c>
      <c r="D34" t="s">
        <v>18</v>
      </c>
      <c r="E34" t="s">
        <v>24</v>
      </c>
      <c r="F34" t="s">
        <v>98</v>
      </c>
      <c r="G34" s="8">
        <v>0.6804</v>
      </c>
      <c r="H34" s="26">
        <v>1.03</v>
      </c>
      <c r="S34" s="2" t="s">
        <v>56</v>
      </c>
    </row>
    <row r="35" spans="1:19" x14ac:dyDescent="0.3">
      <c r="A35">
        <v>202607</v>
      </c>
      <c r="B35" t="s">
        <v>30</v>
      </c>
      <c r="C35">
        <v>1768866295</v>
      </c>
      <c r="D35" t="s">
        <v>23</v>
      </c>
      <c r="E35" t="s">
        <v>19</v>
      </c>
      <c r="F35" t="s">
        <v>119</v>
      </c>
      <c r="G35" s="8">
        <v>1</v>
      </c>
      <c r="H35" s="26">
        <v>0.35</v>
      </c>
      <c r="S35" s="2" t="s">
        <v>115</v>
      </c>
    </row>
    <row r="36" spans="1:19" x14ac:dyDescent="0.3">
      <c r="A36">
        <v>202607</v>
      </c>
      <c r="B36" t="s">
        <v>30</v>
      </c>
      <c r="C36">
        <v>1768867003</v>
      </c>
      <c r="D36" t="s">
        <v>23</v>
      </c>
      <c r="E36" t="s">
        <v>19</v>
      </c>
      <c r="F36" t="s">
        <v>119</v>
      </c>
      <c r="G36" s="8">
        <v>1</v>
      </c>
      <c r="H36" s="26">
        <v>0.35</v>
      </c>
      <c r="S36" s="2" t="s">
        <v>40</v>
      </c>
    </row>
    <row r="37" spans="1:19" x14ac:dyDescent="0.3">
      <c r="A37">
        <v>202607</v>
      </c>
      <c r="B37" t="s">
        <v>30</v>
      </c>
      <c r="C37">
        <v>1768882370</v>
      </c>
      <c r="D37" t="s">
        <v>23</v>
      </c>
      <c r="E37" t="s">
        <v>19</v>
      </c>
      <c r="F37" t="s">
        <v>68</v>
      </c>
      <c r="G37" s="8">
        <v>0.63200000000000001</v>
      </c>
      <c r="H37" s="26">
        <v>3.65</v>
      </c>
      <c r="S37" s="2" t="s">
        <v>116</v>
      </c>
    </row>
    <row r="38" spans="1:19" x14ac:dyDescent="0.3">
      <c r="A38">
        <v>202607</v>
      </c>
      <c r="B38" t="s">
        <v>30</v>
      </c>
      <c r="C38">
        <v>1768888612</v>
      </c>
      <c r="D38" t="s">
        <v>23</v>
      </c>
      <c r="E38" t="s">
        <v>34</v>
      </c>
      <c r="F38" t="s">
        <v>68</v>
      </c>
      <c r="G38" s="8">
        <v>0.36991934000000004</v>
      </c>
      <c r="H38" s="26">
        <v>4.38</v>
      </c>
      <c r="S38" s="2" t="s">
        <v>42</v>
      </c>
    </row>
    <row r="39" spans="1:19" x14ac:dyDescent="0.3">
      <c r="A39">
        <v>202607</v>
      </c>
      <c r="B39" t="s">
        <v>30</v>
      </c>
      <c r="C39">
        <v>1768905282</v>
      </c>
      <c r="D39" t="s">
        <v>23</v>
      </c>
      <c r="E39" t="s">
        <v>24</v>
      </c>
      <c r="F39" t="s">
        <v>69</v>
      </c>
      <c r="G39" s="8">
        <v>0.17</v>
      </c>
      <c r="H39" s="26">
        <v>3</v>
      </c>
      <c r="S39" s="2" t="s">
        <v>43</v>
      </c>
    </row>
    <row r="40" spans="1:19" x14ac:dyDescent="0.3">
      <c r="A40">
        <v>202607</v>
      </c>
      <c r="B40" t="s">
        <v>30</v>
      </c>
      <c r="C40">
        <v>1768905363</v>
      </c>
      <c r="D40" t="s">
        <v>18</v>
      </c>
      <c r="E40" t="s">
        <v>19</v>
      </c>
      <c r="F40" t="s">
        <v>120</v>
      </c>
      <c r="G40" s="8">
        <v>0.67720000000000002</v>
      </c>
      <c r="H40" s="26">
        <v>3.4</v>
      </c>
    </row>
    <row r="41" spans="1:19" x14ac:dyDescent="0.3">
      <c r="A41">
        <v>202607</v>
      </c>
      <c r="B41" t="s">
        <v>30</v>
      </c>
      <c r="C41">
        <v>1768926247</v>
      </c>
      <c r="D41" t="s">
        <v>18</v>
      </c>
      <c r="E41" t="s">
        <v>24</v>
      </c>
      <c r="F41" t="s">
        <v>138</v>
      </c>
      <c r="G41" s="8">
        <v>0.34050000000000002</v>
      </c>
      <c r="H41" s="26">
        <v>5.45</v>
      </c>
    </row>
    <row r="42" spans="1:19" x14ac:dyDescent="0.3">
      <c r="A42">
        <v>202607</v>
      </c>
      <c r="B42" t="s">
        <v>30</v>
      </c>
      <c r="C42">
        <v>1768940983</v>
      </c>
      <c r="D42" t="s">
        <v>18</v>
      </c>
      <c r="E42" t="s">
        <v>34</v>
      </c>
      <c r="F42" t="s">
        <v>109</v>
      </c>
      <c r="G42" s="8">
        <v>0.56155860206999997</v>
      </c>
      <c r="H42" s="26">
        <v>2.95</v>
      </c>
    </row>
    <row r="43" spans="1:19" x14ac:dyDescent="0.3">
      <c r="A43">
        <v>202607</v>
      </c>
      <c r="B43" t="s">
        <v>30</v>
      </c>
      <c r="C43">
        <v>1768949204</v>
      </c>
      <c r="D43" t="s">
        <v>18</v>
      </c>
      <c r="E43" t="s">
        <v>24</v>
      </c>
      <c r="F43" t="s">
        <v>162</v>
      </c>
      <c r="G43" s="8">
        <v>0.69074543999999993</v>
      </c>
      <c r="H43" s="26">
        <v>1.35</v>
      </c>
    </row>
    <row r="44" spans="1:19" x14ac:dyDescent="0.3">
      <c r="A44">
        <v>202607</v>
      </c>
      <c r="B44" t="s">
        <v>30</v>
      </c>
      <c r="C44">
        <v>1768950385</v>
      </c>
      <c r="D44" t="s">
        <v>18</v>
      </c>
      <c r="E44" t="s">
        <v>24</v>
      </c>
      <c r="F44" t="s">
        <v>163</v>
      </c>
      <c r="G44" s="8">
        <v>3.3980000000000001</v>
      </c>
      <c r="H44" s="26">
        <v>0.25</v>
      </c>
    </row>
    <row r="45" spans="1:19" x14ac:dyDescent="0.3">
      <c r="A45">
        <v>202607</v>
      </c>
      <c r="B45" t="s">
        <v>30</v>
      </c>
      <c r="C45">
        <v>1768950407</v>
      </c>
      <c r="D45" t="s">
        <v>18</v>
      </c>
      <c r="E45" t="s">
        <v>24</v>
      </c>
      <c r="F45" t="s">
        <v>163</v>
      </c>
      <c r="G45" s="8">
        <v>1.6990000000000001</v>
      </c>
      <c r="H45" s="26">
        <v>0.25</v>
      </c>
    </row>
    <row r="46" spans="1:19" x14ac:dyDescent="0.3">
      <c r="A46">
        <v>202607</v>
      </c>
      <c r="B46" t="s">
        <v>30</v>
      </c>
      <c r="C46">
        <v>1768958084</v>
      </c>
      <c r="D46" t="s">
        <v>18</v>
      </c>
      <c r="E46" t="s">
        <v>24</v>
      </c>
      <c r="F46" t="s">
        <v>175</v>
      </c>
      <c r="G46" s="8">
        <v>0.85024999999999995</v>
      </c>
      <c r="H46" s="26">
        <v>0.35</v>
      </c>
    </row>
    <row r="47" spans="1:19" x14ac:dyDescent="0.3">
      <c r="A47">
        <v>202607</v>
      </c>
      <c r="B47" t="s">
        <v>30</v>
      </c>
      <c r="C47">
        <v>1768966214</v>
      </c>
      <c r="D47" t="s">
        <v>18</v>
      </c>
      <c r="E47" t="s">
        <v>34</v>
      </c>
      <c r="F47" t="s">
        <v>109</v>
      </c>
      <c r="G47" s="8">
        <v>0.73000339800000003</v>
      </c>
      <c r="H47" s="26">
        <v>2.95</v>
      </c>
    </row>
    <row r="48" spans="1:19" x14ac:dyDescent="0.3">
      <c r="A48">
        <v>202607</v>
      </c>
      <c r="B48" t="s">
        <v>30</v>
      </c>
      <c r="C48">
        <v>1768984239</v>
      </c>
      <c r="D48" t="s">
        <v>18</v>
      </c>
      <c r="E48" t="s">
        <v>19</v>
      </c>
      <c r="F48" t="s">
        <v>176</v>
      </c>
      <c r="G48" s="8">
        <v>0.34050000000000002</v>
      </c>
      <c r="H48" s="26">
        <v>2.87</v>
      </c>
    </row>
    <row r="49" spans="1:8" x14ac:dyDescent="0.3">
      <c r="A49">
        <v>202607</v>
      </c>
      <c r="B49" t="s">
        <v>30</v>
      </c>
      <c r="C49">
        <v>1768984344</v>
      </c>
      <c r="D49" t="s">
        <v>18</v>
      </c>
      <c r="E49" t="s">
        <v>24</v>
      </c>
      <c r="F49" t="s">
        <v>177</v>
      </c>
      <c r="G49" s="8">
        <v>0.52150299</v>
      </c>
      <c r="H49" s="26">
        <v>3.84</v>
      </c>
    </row>
    <row r="50" spans="1:8" x14ac:dyDescent="0.3">
      <c r="A50">
        <v>202607</v>
      </c>
      <c r="B50" t="s">
        <v>30</v>
      </c>
      <c r="C50">
        <v>1768984646</v>
      </c>
      <c r="D50" t="s">
        <v>18</v>
      </c>
      <c r="E50" t="s">
        <v>24</v>
      </c>
      <c r="F50" t="s">
        <v>175</v>
      </c>
      <c r="G50" s="8">
        <v>0.85124999999999995</v>
      </c>
      <c r="H50" s="26">
        <v>0.35</v>
      </c>
    </row>
    <row r="51" spans="1:8" x14ac:dyDescent="0.3">
      <c r="A51">
        <v>202607</v>
      </c>
      <c r="B51" t="s">
        <v>30</v>
      </c>
      <c r="C51">
        <v>1769049045</v>
      </c>
      <c r="D51" t="s">
        <v>18</v>
      </c>
      <c r="E51" t="s">
        <v>24</v>
      </c>
      <c r="F51" t="s">
        <v>196</v>
      </c>
      <c r="G51" s="8">
        <v>1.38424356</v>
      </c>
      <c r="H51" s="26">
        <v>0.95</v>
      </c>
    </row>
    <row r="52" spans="1:8" x14ac:dyDescent="0.3">
      <c r="A52">
        <v>202607</v>
      </c>
      <c r="B52" t="s">
        <v>30</v>
      </c>
      <c r="C52">
        <v>1769049193</v>
      </c>
      <c r="D52" t="s">
        <v>18</v>
      </c>
      <c r="E52" t="s">
        <v>24</v>
      </c>
      <c r="F52" t="s">
        <v>196</v>
      </c>
      <c r="G52" s="8">
        <v>0.76489466399999995</v>
      </c>
      <c r="H52" s="26">
        <v>0.95</v>
      </c>
    </row>
    <row r="53" spans="1:8" x14ac:dyDescent="0.3">
      <c r="A53">
        <v>202607</v>
      </c>
      <c r="B53" t="s">
        <v>96</v>
      </c>
      <c r="C53">
        <v>1764734360</v>
      </c>
      <c r="D53" t="s">
        <v>18</v>
      </c>
      <c r="E53" t="s">
        <v>34</v>
      </c>
      <c r="F53" t="s">
        <v>121</v>
      </c>
      <c r="G53" s="8">
        <v>2.8933468590000001E-2</v>
      </c>
      <c r="H53" s="26">
        <v>9</v>
      </c>
    </row>
    <row r="54" spans="1:8" x14ac:dyDescent="0.3">
      <c r="A54">
        <v>202607</v>
      </c>
      <c r="B54" t="s">
        <v>96</v>
      </c>
      <c r="C54">
        <v>1764736656</v>
      </c>
      <c r="D54" t="s">
        <v>23</v>
      </c>
      <c r="E54" t="s">
        <v>34</v>
      </c>
      <c r="F54" t="s">
        <v>121</v>
      </c>
      <c r="G54" s="8">
        <v>7.9499559999999997E-2</v>
      </c>
      <c r="H54" s="26">
        <v>9.15</v>
      </c>
    </row>
    <row r="55" spans="1:8" x14ac:dyDescent="0.3">
      <c r="A55">
        <v>202607</v>
      </c>
      <c r="B55" t="s">
        <v>96</v>
      </c>
      <c r="C55">
        <v>1768850534</v>
      </c>
      <c r="D55" t="s">
        <v>18</v>
      </c>
      <c r="E55" t="s">
        <v>34</v>
      </c>
      <c r="F55" t="s">
        <v>121</v>
      </c>
      <c r="G55" s="8">
        <v>1.1510590770000001E-2</v>
      </c>
      <c r="H55" s="26">
        <v>9.4</v>
      </c>
    </row>
    <row r="56" spans="1:8" x14ac:dyDescent="0.3">
      <c r="A56">
        <v>202607</v>
      </c>
      <c r="B56" t="s">
        <v>96</v>
      </c>
      <c r="C56">
        <v>1768854017</v>
      </c>
      <c r="D56" t="s">
        <v>23</v>
      </c>
      <c r="E56" t="s">
        <v>34</v>
      </c>
      <c r="F56" t="s">
        <v>121</v>
      </c>
      <c r="G56" s="8">
        <v>3.1022209999999998E-2</v>
      </c>
      <c r="H56" s="26">
        <v>9.15</v>
      </c>
    </row>
    <row r="57" spans="1:8" x14ac:dyDescent="0.3">
      <c r="A57">
        <v>202607</v>
      </c>
      <c r="B57" t="s">
        <v>96</v>
      </c>
      <c r="C57">
        <v>1768914826</v>
      </c>
      <c r="D57" t="s">
        <v>18</v>
      </c>
      <c r="E57" t="s">
        <v>34</v>
      </c>
      <c r="F57" t="s">
        <v>121</v>
      </c>
      <c r="G57" s="8">
        <v>2.3200058879999999E-2</v>
      </c>
      <c r="H57" s="26">
        <v>9</v>
      </c>
    </row>
    <row r="58" spans="1:8" x14ac:dyDescent="0.3">
      <c r="A58">
        <v>202607</v>
      </c>
      <c r="B58" t="s">
        <v>96</v>
      </c>
      <c r="C58">
        <v>1768916160</v>
      </c>
      <c r="D58" t="s">
        <v>18</v>
      </c>
      <c r="E58" t="s">
        <v>34</v>
      </c>
      <c r="F58" t="s">
        <v>139</v>
      </c>
      <c r="G58" s="8">
        <v>4.4265769599999998E-2</v>
      </c>
      <c r="H58" s="26">
        <v>5.15</v>
      </c>
    </row>
    <row r="59" spans="1:8" x14ac:dyDescent="0.3">
      <c r="A59">
        <v>202607</v>
      </c>
      <c r="B59" t="s">
        <v>96</v>
      </c>
      <c r="C59">
        <v>1768917280</v>
      </c>
      <c r="D59" t="s">
        <v>23</v>
      </c>
      <c r="E59" t="s">
        <v>34</v>
      </c>
      <c r="F59" t="s">
        <v>121</v>
      </c>
      <c r="G59" s="8">
        <v>2.2376009999999998E-2</v>
      </c>
      <c r="H59" s="26">
        <v>9.15</v>
      </c>
    </row>
    <row r="60" spans="1:8" x14ac:dyDescent="0.3">
      <c r="A60">
        <v>202607</v>
      </c>
      <c r="B60" t="s">
        <v>96</v>
      </c>
      <c r="C60">
        <v>1768917299</v>
      </c>
      <c r="D60" t="s">
        <v>18</v>
      </c>
      <c r="E60" t="s">
        <v>34</v>
      </c>
      <c r="F60" t="s">
        <v>121</v>
      </c>
      <c r="G60" s="8">
        <v>1.199658816E-2</v>
      </c>
      <c r="H60" s="26">
        <v>9.15</v>
      </c>
    </row>
    <row r="61" spans="1:8" x14ac:dyDescent="0.3">
      <c r="A61">
        <v>202607</v>
      </c>
      <c r="B61" t="s">
        <v>96</v>
      </c>
      <c r="C61">
        <v>1768941220</v>
      </c>
      <c r="D61" t="s">
        <v>18</v>
      </c>
      <c r="E61" t="s">
        <v>34</v>
      </c>
      <c r="F61" t="s">
        <v>139</v>
      </c>
      <c r="G61" s="8">
        <v>2.5771735720000001E-2</v>
      </c>
      <c r="H61" s="26">
        <v>5.15</v>
      </c>
    </row>
    <row r="62" spans="1:8" x14ac:dyDescent="0.3">
      <c r="A62">
        <v>202607</v>
      </c>
      <c r="B62" t="s">
        <v>96</v>
      </c>
      <c r="C62">
        <v>1768950008</v>
      </c>
      <c r="D62" t="s">
        <v>23</v>
      </c>
      <c r="E62" t="s">
        <v>34</v>
      </c>
      <c r="F62" t="s">
        <v>164</v>
      </c>
      <c r="G62" s="8">
        <v>0.3974994</v>
      </c>
      <c r="H62" s="26">
        <v>5.15</v>
      </c>
    </row>
    <row r="63" spans="1:8" x14ac:dyDescent="0.3">
      <c r="A63">
        <v>202607</v>
      </c>
      <c r="B63" t="s">
        <v>96</v>
      </c>
      <c r="C63">
        <v>1768959234</v>
      </c>
      <c r="D63" t="s">
        <v>18</v>
      </c>
      <c r="E63" t="s">
        <v>34</v>
      </c>
      <c r="F63" t="s">
        <v>139</v>
      </c>
      <c r="G63" s="8">
        <v>2.3861109910000001E-2</v>
      </c>
      <c r="H63" s="26">
        <v>5.2</v>
      </c>
    </row>
    <row r="64" spans="1:8" x14ac:dyDescent="0.3">
      <c r="A64">
        <v>202607</v>
      </c>
      <c r="B64" t="s">
        <v>96</v>
      </c>
      <c r="C64">
        <v>1768959323</v>
      </c>
      <c r="D64" t="s">
        <v>23</v>
      </c>
      <c r="E64" t="s">
        <v>34</v>
      </c>
      <c r="F64" t="s">
        <v>121</v>
      </c>
      <c r="G64" s="8">
        <v>5.6106929999999999E-2</v>
      </c>
      <c r="H64" s="26">
        <v>9.15</v>
      </c>
    </row>
    <row r="65" spans="1:8" x14ac:dyDescent="0.3">
      <c r="A65">
        <v>202607</v>
      </c>
      <c r="B65" t="s">
        <v>96</v>
      </c>
      <c r="C65">
        <v>1768959447</v>
      </c>
      <c r="D65" t="s">
        <v>18</v>
      </c>
      <c r="E65" t="s">
        <v>34</v>
      </c>
      <c r="F65" t="s">
        <v>121</v>
      </c>
      <c r="G65" s="8">
        <v>7.0685533750000001E-2</v>
      </c>
      <c r="H65" s="26">
        <v>9.15</v>
      </c>
    </row>
    <row r="66" spans="1:8" x14ac:dyDescent="0.3">
      <c r="A66">
        <v>202607</v>
      </c>
      <c r="B66" t="s">
        <v>140</v>
      </c>
      <c r="C66">
        <v>1764767195</v>
      </c>
      <c r="D66" t="s">
        <v>18</v>
      </c>
      <c r="E66" t="s">
        <v>19</v>
      </c>
      <c r="F66" t="s">
        <v>75</v>
      </c>
      <c r="G66" s="8">
        <v>3.3980000000000003E-2</v>
      </c>
      <c r="H66" s="26">
        <v>7.85</v>
      </c>
    </row>
    <row r="67" spans="1:8" x14ac:dyDescent="0.3">
      <c r="A67">
        <v>202607</v>
      </c>
      <c r="B67" t="s">
        <v>140</v>
      </c>
      <c r="C67">
        <v>1768924422</v>
      </c>
      <c r="D67" t="s">
        <v>18</v>
      </c>
      <c r="E67" t="s">
        <v>24</v>
      </c>
      <c r="F67" t="s">
        <v>141</v>
      </c>
      <c r="G67" s="8">
        <v>0.79676999999999998</v>
      </c>
      <c r="H67" s="26">
        <v>0.35</v>
      </c>
    </row>
    <row r="68" spans="1:8" x14ac:dyDescent="0.3">
      <c r="A68">
        <v>202607</v>
      </c>
      <c r="B68" t="s">
        <v>140</v>
      </c>
      <c r="C68">
        <v>1768950113</v>
      </c>
      <c r="D68" t="s">
        <v>18</v>
      </c>
      <c r="E68" t="s">
        <v>19</v>
      </c>
      <c r="F68" t="s">
        <v>165</v>
      </c>
      <c r="G68" s="8">
        <v>0.89707199999999998</v>
      </c>
      <c r="H68" s="26">
        <v>1.55</v>
      </c>
    </row>
    <row r="69" spans="1:8" x14ac:dyDescent="0.3">
      <c r="A69">
        <v>202607</v>
      </c>
      <c r="B69" t="s">
        <v>140</v>
      </c>
      <c r="C69">
        <v>1768950962</v>
      </c>
      <c r="D69" t="s">
        <v>23</v>
      </c>
      <c r="E69" t="s">
        <v>24</v>
      </c>
      <c r="F69" t="s">
        <v>166</v>
      </c>
      <c r="G69" s="8">
        <v>1</v>
      </c>
      <c r="H69" s="26">
        <v>0.85</v>
      </c>
    </row>
    <row r="70" spans="1:8" x14ac:dyDescent="0.3">
      <c r="A70">
        <v>202607</v>
      </c>
      <c r="B70" t="s">
        <v>140</v>
      </c>
      <c r="C70">
        <v>1768959366</v>
      </c>
      <c r="D70" t="s">
        <v>23</v>
      </c>
      <c r="E70" t="s">
        <v>19</v>
      </c>
      <c r="F70" t="s">
        <v>178</v>
      </c>
      <c r="G70" s="8">
        <v>0.5</v>
      </c>
      <c r="H70" s="26">
        <v>1.55</v>
      </c>
    </row>
    <row r="71" spans="1:8" x14ac:dyDescent="0.3">
      <c r="A71">
        <v>202607</v>
      </c>
      <c r="B71" t="s">
        <v>140</v>
      </c>
      <c r="C71">
        <v>1768985847</v>
      </c>
      <c r="D71" t="s">
        <v>18</v>
      </c>
      <c r="E71" t="s">
        <v>24</v>
      </c>
      <c r="F71" t="s">
        <v>165</v>
      </c>
      <c r="G71" s="8">
        <v>1.4963486334</v>
      </c>
      <c r="H71" s="26">
        <v>1.7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6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6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6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6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6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6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6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6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6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6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6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6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6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6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6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6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6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6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6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6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6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179</v>
      </c>
      <c r="G93" s="8">
        <v>4</v>
      </c>
      <c r="H93" s="26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6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6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197</v>
      </c>
      <c r="G96" s="8">
        <v>6</v>
      </c>
      <c r="H96" s="26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197</v>
      </c>
      <c r="G97" s="8">
        <v>6</v>
      </c>
      <c r="H97" s="26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6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6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6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6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6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6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6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6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6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6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142</v>
      </c>
      <c r="G108" s="8">
        <v>1.0176000000000001</v>
      </c>
      <c r="H108" s="26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6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6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6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6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198</v>
      </c>
      <c r="G113" s="8">
        <v>1.0115782199999999</v>
      </c>
      <c r="H113" s="26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6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6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6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6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6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6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6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6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6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6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6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6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6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6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6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6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143</v>
      </c>
      <c r="G130" s="8">
        <v>0.59360000000000002</v>
      </c>
      <c r="H130" s="26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6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6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144</v>
      </c>
      <c r="G133" s="8">
        <v>1.85244309075</v>
      </c>
      <c r="H133" s="26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6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6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6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6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6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6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167</v>
      </c>
      <c r="G140" s="8">
        <v>0.86955268999999991</v>
      </c>
      <c r="H140" s="26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6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167</v>
      </c>
      <c r="G142" s="8">
        <v>0.19754395999999999</v>
      </c>
      <c r="H142" s="26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6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6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180</v>
      </c>
      <c r="G145" s="8">
        <v>0.31833359999999999</v>
      </c>
      <c r="H145" s="26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180</v>
      </c>
      <c r="G146" s="8">
        <v>0.14624300000000001</v>
      </c>
      <c r="H146" s="26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181</v>
      </c>
      <c r="G147" s="8">
        <v>1.7004999999999999</v>
      </c>
      <c r="H147" s="26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6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143</v>
      </c>
      <c r="G149" s="8">
        <v>0.34010000000000001</v>
      </c>
      <c r="H149" s="26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143</v>
      </c>
      <c r="G150" s="8">
        <v>1.0203</v>
      </c>
      <c r="H150" s="26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182</v>
      </c>
      <c r="G151" s="8">
        <v>0.51961951424999997</v>
      </c>
      <c r="H151" s="26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183</v>
      </c>
      <c r="G152" s="8">
        <v>0.10215</v>
      </c>
      <c r="H152" s="26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199</v>
      </c>
      <c r="G153" s="8">
        <v>0.67920000000000003</v>
      </c>
      <c r="H153" s="26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199</v>
      </c>
      <c r="G154" s="8">
        <v>0.67920000000000003</v>
      </c>
      <c r="H154" s="26">
        <v>1.5</v>
      </c>
    </row>
    <row r="155" spans="1:8" x14ac:dyDescent="0.3">
      <c r="A155">
        <v>202607</v>
      </c>
      <c r="B155" t="s">
        <v>145</v>
      </c>
      <c r="C155">
        <v>1768915245</v>
      </c>
      <c r="D155" t="s">
        <v>23</v>
      </c>
      <c r="E155" t="s">
        <v>19</v>
      </c>
      <c r="F155" t="s">
        <v>146</v>
      </c>
      <c r="G155" s="8">
        <v>0.32600000000000001</v>
      </c>
      <c r="H155" s="26">
        <v>2.65</v>
      </c>
    </row>
    <row r="156" spans="1:8" x14ac:dyDescent="0.3">
      <c r="A156">
        <v>202607</v>
      </c>
      <c r="B156" t="s">
        <v>145</v>
      </c>
      <c r="C156">
        <v>1768915695</v>
      </c>
      <c r="D156" t="s">
        <v>18</v>
      </c>
      <c r="E156" t="s">
        <v>19</v>
      </c>
      <c r="F156" t="s">
        <v>147</v>
      </c>
      <c r="G156" s="8">
        <v>16.96</v>
      </c>
      <c r="H156" s="26">
        <v>1</v>
      </c>
    </row>
    <row r="157" spans="1:8" x14ac:dyDescent="0.3">
      <c r="A157">
        <v>202607</v>
      </c>
      <c r="B157" t="s">
        <v>145</v>
      </c>
      <c r="C157">
        <v>1768922896</v>
      </c>
      <c r="D157" t="s">
        <v>18</v>
      </c>
      <c r="E157" t="s">
        <v>19</v>
      </c>
      <c r="F157" t="s">
        <v>148</v>
      </c>
      <c r="G157" s="8">
        <v>6.81</v>
      </c>
      <c r="H157" s="26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6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6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168</v>
      </c>
      <c r="G160" s="8">
        <v>0.34575</v>
      </c>
      <c r="H160" s="26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6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184</v>
      </c>
      <c r="G162" s="8">
        <v>3.0644999999999998</v>
      </c>
      <c r="H162" s="26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6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6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6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6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6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6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6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6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6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6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6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6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6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6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6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6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6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6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6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6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6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6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6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6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6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149</v>
      </c>
      <c r="G188" s="8">
        <v>0.350715</v>
      </c>
      <c r="H188" s="26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149</v>
      </c>
      <c r="G189" s="8">
        <v>0.40860000000000002</v>
      </c>
      <c r="H189" s="26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6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6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6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6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6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6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6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185</v>
      </c>
      <c r="G197" s="8">
        <v>0.15</v>
      </c>
      <c r="H197" s="26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6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6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6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6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149</v>
      </c>
      <c r="G202" s="8">
        <v>0.40704000000000001</v>
      </c>
      <c r="H202" s="26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6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6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6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6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6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6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6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6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6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6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6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6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169</v>
      </c>
      <c r="G215" s="8">
        <v>1</v>
      </c>
      <c r="H215" s="26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6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6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6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6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186</v>
      </c>
      <c r="G220" s="8">
        <v>3.4049999999999998</v>
      </c>
      <c r="H220" s="26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200</v>
      </c>
      <c r="G221" s="8">
        <v>0.64524000000000004</v>
      </c>
      <c r="H221" s="26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6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6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6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6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6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6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6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6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6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6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6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6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6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6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6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150</v>
      </c>
      <c r="G237" s="8">
        <v>1.3620000000000001</v>
      </c>
      <c r="H237" s="26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151</v>
      </c>
      <c r="G238" s="8">
        <v>5.3560650000000001</v>
      </c>
      <c r="H238" s="26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152</v>
      </c>
      <c r="G239" s="8">
        <v>7.0987449999999994E-2</v>
      </c>
      <c r="H239" s="26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152</v>
      </c>
      <c r="G240" s="8">
        <v>0.13291454999999999</v>
      </c>
      <c r="H240" s="26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152</v>
      </c>
      <c r="G241" s="8">
        <v>3.4</v>
      </c>
      <c r="H241" s="26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170</v>
      </c>
      <c r="G242" s="8">
        <v>3.38</v>
      </c>
      <c r="H242" s="26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187</v>
      </c>
      <c r="G243" s="8">
        <v>10.202999999999999</v>
      </c>
      <c r="H243" s="26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6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6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6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188</v>
      </c>
      <c r="G247" s="8">
        <v>0.24660715</v>
      </c>
      <c r="H247" s="26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188</v>
      </c>
      <c r="G248" s="8">
        <v>0.15382208</v>
      </c>
      <c r="H248" s="26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6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6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6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6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153</v>
      </c>
      <c r="G253" s="8">
        <v>0.9135059647999999</v>
      </c>
      <c r="H253" s="26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153</v>
      </c>
      <c r="G254" s="8">
        <v>1.03003018752</v>
      </c>
      <c r="H254" s="26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154</v>
      </c>
      <c r="G255" s="8">
        <v>6.7839999999999998</v>
      </c>
      <c r="H255" s="26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155</v>
      </c>
      <c r="G256" s="8">
        <v>5.2444336467199992</v>
      </c>
      <c r="H256" s="26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156</v>
      </c>
      <c r="G257" s="8">
        <v>18.223559999999999</v>
      </c>
      <c r="H257" s="26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157</v>
      </c>
      <c r="G258" s="8">
        <v>3.4049999999999998</v>
      </c>
      <c r="H258" s="26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6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6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6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201</v>
      </c>
      <c r="G262" s="8">
        <v>21.427999295999999</v>
      </c>
      <c r="H262" s="26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6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6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6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6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6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6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6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158</v>
      </c>
      <c r="G270" s="8">
        <v>5.1074999999999999</v>
      </c>
      <c r="H270" s="26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159</v>
      </c>
      <c r="G271" s="8">
        <v>0.40860000000000002</v>
      </c>
      <c r="H271" s="26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6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189</v>
      </c>
      <c r="G273" s="8">
        <v>1.7004999999999999</v>
      </c>
      <c r="H273" s="26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189</v>
      </c>
      <c r="G274" s="8">
        <v>1.7004999999999999</v>
      </c>
      <c r="H274" s="26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6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6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6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6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6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190</v>
      </c>
      <c r="G280" s="8">
        <v>1.6950000000000001</v>
      </c>
      <c r="H280" s="26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6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6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202</v>
      </c>
      <c r="G283" s="8">
        <v>0.22334599999999999</v>
      </c>
      <c r="H283" s="26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203</v>
      </c>
      <c r="G284" s="8">
        <v>1.3</v>
      </c>
      <c r="H284" s="26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6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6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6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6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6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6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171</v>
      </c>
      <c r="G291" s="8">
        <v>1.0194000000000001</v>
      </c>
      <c r="H291" s="26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191</v>
      </c>
      <c r="G292" s="8">
        <v>0.68</v>
      </c>
      <c r="H292" s="26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204</v>
      </c>
      <c r="G293" s="8">
        <v>0.59020649999999997</v>
      </c>
      <c r="H293" s="26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205</v>
      </c>
      <c r="G294" s="8">
        <v>0.32500000000000001</v>
      </c>
      <c r="H294" s="26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6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6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6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6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6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6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6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6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6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6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6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6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160</v>
      </c>
      <c r="G307" s="8">
        <v>6.5</v>
      </c>
      <c r="H307" s="26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6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172</v>
      </c>
      <c r="G309" s="8">
        <v>0.47642000000000001</v>
      </c>
      <c r="H309" s="26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6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6">
        <v>2.8</v>
      </c>
    </row>
    <row r="312" spans="1:8" x14ac:dyDescent="0.3">
      <c r="A312">
        <v>202608</v>
      </c>
      <c r="B312" t="s">
        <v>30</v>
      </c>
      <c r="C312">
        <v>1769078703</v>
      </c>
      <c r="D312" t="s">
        <v>18</v>
      </c>
      <c r="E312" t="s">
        <v>34</v>
      </c>
      <c r="F312" t="s">
        <v>109</v>
      </c>
      <c r="G312" s="8">
        <v>0.57523835488999997</v>
      </c>
      <c r="H312" s="26">
        <v>3.15</v>
      </c>
    </row>
    <row r="313" spans="1:8" x14ac:dyDescent="0.3">
      <c r="A313">
        <v>202608</v>
      </c>
      <c r="B313" t="s">
        <v>30</v>
      </c>
      <c r="C313">
        <v>1769086730</v>
      </c>
      <c r="D313" t="s">
        <v>18</v>
      </c>
      <c r="E313" t="s">
        <v>19</v>
      </c>
      <c r="F313" t="s">
        <v>206</v>
      </c>
      <c r="G313" s="8">
        <v>1.18685</v>
      </c>
      <c r="H313" s="26">
        <v>1.3</v>
      </c>
    </row>
    <row r="314" spans="1:8" x14ac:dyDescent="0.3">
      <c r="A314">
        <v>202608</v>
      </c>
      <c r="B314" t="s">
        <v>30</v>
      </c>
      <c r="C314">
        <v>1769094260</v>
      </c>
      <c r="D314" t="s">
        <v>18</v>
      </c>
      <c r="E314" t="s">
        <v>19</v>
      </c>
      <c r="F314" t="s">
        <v>207</v>
      </c>
      <c r="G314" s="8">
        <v>8.1335999999999995</v>
      </c>
      <c r="H314" s="26">
        <v>2.5499999999999998</v>
      </c>
    </row>
    <row r="315" spans="1:8" x14ac:dyDescent="0.3">
      <c r="A315">
        <v>202608</v>
      </c>
      <c r="B315" t="s">
        <v>25</v>
      </c>
      <c r="C315">
        <v>1769063340</v>
      </c>
      <c r="D315" t="s">
        <v>18</v>
      </c>
      <c r="E315" t="s">
        <v>24</v>
      </c>
      <c r="F315" t="s">
        <v>123</v>
      </c>
      <c r="G315" s="8">
        <v>3.3969999999999998</v>
      </c>
      <c r="H315" s="26">
        <v>2.1</v>
      </c>
    </row>
    <row r="316" spans="1:8" x14ac:dyDescent="0.3">
      <c r="A316">
        <v>202608</v>
      </c>
      <c r="B316" t="s">
        <v>25</v>
      </c>
      <c r="C316">
        <v>1769065768</v>
      </c>
      <c r="D316" t="s">
        <v>23</v>
      </c>
      <c r="E316" t="s">
        <v>19</v>
      </c>
      <c r="F316" t="s">
        <v>99</v>
      </c>
      <c r="G316" s="8">
        <v>5.2</v>
      </c>
      <c r="H316" s="26">
        <v>0.5</v>
      </c>
    </row>
    <row r="317" spans="1:8" x14ac:dyDescent="0.3">
      <c r="A317">
        <v>202608</v>
      </c>
      <c r="B317" t="s">
        <v>25</v>
      </c>
      <c r="C317">
        <v>1769099514</v>
      </c>
      <c r="D317" t="s">
        <v>18</v>
      </c>
      <c r="E317" t="s">
        <v>24</v>
      </c>
      <c r="F317" t="s">
        <v>123</v>
      </c>
      <c r="G317" s="8">
        <v>1.4539231591600001</v>
      </c>
      <c r="H317" s="26">
        <v>2.1</v>
      </c>
    </row>
    <row r="318" spans="1:8" x14ac:dyDescent="0.3">
      <c r="A318">
        <v>202608</v>
      </c>
      <c r="B318" t="s">
        <v>25</v>
      </c>
      <c r="C318">
        <v>1769099522</v>
      </c>
      <c r="D318" t="s">
        <v>18</v>
      </c>
      <c r="E318" t="s">
        <v>24</v>
      </c>
      <c r="F318" t="s">
        <v>123</v>
      </c>
      <c r="G318" s="8">
        <v>0.88116429913000005</v>
      </c>
      <c r="H318" s="26">
        <v>2.1</v>
      </c>
    </row>
    <row r="319" spans="1:8" x14ac:dyDescent="0.3">
      <c r="A319">
        <v>202608</v>
      </c>
      <c r="B319" t="s">
        <v>25</v>
      </c>
      <c r="C319">
        <v>1769100695</v>
      </c>
      <c r="D319" t="s">
        <v>18</v>
      </c>
      <c r="E319" t="s">
        <v>24</v>
      </c>
      <c r="F319" t="s">
        <v>122</v>
      </c>
      <c r="G319" s="8">
        <v>0.98280999999999996</v>
      </c>
      <c r="H319" s="26">
        <v>1.05</v>
      </c>
    </row>
    <row r="320" spans="1:8" x14ac:dyDescent="0.3">
      <c r="A320">
        <v>202608</v>
      </c>
      <c r="B320" t="s">
        <v>36</v>
      </c>
      <c r="C320">
        <v>1769063935</v>
      </c>
      <c r="D320" t="s">
        <v>23</v>
      </c>
      <c r="E320" t="s">
        <v>19</v>
      </c>
      <c r="F320" t="s">
        <v>97</v>
      </c>
      <c r="G320" s="8">
        <v>0.12</v>
      </c>
      <c r="H320" s="26">
        <v>3</v>
      </c>
    </row>
    <row r="321" spans="1:8" x14ac:dyDescent="0.3">
      <c r="A321">
        <v>202608</v>
      </c>
      <c r="B321" t="s">
        <v>36</v>
      </c>
      <c r="C321">
        <v>1769094750</v>
      </c>
      <c r="D321" t="s">
        <v>23</v>
      </c>
      <c r="E321" t="s">
        <v>19</v>
      </c>
      <c r="F321" t="s">
        <v>97</v>
      </c>
      <c r="G321" s="8">
        <v>0.12</v>
      </c>
      <c r="H321" s="26">
        <v>3</v>
      </c>
    </row>
    <row r="322" spans="1:8" x14ac:dyDescent="0.3">
      <c r="A322">
        <v>202608</v>
      </c>
      <c r="B322" t="s">
        <v>32</v>
      </c>
      <c r="C322">
        <v>1769072322</v>
      </c>
      <c r="D322" t="s">
        <v>18</v>
      </c>
      <c r="E322" t="s">
        <v>24</v>
      </c>
      <c r="F322" t="s">
        <v>76</v>
      </c>
      <c r="G322" s="8">
        <v>0.84924999999999995</v>
      </c>
      <c r="H322" s="26">
        <v>2.48</v>
      </c>
    </row>
    <row r="323" spans="1:8" x14ac:dyDescent="0.3">
      <c r="A323">
        <v>202608</v>
      </c>
      <c r="B323" t="s">
        <v>32</v>
      </c>
      <c r="C323">
        <v>1769086617</v>
      </c>
      <c r="D323" t="s">
        <v>18</v>
      </c>
      <c r="E323" t="s">
        <v>24</v>
      </c>
      <c r="F323" t="s">
        <v>208</v>
      </c>
      <c r="G323" s="8">
        <v>0.33910000000000001</v>
      </c>
      <c r="H323" s="26">
        <v>6.07</v>
      </c>
    </row>
    <row r="324" spans="1:8" x14ac:dyDescent="0.3">
      <c r="A324">
        <v>202608</v>
      </c>
      <c r="B324" t="s">
        <v>32</v>
      </c>
      <c r="C324">
        <v>1769094229</v>
      </c>
      <c r="D324" t="s">
        <v>23</v>
      </c>
      <c r="E324" t="s">
        <v>19</v>
      </c>
      <c r="F324" t="s">
        <v>91</v>
      </c>
      <c r="G324" s="8">
        <v>1.5</v>
      </c>
      <c r="H324" s="26">
        <v>1</v>
      </c>
    </row>
    <row r="325" spans="1:8" x14ac:dyDescent="0.3">
      <c r="A325">
        <v>202608</v>
      </c>
      <c r="B325" t="s">
        <v>33</v>
      </c>
      <c r="C325">
        <v>1769063722</v>
      </c>
      <c r="D325" t="s">
        <v>23</v>
      </c>
      <c r="E325" t="s">
        <v>19</v>
      </c>
      <c r="F325" t="s">
        <v>77</v>
      </c>
      <c r="G325" s="8">
        <v>0.2</v>
      </c>
      <c r="H325" s="26">
        <v>3.6</v>
      </c>
    </row>
    <row r="326" spans="1:8" x14ac:dyDescent="0.3">
      <c r="A326">
        <v>202608</v>
      </c>
      <c r="B326" t="s">
        <v>33</v>
      </c>
      <c r="C326">
        <v>1769063820</v>
      </c>
      <c r="D326" t="s">
        <v>23</v>
      </c>
      <c r="E326" t="s">
        <v>19</v>
      </c>
      <c r="F326" t="s">
        <v>77</v>
      </c>
      <c r="G326" s="8">
        <v>0.20300000000000001</v>
      </c>
      <c r="H326" s="26">
        <v>3.6</v>
      </c>
    </row>
    <row r="327" spans="1:8" x14ac:dyDescent="0.3">
      <c r="A327">
        <v>202608</v>
      </c>
      <c r="B327" t="s">
        <v>33</v>
      </c>
      <c r="C327">
        <v>1769072560</v>
      </c>
      <c r="D327" t="s">
        <v>18</v>
      </c>
      <c r="E327" t="s">
        <v>24</v>
      </c>
      <c r="F327" t="s">
        <v>149</v>
      </c>
      <c r="G327" s="8">
        <v>0.40764</v>
      </c>
      <c r="H327" s="26">
        <v>3.3</v>
      </c>
    </row>
    <row r="328" spans="1:8" x14ac:dyDescent="0.3">
      <c r="A328">
        <v>202608</v>
      </c>
      <c r="B328" t="s">
        <v>33</v>
      </c>
      <c r="C328">
        <v>1769084428</v>
      </c>
      <c r="D328" t="s">
        <v>23</v>
      </c>
      <c r="E328" t="s">
        <v>19</v>
      </c>
      <c r="F328" t="s">
        <v>209</v>
      </c>
      <c r="G328" s="8">
        <v>1.2</v>
      </c>
      <c r="H328" s="26">
        <v>0.65</v>
      </c>
    </row>
    <row r="329" spans="1:8" x14ac:dyDescent="0.3">
      <c r="A329">
        <v>202608</v>
      </c>
      <c r="B329" t="s">
        <v>33</v>
      </c>
      <c r="C329">
        <v>1769095527</v>
      </c>
      <c r="D329" t="s">
        <v>18</v>
      </c>
      <c r="E329" t="s">
        <v>19</v>
      </c>
      <c r="F329" t="s">
        <v>79</v>
      </c>
      <c r="G329" s="8">
        <v>1.0166999999999999</v>
      </c>
      <c r="H329" s="26">
        <v>1</v>
      </c>
    </row>
    <row r="330" spans="1:8" x14ac:dyDescent="0.3">
      <c r="A330">
        <v>202608</v>
      </c>
      <c r="B330" t="s">
        <v>41</v>
      </c>
      <c r="C330">
        <v>1769086757</v>
      </c>
      <c r="D330" t="s">
        <v>23</v>
      </c>
      <c r="E330" t="s">
        <v>19</v>
      </c>
      <c r="F330" t="s">
        <v>210</v>
      </c>
      <c r="G330" s="8">
        <v>0.99180000000000001</v>
      </c>
      <c r="H330" s="26">
        <v>1.1000000000000001</v>
      </c>
    </row>
    <row r="331" spans="1:8" x14ac:dyDescent="0.3">
      <c r="A331">
        <v>202608</v>
      </c>
      <c r="B331" t="s">
        <v>41</v>
      </c>
      <c r="C331">
        <v>1769100090</v>
      </c>
      <c r="D331" t="s">
        <v>23</v>
      </c>
      <c r="E331" t="s">
        <v>19</v>
      </c>
      <c r="F331" t="s">
        <v>211</v>
      </c>
      <c r="G331" s="8">
        <v>0.6</v>
      </c>
      <c r="H331" s="26">
        <v>1.5</v>
      </c>
    </row>
    <row r="332" spans="1:8" x14ac:dyDescent="0.3">
      <c r="A332">
        <v>202608</v>
      </c>
      <c r="B332" t="s">
        <v>41</v>
      </c>
      <c r="C332">
        <v>1769102370</v>
      </c>
      <c r="D332" t="s">
        <v>23</v>
      </c>
      <c r="E332" t="s">
        <v>19</v>
      </c>
      <c r="F332" t="s">
        <v>212</v>
      </c>
      <c r="G332" s="8">
        <v>1</v>
      </c>
      <c r="H332" s="26">
        <v>1.3</v>
      </c>
    </row>
    <row r="333" spans="1:8" x14ac:dyDescent="0.3">
      <c r="A333">
        <v>202608</v>
      </c>
      <c r="B333" t="s">
        <v>27</v>
      </c>
      <c r="C333">
        <v>1769087672</v>
      </c>
      <c r="D333" t="s">
        <v>18</v>
      </c>
      <c r="E333" t="s">
        <v>24</v>
      </c>
      <c r="F333" t="s">
        <v>213</v>
      </c>
      <c r="G333" s="8">
        <v>3.391</v>
      </c>
      <c r="H333" s="26">
        <v>0.65</v>
      </c>
    </row>
    <row r="334" spans="1:8" x14ac:dyDescent="0.3">
      <c r="A334">
        <v>202608</v>
      </c>
      <c r="B334" t="s">
        <v>27</v>
      </c>
      <c r="C334">
        <v>1769099506</v>
      </c>
      <c r="D334" t="s">
        <v>18</v>
      </c>
      <c r="E334" t="s">
        <v>24</v>
      </c>
      <c r="F334" t="s">
        <v>214</v>
      </c>
      <c r="G334" s="8">
        <v>1.0166999999999999</v>
      </c>
      <c r="H334" s="26">
        <v>3.95</v>
      </c>
    </row>
    <row r="335" spans="1:8" x14ac:dyDescent="0.3">
      <c r="A335">
        <v>202608</v>
      </c>
      <c r="B335" t="s">
        <v>56</v>
      </c>
      <c r="C335">
        <v>1769102388</v>
      </c>
      <c r="D335" t="s">
        <v>18</v>
      </c>
      <c r="E335" t="s">
        <v>24</v>
      </c>
      <c r="F335" t="s">
        <v>153</v>
      </c>
      <c r="G335" s="8">
        <v>0.76252500000000001</v>
      </c>
      <c r="H335" s="26">
        <v>1.25</v>
      </c>
    </row>
    <row r="336" spans="1:8" x14ac:dyDescent="0.3">
      <c r="A336">
        <v>202608</v>
      </c>
      <c r="B336" t="s">
        <v>115</v>
      </c>
      <c r="C336">
        <v>1769073990</v>
      </c>
      <c r="D336" t="s">
        <v>18</v>
      </c>
      <c r="E336" t="s">
        <v>24</v>
      </c>
      <c r="F336" t="s">
        <v>158</v>
      </c>
      <c r="G336" s="8">
        <v>2.3778999999999999</v>
      </c>
      <c r="H336" s="26">
        <v>0.3</v>
      </c>
    </row>
    <row r="337" spans="1:8" x14ac:dyDescent="0.3">
      <c r="A337">
        <v>202608</v>
      </c>
      <c r="B337" t="s">
        <v>115</v>
      </c>
      <c r="C337">
        <v>1769093930</v>
      </c>
      <c r="D337" t="s">
        <v>18</v>
      </c>
      <c r="E337" t="s">
        <v>24</v>
      </c>
      <c r="F337" t="s">
        <v>158</v>
      </c>
      <c r="G337" s="8">
        <v>2.54175</v>
      </c>
      <c r="H337" s="26">
        <v>0.3</v>
      </c>
    </row>
    <row r="338" spans="1:8" x14ac:dyDescent="0.3">
      <c r="A338">
        <v>202608</v>
      </c>
      <c r="B338" t="s">
        <v>115</v>
      </c>
      <c r="C338">
        <v>1769100377</v>
      </c>
      <c r="D338" t="s">
        <v>18</v>
      </c>
      <c r="E338" t="s">
        <v>24</v>
      </c>
      <c r="F338" t="s">
        <v>189</v>
      </c>
      <c r="G338" s="8">
        <v>1.6944999999999999</v>
      </c>
      <c r="H338" s="26">
        <v>0.3</v>
      </c>
    </row>
    <row r="339" spans="1:8" x14ac:dyDescent="0.3">
      <c r="A339">
        <v>202608</v>
      </c>
      <c r="B339" t="s">
        <v>42</v>
      </c>
      <c r="C339">
        <v>1769078193</v>
      </c>
      <c r="D339" t="s">
        <v>23</v>
      </c>
      <c r="E339" t="s">
        <v>19</v>
      </c>
      <c r="F339" t="s">
        <v>160</v>
      </c>
      <c r="G339" s="8">
        <v>4</v>
      </c>
      <c r="H339" s="26">
        <v>0.42</v>
      </c>
    </row>
    <row r="340" spans="1:8" x14ac:dyDescent="0.3">
      <c r="A340">
        <v>202608</v>
      </c>
      <c r="B340" t="s">
        <v>42</v>
      </c>
      <c r="C340">
        <v>1769094865</v>
      </c>
      <c r="D340" t="s">
        <v>23</v>
      </c>
      <c r="E340" t="s">
        <v>19</v>
      </c>
      <c r="F340" t="s">
        <v>160</v>
      </c>
      <c r="G340" s="8">
        <v>9</v>
      </c>
      <c r="H340" s="26">
        <v>0.42</v>
      </c>
    </row>
    <row r="341" spans="1:8" x14ac:dyDescent="0.3">
      <c r="G341"/>
      <c r="H341"/>
    </row>
    <row r="342" spans="1:8" x14ac:dyDescent="0.3">
      <c r="G342"/>
      <c r="H342"/>
    </row>
    <row r="343" spans="1:8" x14ac:dyDescent="0.3">
      <c r="G343"/>
      <c r="H343"/>
    </row>
    <row r="344" spans="1:8" x14ac:dyDescent="0.3">
      <c r="G344"/>
      <c r="H344"/>
    </row>
    <row r="345" spans="1:8" x14ac:dyDescent="0.3">
      <c r="G345"/>
      <c r="H345"/>
    </row>
    <row r="346" spans="1:8" x14ac:dyDescent="0.3">
      <c r="G346"/>
      <c r="H346"/>
    </row>
    <row r="347" spans="1:8" x14ac:dyDescent="0.3">
      <c r="G347"/>
      <c r="H347"/>
    </row>
    <row r="348" spans="1:8" x14ac:dyDescent="0.3">
      <c r="G348"/>
      <c r="H348"/>
    </row>
    <row r="349" spans="1:8" x14ac:dyDescent="0.3">
      <c r="G349"/>
      <c r="H349"/>
    </row>
    <row r="350" spans="1:8" x14ac:dyDescent="0.3">
      <c r="G350"/>
      <c r="H350"/>
    </row>
    <row r="351" spans="1:8" x14ac:dyDescent="0.3">
      <c r="G351"/>
      <c r="H351"/>
    </row>
    <row r="352" spans="1:8" x14ac:dyDescent="0.3">
      <c r="G352"/>
      <c r="H352"/>
    </row>
    <row r="353" spans="7:8" x14ac:dyDescent="0.3">
      <c r="G353"/>
      <c r="H353"/>
    </row>
    <row r="354" spans="7:8" x14ac:dyDescent="0.3">
      <c r="G354"/>
      <c r="H354"/>
    </row>
    <row r="355" spans="7:8" x14ac:dyDescent="0.3">
      <c r="G355"/>
      <c r="H355"/>
    </row>
    <row r="356" spans="7:8" x14ac:dyDescent="0.3">
      <c r="G356"/>
      <c r="H356"/>
    </row>
    <row r="357" spans="7:8" x14ac:dyDescent="0.3">
      <c r="G357"/>
      <c r="H357"/>
    </row>
    <row r="358" spans="7:8" x14ac:dyDescent="0.3">
      <c r="G358"/>
      <c r="H358"/>
    </row>
    <row r="359" spans="7:8" x14ac:dyDescent="0.3">
      <c r="G359"/>
      <c r="H359"/>
    </row>
    <row r="360" spans="7:8" x14ac:dyDescent="0.3">
      <c r="G360"/>
      <c r="H360"/>
    </row>
    <row r="361" spans="7:8" x14ac:dyDescent="0.3">
      <c r="G361"/>
      <c r="H361"/>
    </row>
    <row r="362" spans="7:8" x14ac:dyDescent="0.3">
      <c r="G362"/>
      <c r="H362"/>
    </row>
    <row r="363" spans="7:8" x14ac:dyDescent="0.3">
      <c r="G363"/>
      <c r="H363"/>
    </row>
    <row r="364" spans="7:8" x14ac:dyDescent="0.3">
      <c r="G364"/>
      <c r="H364"/>
    </row>
    <row r="365" spans="7:8" x14ac:dyDescent="0.3">
      <c r="G365"/>
      <c r="H365"/>
    </row>
    <row r="366" spans="7:8" x14ac:dyDescent="0.3">
      <c r="G366"/>
      <c r="H366"/>
    </row>
    <row r="367" spans="7:8" x14ac:dyDescent="0.3">
      <c r="G367"/>
      <c r="H367"/>
    </row>
    <row r="368" spans="7:8" x14ac:dyDescent="0.3">
      <c r="G368"/>
      <c r="H368"/>
    </row>
    <row r="369" spans="7:8" x14ac:dyDescent="0.3">
      <c r="G369"/>
      <c r="H369"/>
    </row>
    <row r="370" spans="7:8" x14ac:dyDescent="0.3">
      <c r="G370"/>
      <c r="H370"/>
    </row>
    <row r="371" spans="7:8" x14ac:dyDescent="0.3">
      <c r="G371"/>
      <c r="H371"/>
    </row>
    <row r="372" spans="7:8" x14ac:dyDescent="0.3">
      <c r="G372"/>
      <c r="H372"/>
    </row>
    <row r="373" spans="7:8" x14ac:dyDescent="0.3">
      <c r="G373"/>
      <c r="H373"/>
    </row>
    <row r="374" spans="7:8" x14ac:dyDescent="0.3">
      <c r="G374"/>
      <c r="H374"/>
    </row>
    <row r="375" spans="7:8" x14ac:dyDescent="0.3">
      <c r="G375"/>
      <c r="H375"/>
    </row>
    <row r="376" spans="7:8" x14ac:dyDescent="0.3">
      <c r="G376"/>
      <c r="H376"/>
    </row>
    <row r="377" spans="7:8" x14ac:dyDescent="0.3">
      <c r="G377"/>
      <c r="H377"/>
    </row>
    <row r="378" spans="7:8" x14ac:dyDescent="0.3">
      <c r="G378"/>
      <c r="H378"/>
    </row>
    <row r="379" spans="7:8" x14ac:dyDescent="0.3">
      <c r="G379"/>
      <c r="H379"/>
    </row>
    <row r="380" spans="7:8" x14ac:dyDescent="0.3">
      <c r="G380"/>
      <c r="H380"/>
    </row>
    <row r="381" spans="7:8" x14ac:dyDescent="0.3">
      <c r="G381"/>
      <c r="H381"/>
    </row>
    <row r="382" spans="7:8" x14ac:dyDescent="0.3">
      <c r="G382"/>
      <c r="H382"/>
    </row>
    <row r="383" spans="7:8" x14ac:dyDescent="0.3">
      <c r="G383"/>
      <c r="H383"/>
    </row>
    <row r="384" spans="7:8" x14ac:dyDescent="0.3">
      <c r="G384"/>
      <c r="H384"/>
    </row>
    <row r="385" spans="7:8" x14ac:dyDescent="0.3">
      <c r="G385"/>
      <c r="H385"/>
    </row>
    <row r="386" spans="7:8" x14ac:dyDescent="0.3">
      <c r="G386"/>
      <c r="H386"/>
    </row>
    <row r="387" spans="7:8" x14ac:dyDescent="0.3">
      <c r="G387"/>
      <c r="H387"/>
    </row>
    <row r="388" spans="7:8" x14ac:dyDescent="0.3">
      <c r="G388"/>
      <c r="H388"/>
    </row>
    <row r="389" spans="7:8" x14ac:dyDescent="0.3">
      <c r="G389"/>
      <c r="H389"/>
    </row>
    <row r="390" spans="7:8" x14ac:dyDescent="0.3">
      <c r="G390"/>
      <c r="H390"/>
    </row>
    <row r="391" spans="7:8" x14ac:dyDescent="0.3">
      <c r="G391"/>
      <c r="H391"/>
    </row>
    <row r="392" spans="7:8" x14ac:dyDescent="0.3">
      <c r="G392"/>
      <c r="H392"/>
    </row>
    <row r="393" spans="7:8" x14ac:dyDescent="0.3">
      <c r="G393"/>
      <c r="H393"/>
    </row>
    <row r="394" spans="7:8" x14ac:dyDescent="0.3">
      <c r="G394"/>
      <c r="H394"/>
    </row>
    <row r="395" spans="7:8" x14ac:dyDescent="0.3">
      <c r="G395"/>
      <c r="H395"/>
    </row>
    <row r="396" spans="7:8" x14ac:dyDescent="0.3">
      <c r="G396"/>
      <c r="H396"/>
    </row>
    <row r="397" spans="7:8" x14ac:dyDescent="0.3">
      <c r="G397"/>
      <c r="H397"/>
    </row>
    <row r="398" spans="7:8" x14ac:dyDescent="0.3">
      <c r="G398"/>
      <c r="H398"/>
    </row>
    <row r="399" spans="7:8" x14ac:dyDescent="0.3">
      <c r="G399"/>
      <c r="H399"/>
    </row>
    <row r="400" spans="7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2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3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4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5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6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7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9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0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11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2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693AA6A9-C8C4-4B30-9393-09E146D56280}">
  <ds:schemaRefs/>
</ds:datastoreItem>
</file>

<file path=customXml/itemProps14.xml><?xml version="1.0" encoding="utf-8"?>
<ds:datastoreItem xmlns:ds="http://schemas.openxmlformats.org/officeDocument/2006/customXml" ds:itemID="{AF38F398-8C5E-4047-B8C2-E37524B94BB0}">
  <ds:schemaRefs/>
</ds:datastoreItem>
</file>

<file path=customXml/itemProps15.xml><?xml version="1.0" encoding="utf-8"?>
<ds:datastoreItem xmlns:ds="http://schemas.openxmlformats.org/officeDocument/2006/customXml" ds:itemID="{7B330806-F475-45A8-A786-253E5F09708A}">
  <ds:schemaRefs/>
</ds:datastoreItem>
</file>

<file path=customXml/itemProps16.xml><?xml version="1.0" encoding="utf-8"?>
<ds:datastoreItem xmlns:ds="http://schemas.openxmlformats.org/officeDocument/2006/customXml" ds:itemID="{DCD28BED-8EC5-44A0-A1F5-6DE01919C8D9}">
  <ds:schemaRefs/>
</ds:datastoreItem>
</file>

<file path=customXml/itemProps17.xml><?xml version="1.0" encoding="utf-8"?>
<ds:datastoreItem xmlns:ds="http://schemas.openxmlformats.org/officeDocument/2006/customXml" ds:itemID="{A96F5432-13B8-4316-B72A-E334C4C8080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2026-08-07T23:24:18Z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