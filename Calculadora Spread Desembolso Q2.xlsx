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37" documentId="8_{E9AFCAC9-B2A1-4EC4-B527-4B3219212ADD}" xr6:coauthVersionLast="47" xr6:coauthVersionMax="47" xr10:uidLastSave="{A198DFF9-9E3D-4E71-921C-DA02196E9C6E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528" r:id="rId2"/>
    <pivotCache cacheId="531" r:id="rId3"/>
  </pivotCaches>
  <extLst>
    <ext xmlns:x14="http://schemas.microsoft.com/office/spreadsheetml/2009/9/main" uri="{876F7934-8845-4945-9796-88D515C7AA90}">
      <x14:pivotCaches>
        <pivotCache cacheId="524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<sst xmlns="http://schemas.openxmlformats.org/spreadsheetml/2006/main" count="2467" uniqueCount="301">
  <si>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</si>
  <si>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</si>
  <si>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</si>
  <si>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</si>
  <si>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</si>
  <si>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</si>
  <si>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</si>
  <si>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</si>
  <si>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</si>
  <si>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</si>
  <si>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</si>
  <si>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</si>
  <si>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</si>
  <si>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</si>
  <si>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</si>
  <si>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</si>
  <si>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</si>
  <si>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</si>
  <si>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</si>
  <si>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</si>
  <si>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</si>
  <si>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</si>
  <si>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</si>
  <si>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</si>
  <si>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</si>
  <si>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</si>
  <si>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</si>
  <si>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</si>
  <si>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</si>
  <si>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</si>
  <si>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</si>
  <si>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</si>
  <si>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</si>
  <si>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</si>
  <si>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</si>
  <si>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</si>
  <si>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</si>
  <si>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</si>
  <si>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</si>
  <si>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</si>
  <si>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</si>
  <si>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</si>
  <si>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</si>
  <si>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</si>
  <si>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</si>
  <si>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</si>
  <si>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</si>
  <si>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</si>
  <si>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</si>
  <si>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</si>
  <si>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</si>
  <si>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</si>
  <si>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</si>
  <si>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</si>
  <si>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</si>
  <si>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</si>
  <si>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</si>
  <si>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</si>
  <si>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</si>
  <si>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</si>
  <si>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</si>
  <si>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</si>
  <si>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</si>
  <si>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</si>
  <si>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</si>
  <si>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</si>
  <si>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</si>
  <si>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</si>
  <si>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</si>
  <si>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</si>
  <si>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</si>
  <si>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</si>
  <si>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</si>
  <si>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</si>
  <si>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</si>
  <si>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</si>
  <si>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</si>
  <si>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</si>
  <si>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</si>
  <si>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</si>
  <si>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</si>
  <si>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</si>
  <si>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</si>
  <si>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</si>
  <si>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</si>
  <si>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</si>
  <si>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</si>
  <si>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</si>
  <si>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</si>
  <si>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</si>
  <si>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</si>
  <si>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</si>
  <si>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</si>
  <si>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</si>
  <si>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</si>
  <si>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</si>
  <si>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</si>
  <si>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</si>
  <si>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</si>
  <si>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</si>
  <si>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</si>
  <si>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</si>
  <si>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</si>
  <si>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</si>
  <si>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</si>
  <si>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</si>
  <si>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</si>
  <si>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</si>
  <si>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</si>
  <si>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</si>
  <si>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</si>
  <si>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</si>
  <si>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</si>
  <si>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</si>
  <si>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</si>
  <si>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</si>
  <si>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</si>
  <si>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</si>
  <si>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</si>
  <si>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</si>
  <si>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</si>
  <si>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</si>
  <si>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</si>
  <si>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</si>
  <si>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</si>
  <si>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</si>
  <si>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</si>
  <si>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</si>
  <si>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</si>
  <si>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</si>
  <si>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</si>
  <si>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</si>
  <si>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</si>
  <si>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</si>
  <si>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</si>
  <si>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</si>
  <si>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</si>
  <si>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</si>
  <si>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</si>
  <si>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</si>
  <si>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</si>
  <si>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</si>
  <si>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</si>
  <si>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</si>
  <si>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</si>
  <si>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</si>
  <si>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</si>
  <si>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</si>
  <si>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</si>
  <si>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</si>
  <si>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</si>
  <si>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</si>
  <si>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</si>
  <si>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</si>
  <si>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</si>
  <si>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</si>
  <si>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</si>
  <si>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</si>
  <si>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</si>
  <si>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</si>
  <si>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</si>
  <si>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</si>
  <si>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</si>
  <si>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</si>
  <si>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</si>
  <si>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</si>
  <si>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</si>
  <si>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</si>
  <si>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</si>
  <si>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</si>
  <si>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</si>
  <si>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</si>
  <si>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</si>
  <si>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</si>
  <si>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</si>
  <si>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</si>
  <si>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</si>
  <si>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</si>
  <si>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</si>
  <si>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</si>
  <si>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</si>
  <si>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</si>
  <si>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</si>
  <si>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</si>
  <si>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</si>
  <si>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</si>
  <si>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</si>
  <si>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</si>
  <si>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</si>
  <si>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</si>
  <si>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</si>
  <si>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</si>
  <si>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</si>
  <si>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</si>
  <si>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</si>
  <si>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</si>
  <si>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</si>
  <si>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</si>
  <si>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</si>
  <si>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</si>
  <si>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</si>
  <si>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</si>
  <si>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</si>
  <si>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</si>
  <si>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</si>
  <si>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</si>
  <si>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</si>
  <si>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</si>
  <si>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</si>
  <si>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</si>
  <si>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</si>
  <si>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</si>
  <si>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</si>
  <si>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</si>
  <si>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</si>
  <si>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</si>
  <si>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</si>
  <si>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</si>
  <si>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</si>
  <si>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</si>
  <si>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</si>
  <si>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</si>
  <si>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</si>
  <si>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</si>
  <si>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</si>
  <si>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</si>
  <si>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</si>
  <si>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</si>
  <si>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</si>
  <si>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</si>
  <si>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</si>
  <si>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</si>
  <si>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</si>
  <si>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</si>
  <si>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</si>
  <si>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</si>
  <si>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</si>
  <si>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</si>
  <si>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</si>
  <si>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</si>
  <si>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</si>
  <si>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</si>
  <si>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</si>
  <si>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</si>
  <si>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</si>
  <si>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</si>
  <si>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</si>
  <si>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</si>
  <si>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</si>
  <si>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</si>
  <si>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</si>
  <si>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</si>
  <si>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</si>
  <si>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</si>
  <si>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</si>
  <si>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</si>
  <si>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</si>
  <si>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</si>
  <si>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</si>
  <si>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</si>
  <si>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</si>
  <si>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</si>
  <si>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</si>
  <si>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</si>
  <si>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</si>
  <si>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</si>
  <si>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</si>
  <si>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</si>
  <si>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</si>
  <si>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</si>
  <si>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</si>
  <si>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</si>
  <si>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</si>
  <si>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</si>
  <si>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</si>
  <si>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</si>
  <si>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</si>
  <si>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</si>
  <si>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</si>
  <si>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</si>
  <si>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</si>
  <si>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</si>
  <si>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</si>
  <si>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</si>
  <si>
    <t>CARTAVIO RUM COMPANY SAC</t>
  </si>
  <si>
    <t>PAPELERA NACIONAL S A</t>
  </si>
  <si>
    <t>MOTOR MUNDO SAC</t>
  </si>
  <si>
    <t>GP MOTOS SOCIEDAD ANONIMA CERRADA</t>
  </si>
  <si>
    <t>PACKPLAST ENVOLTURAS SAC</t>
  </si>
  <si>
    <t>D.ROSADO*16377</t>
  </si>
  <si>
    <t>L.PEREZ*16364</t>
  </si>
  <si>
    <t>ROTAPEL SA</t>
  </si>
  <si>
    <t>INVERSIONES PUCARA S A C</t>
  </si>
  <si>
    <t>PERULAB EXPRESS SAC</t>
  </si>
  <si>
    <t>PROSAC S A</t>
  </si>
  <si>
    <t>CORPORACION DE INGENIERIA DE REFRIGERACION</t>
  </si>
  <si>
    <t>TERMINALES PORTUARIOS PERUANOS</t>
  </si>
  <si>
    <t>ANALYTICA MINERAL SERVICES SAC</t>
  </si>
  <si>
    <t>JRC MAQUINARIAS S A C</t>
  </si>
  <si>
    <t>BIOCON DEL PERU S A C</t>
  </si>
  <si>
    <t>PROMOTORES ELECTRICOS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</si>
</sst>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9"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1055687</xdr:colOff>
      <xdr:row>13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65820</xdr:colOff>
      <xdr:row>6</xdr:row>
      <xdr:rowOff>67310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27719</xdr:colOff>
      <xdr:row>13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9.499894791668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D.ROSADO*16377"/>
        <s v="E.NUNEZ"/>
        <s v="G.BRAVO"/>
        <s v="G.RAFFO"/>
        <s v="J.CARRERA"/>
        <s v="J.GRANDEZ"/>
        <s v="J.NAVARRO"/>
        <s v="J.NICOLI"/>
        <s v="J.RAFFO*14014"/>
        <s v="L.PEREZ*16364"/>
        <s v="M.CASTAÑEDA"/>
        <s v="M.LAZO"/>
        <s v="M.ROA"/>
        <s v="M.RODRIGUEZ*16329"/>
        <s v="P.VENEGAS*15424"/>
        <s v="R.SOLIS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9.499900000003" createdVersion="5" refreshedVersion="8" minRefreshableVersion="3" recordCount="0" supportSubquery="1" supportAdvancedDrill="1" xr:uid="{E16E5F9E-3107-4537-AFA8-91AABA175D0D}">
  <cacheSource type="external" connectionId="2"/>
  <cacheFields count="9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684230" count="601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5722036"/>
        <n v="1751400395"/>
        <n v="1755736908"/>
        <n v="1755737700"/>
        <n v="175584929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4603760"/>
        <n v="1764619412"/>
        <n v="1760402656"/>
        <n v="1764569253"/>
        <n v="1764607790"/>
        <n v="1764609697"/>
        <n v="1764618238"/>
        <n v="1764645723"/>
        <n v="1764649010"/>
        <n v="1764649788"/>
        <n v="1764654706"/>
        <n v="1764674383"/>
        <n v="1764677889"/>
        <n v="1764682688"/>
        <n v="1760379450"/>
        <n v="1760409448"/>
        <n v="1764564715"/>
        <n v="1764584813"/>
        <n v="1764619358"/>
        <n v="1764645227"/>
        <n v="1764672348"/>
        <n v="1760358990"/>
        <n v="1760379352"/>
        <n v="1764536126"/>
        <n v="1764541103"/>
        <n v="1764541928"/>
        <n v="1764563263"/>
        <n v="1764594320"/>
        <n v="1764653520"/>
        <n v="1764682670"/>
        <n v="1764684230"/>
        <n v="1764560280"/>
        <n v="1764570456"/>
        <n v="1764530420"/>
        <n v="1764678280"/>
        <n v="1764561040"/>
        <n v="1764564600"/>
        <n v="1764570553"/>
        <n v="1764649443"/>
        <n v="1764655052"/>
        <n v="1760362840"/>
        <n v="1760402150"/>
        <n v="1760411582"/>
        <n v="1764555775"/>
        <n v="1764579879"/>
        <n v="1764602500"/>
        <n v="1764654730"/>
        <n v="1764683382"/>
        <n v="1764531523"/>
        <n v="1764560370"/>
        <n v="1764619307"/>
        <n v="1764643836"/>
        <n v="1764653130"/>
        <n v="1764674090"/>
        <n v="1764680014"/>
        <n v="1760375764"/>
        <n v="1760376220"/>
        <n v="1760397008"/>
        <n v="1760409090"/>
        <n v="1760412066"/>
        <n v="1764541390"/>
        <n v="1764541588"/>
        <n v="1764552407"/>
        <n v="1764552415"/>
        <n v="1764594266"/>
        <n v="1764603168"/>
        <n v="1764603214"/>
        <n v="1764606116"/>
        <n v="1764609824"/>
        <n v="1764623126"/>
        <n v="1764626877"/>
        <n v="1764636279"/>
        <n v="1764638964"/>
        <n v="1764639073"/>
        <n v="1764640144"/>
        <n v="1764653190"/>
        <n v="1764653394"/>
        <n v="1764653416"/>
        <n v="1764674316"/>
        <n v="1764674359"/>
        <n v="1764680537"/>
        <n v="1760409723"/>
        <n v="1760411183"/>
        <n v="1760363227"/>
        <n v="1760380040"/>
        <n v="1764650034"/>
        <n v="1764650123"/>
        <n v="1760385450"/>
        <n v="1760385522"/>
        <n v="1764644999"/>
        <n v="1764678095"/>
        <n v="1764684117"/>
        <n v="1760376604"/>
        <n v="1760397199"/>
        <n v="1764541880"/>
        <n v="1764557719"/>
        <n v="1764560060"/>
        <n v="1764560760"/>
        <n v="1764560973"/>
        <n v="1764561155"/>
        <n v="1764585100"/>
        <n v="1764609875"/>
        <n v="1764633946"/>
        <n v="1764549783"/>
        <n v="1764568893"/>
        <n v="1764619242"/>
        <n v="1764626303"/>
        <n v="1764626362"/>
        <n v="1764657853"/>
        <n v="1764678699"/>
        <n v="1760380423"/>
        <n v="1760398853"/>
        <n v="1764578350"/>
        <n v="1764619340"/>
        <n v="1764634314"/>
        <n v="1764643150"/>
        <n v="1764536053"/>
        <n v="1764566970"/>
        <n v="1764590058"/>
        <n v="1764617843"/>
        <n v="1764645928"/>
        <n v="1764655036"/>
        <n v="1764657020"/>
        <n v="1764680375"/>
        <n v="1764684079"/>
        <n v="1764537882"/>
        <n v="1764590953"/>
        <n v="1764603109"/>
        <n v="1764608313"/>
        <n v="1764635728"/>
        <n v="1764635779"/>
        <n v="1764646894"/>
        <n v="1764679660"/>
        <n v="1760361356"/>
        <n v="1760379832"/>
        <n v="1764578058"/>
        <n v="1764635825"/>
        <n v="1764570570"/>
        <n v="1764595025"/>
        <n v="1764674227"/>
        <n v="1764654900"/>
        <n v="1764682769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ROSADO*16377"/>
        <s v="E.NUNEZ"/>
        <s v="G.BRAVO"/>
        <s v="G.RAFFO"/>
        <s v="J.CARRERA"/>
        <s v="J.GRANDEZ"/>
        <s v="J.NAVARRO"/>
        <s v="J.NICOLI"/>
        <s v="J.RAFFO*14014"/>
        <s v="L.PEREZ*16364"/>
        <s v="M.CASTAÑEDA"/>
        <s v="M.LAZO"/>
        <s v="M.ROA"/>
        <s v="M.RODRIGUEZ*16329"/>
        <s v="R.SOLIS"/>
        <s v="W.MACHUCA"/>
        <s v="D.HERRERA*14796"/>
        <s v="P.VENEGAS*15424"/>
      </sharedItems>
    </cacheField>
    <cacheField name="[Desem].[NombreCliente].[NombreCliente]" caption="NombreCliente" numFmtId="0" hierarchy="10" level="1">
      <sharedItems count="245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DROCSA SAC"/>
        <s v="CORPORATION WITHMORY SRL"/>
        <s v="FERRETERIA CATALEYA SAC"/>
        <s v="CIA INDUSTRIAL NUEVO MUNDO S A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LLANMAXXI DEL PERU SAC"/>
        <s v="DRESDEN SA"/>
        <s v="INKA TUBOS SA"/>
        <s v="AGROVET MARKET SA"/>
        <s v="PREMIUM BRANDS S A C"/>
        <s v="SISTEMAS ANALITICOS SRL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GP MOTOS SOCIEDAD ANONIMA CERRADA"/>
        <s v="ROTAPEL SA"/>
        <s v="IMBAREX SA"/>
        <s v="OTOYA MH SAC"/>
        <s v="BEAGLE AGENTES DE ADUANA SA"/>
        <s v="AGROEXPORTACIONES NATHANAEL SAC"/>
        <s v="INVERSIONES PUCARA S A C"/>
        <s v="PERULAB S A"/>
        <s v="VIAGO E I R L"/>
        <s v="PERULAB EXPRESS SAC"/>
        <s v="EMUSA PERU SAC"/>
        <s v="PAPELERA NACIONAL S A"/>
        <s v="PROSAC S A"/>
        <s v="CORPORACION DE INGENIERIA DE REFRIGERACION"/>
        <s v="CONSORCIO GEOHIDRAULICA SAC"/>
        <s v="CLASS COMPLEMENTS SAC"/>
        <s v="INVERSIONES RUBIN S SAC"/>
        <s v="S &amp; C SOLUCIONES INTEGRALES SAC"/>
        <s v="TERMINALES PORTUARIOS PERUANOS"/>
        <s v="PROCESADORA COMERCIALIZADORA MONTENEGRO SAC"/>
        <s v="TAMBOS PERU SAC"/>
        <s v="VERDUM PERU SAC"/>
        <s v="SILVATEAM PERU COMERCIAL SAC"/>
        <s v="PACKPLAST ENVOLTURAS SAC"/>
        <s v="ANALYTICA MINERAL SERVICES SAC"/>
        <s v="JRC MAQUINARIAS S A C"/>
        <s v="SUDAMERICANA DE FIBRAS S A"/>
        <s v="COLOREXA SOCIEDAD ANONIMA CERRADA"/>
        <s v="BIOCON DEL PERU S A C"/>
        <s v="CARTAVIO RUM COMPANY SAC"/>
        <s v="MOTOR MUNDO SAC"/>
        <s v="MAPRIAL SAC"/>
        <s v="BIG ROCK S A C"/>
        <s v="PROMOTORES ELECTRICOS SA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9.499890509258" createdVersion="3" refreshedVersion="8" minRefreshableVersion="3" recordCount="0" supportSubquery="1" supportAdvancedDrill="1" xr:uid="{52ECCCBA-F536-4235-A2AD-1D38742A6DA9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11483418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531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616" firstHeaderRow="0" firstDataRow="1" firstDataCol="6"/>
  <pivotFields count="9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601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 v="1"/>
      <x v="1"/>
      <x v="32"/>
    </i>
    <i r="1">
      <x v="5"/>
      <x v="50"/>
      <x/>
      <x v="1"/>
      <x v="33"/>
    </i>
    <i r="2">
      <x v="51"/>
      <x v="1"/>
      <x v="2"/>
      <x v="34"/>
    </i>
    <i r="2">
      <x v="52"/>
      <x v="1"/>
      <x v="2"/>
      <x v="34"/>
    </i>
    <i r="2">
      <x v="53"/>
      <x v="1"/>
      <x v="1"/>
      <x v="35"/>
    </i>
    <i r="1">
      <x v="6"/>
      <x v="54"/>
      <x/>
      <x v="1"/>
      <x v="36"/>
    </i>
    <i r="2">
      <x v="55"/>
      <x/>
      <x v="1"/>
      <x v="36"/>
    </i>
    <i r="2">
      <x v="56"/>
      <x/>
      <x/>
      <x v="37"/>
    </i>
    <i r="2">
      <x v="57"/>
      <x/>
      <x v="1"/>
      <x v="38"/>
    </i>
    <i r="2">
      <x v="58"/>
      <x v="1"/>
      <x/>
      <x v="39"/>
    </i>
    <i r="2">
      <x v="59"/>
      <x/>
      <x v="1"/>
      <x v="38"/>
    </i>
    <i r="1">
      <x v="7"/>
      <x v="60"/>
      <x/>
      <x/>
      <x v="40"/>
    </i>
    <i r="2">
      <x v="61"/>
      <x/>
      <x v="2"/>
      <x v="41"/>
    </i>
    <i r="2">
      <x v="62"/>
      <x v="1"/>
      <x/>
      <x v="42"/>
    </i>
    <i r="2">
      <x v="63"/>
      <x/>
      <x v="1"/>
      <x v="43"/>
    </i>
    <i r="2">
      <x v="64"/>
      <x/>
      <x v="1"/>
      <x v="43"/>
    </i>
    <i r="2">
      <x v="65"/>
      <x/>
      <x v="1"/>
      <x v="44"/>
    </i>
    <i r="2">
      <x v="66"/>
      <x/>
      <x v="1"/>
      <x v="43"/>
    </i>
    <i r="2">
      <x v="67"/>
      <x v="1"/>
      <x/>
      <x v="45"/>
    </i>
    <i r="2">
      <x v="68"/>
      <x/>
      <x/>
      <x v="43"/>
    </i>
    <i r="2">
      <x v="69"/>
      <x/>
      <x/>
      <x v="46"/>
    </i>
    <i r="2">
      <x v="70"/>
      <x/>
      <x/>
      <x v="46"/>
    </i>
    <i r="2">
      <x v="71"/>
      <x v="1"/>
      <x v="2"/>
      <x v="41"/>
    </i>
    <i r="2">
      <x v="72"/>
      <x/>
      <x v="2"/>
      <x v="41"/>
    </i>
    <i r="1">
      <x v="8"/>
      <x v="73"/>
      <x/>
      <x v="1"/>
      <x v="47"/>
    </i>
    <i r="2">
      <x v="74"/>
      <x v="1"/>
      <x v="1"/>
      <x v="48"/>
    </i>
    <i r="2">
      <x v="75"/>
      <x v="1"/>
      <x v="1"/>
      <x v="48"/>
    </i>
    <i r="2">
      <x v="76"/>
      <x v="1"/>
      <x v="1"/>
      <x v="48"/>
    </i>
    <i r="2">
      <x v="77"/>
      <x/>
      <x v="1"/>
      <x v="49"/>
    </i>
    <i r="2">
      <x v="78"/>
      <x/>
      <x v="1"/>
      <x v="49"/>
    </i>
    <i r="2">
      <x v="79"/>
      <x v="1"/>
      <x v="1"/>
      <x v="48"/>
    </i>
    <i r="2">
      <x v="80"/>
      <x v="1"/>
      <x v="1"/>
      <x v="48"/>
    </i>
    <i r="2">
      <x v="81"/>
      <x v="1"/>
      <x v="1"/>
      <x v="48"/>
    </i>
    <i r="2">
      <x v="82"/>
      <x v="1"/>
      <x v="2"/>
      <x v="50"/>
    </i>
    <i r="2">
      <x v="83"/>
      <x v="1"/>
      <x v="1"/>
      <x v="48"/>
    </i>
    <i r="2">
      <x v="84"/>
      <x v="1"/>
      <x v="1"/>
      <x v="48"/>
    </i>
    <i r="2">
      <x v="85"/>
      <x v="1"/>
      <x v="1"/>
      <x v="48"/>
    </i>
    <i r="2">
      <x v="86"/>
      <x/>
      <x v="1"/>
      <x v="51"/>
    </i>
    <i r="2">
      <x v="87"/>
      <x/>
      <x v="2"/>
      <x v="51"/>
    </i>
    <i r="2">
      <x v="88"/>
      <x/>
      <x v="1"/>
      <x v="47"/>
    </i>
    <i r="2">
      <x v="89"/>
      <x v="1"/>
      <x v="1"/>
      <x v="52"/>
    </i>
    <i r="2">
      <x v="90"/>
      <x v="1"/>
      <x v="1"/>
      <x v="48"/>
    </i>
    <i r="2">
      <x v="91"/>
      <x v="1"/>
      <x v="1"/>
      <x v="48"/>
    </i>
    <i r="2">
      <x v="92"/>
      <x v="1"/>
      <x v="1"/>
      <x v="48"/>
    </i>
    <i r="2">
      <x v="93"/>
      <x/>
      <x v="1"/>
      <x v="53"/>
    </i>
    <i r="2">
      <x v="94"/>
      <x/>
      <x v="1"/>
      <x v="54"/>
    </i>
    <i r="2">
      <x v="95"/>
      <x v="1"/>
      <x v="2"/>
      <x v="55"/>
    </i>
    <i r="2">
      <x v="96"/>
      <x/>
      <x v="1"/>
      <x v="56"/>
    </i>
    <i r="2">
      <x v="97"/>
      <x/>
      <x v="1"/>
      <x v="53"/>
    </i>
    <i r="2">
      <x v="98"/>
      <x v="1"/>
      <x v="1"/>
      <x v="48"/>
    </i>
    <i r="2">
      <x v="99"/>
      <x v="1"/>
      <x v="1"/>
      <x v="48"/>
    </i>
    <i r="2">
      <x v="100"/>
      <x v="1"/>
      <x v="1"/>
      <x v="48"/>
    </i>
    <i r="2">
      <x v="101"/>
      <x/>
      <x/>
      <x v="57"/>
    </i>
    <i r="2">
      <x v="102"/>
      <x/>
      <x/>
      <x v="57"/>
    </i>
    <i r="2">
      <x v="103"/>
      <x/>
      <x/>
      <x v="57"/>
    </i>
    <i r="2">
      <x v="104"/>
      <x/>
      <x/>
      <x v="57"/>
    </i>
    <i r="2">
      <x v="105"/>
      <x v="1"/>
      <x v="1"/>
      <x v="48"/>
    </i>
    <i r="2">
      <x v="106"/>
      <x v="1"/>
      <x v="1"/>
      <x v="48"/>
    </i>
    <i r="2">
      <x v="107"/>
      <x v="1"/>
      <x v="1"/>
      <x v="48"/>
    </i>
    <i r="2">
      <x v="108"/>
      <x v="1"/>
      <x v="1"/>
      <x v="48"/>
    </i>
    <i r="2">
      <x v="109"/>
      <x/>
      <x v="2"/>
      <x v="51"/>
    </i>
    <i r="1">
      <x v="9"/>
      <x v="110"/>
      <x/>
      <x/>
      <x v="58"/>
    </i>
    <i r="2">
      <x v="111"/>
      <x v="1"/>
      <x v="1"/>
      <x v="59"/>
    </i>
    <i r="2">
      <x v="112"/>
      <x/>
      <x v="3"/>
      <x v="58"/>
    </i>
    <i r="2">
      <x v="113"/>
      <x/>
      <x v="1"/>
      <x v="60"/>
    </i>
    <i r="2">
      <x v="114"/>
      <x/>
      <x/>
      <x v="60"/>
    </i>
    <i r="2">
      <x v="115"/>
      <x/>
      <x/>
      <x v="58"/>
    </i>
    <i r="2">
      <x v="116"/>
      <x/>
      <x/>
      <x v="61"/>
    </i>
    <i r="2">
      <x v="117"/>
      <x v="1"/>
      <x v="1"/>
      <x v="59"/>
    </i>
    <i r="2">
      <x v="118"/>
      <x v="1"/>
      <x v="2"/>
      <x v="62"/>
    </i>
    <i r="1">
      <x v="10"/>
      <x v="119"/>
      <x/>
      <x v="1"/>
      <x v="63"/>
    </i>
    <i r="2">
      <x v="120"/>
      <x/>
      <x v="3"/>
      <x v="64"/>
    </i>
    <i r="1">
      <x v="11"/>
      <x v="121"/>
      <x/>
      <x v="1"/>
      <x v="65"/>
    </i>
    <i r="2">
      <x v="122"/>
      <x/>
      <x/>
      <x v="66"/>
    </i>
    <i r="2">
      <x v="123"/>
      <x/>
      <x/>
      <x v="67"/>
    </i>
    <i r="2">
      <x v="124"/>
      <x/>
      <x v="1"/>
      <x v="68"/>
    </i>
    <i r="1">
      <x v="12"/>
      <x v="125"/>
      <x v="1"/>
      <x/>
      <x v="69"/>
    </i>
    <i r="2">
      <x v="126"/>
      <x v="1"/>
      <x/>
      <x v="69"/>
    </i>
    <i r="2">
      <x v="127"/>
      <x v="1"/>
      <x/>
      <x v="69"/>
    </i>
    <i r="2">
      <x v="128"/>
      <x/>
      <x/>
      <x v="70"/>
    </i>
    <i r="2">
      <x v="129"/>
      <x v="1"/>
      <x/>
      <x v="71"/>
    </i>
    <i r="2">
      <x v="130"/>
      <x/>
      <x/>
      <x v="70"/>
    </i>
    <i r="2">
      <x v="131"/>
      <x v="1"/>
      <x/>
      <x v="72"/>
    </i>
    <i r="2">
      <x v="132"/>
      <x v="1"/>
      <x/>
      <x v="73"/>
    </i>
    <i r="2">
      <x v="133"/>
      <x/>
      <x/>
      <x v="74"/>
    </i>
    <i r="2">
      <x v="134"/>
      <x v="1"/>
      <x/>
      <x v="75"/>
    </i>
    <i r="2">
      <x v="135"/>
      <x v="1"/>
      <x/>
      <x v="72"/>
    </i>
    <i r="2">
      <x v="136"/>
      <x v="1"/>
      <x/>
      <x v="76"/>
    </i>
    <i r="2">
      <x v="137"/>
      <x/>
      <x v="1"/>
      <x v="77"/>
    </i>
    <i r="2">
      <x v="138"/>
      <x v="1"/>
      <x/>
      <x v="78"/>
    </i>
    <i r="2">
      <x v="139"/>
      <x v="1"/>
      <x/>
      <x v="79"/>
    </i>
    <i r="2">
      <x v="140"/>
      <x/>
      <x v="1"/>
      <x v="77"/>
    </i>
    <i r="2">
      <x v="141"/>
      <x/>
      <x v="1"/>
      <x v="80"/>
    </i>
    <i r="2">
      <x v="142"/>
      <x v="1"/>
      <x/>
      <x v="72"/>
    </i>
    <i r="2">
      <x v="143"/>
      <x v="1"/>
      <x/>
      <x v="81"/>
    </i>
    <i r="2">
      <x v="144"/>
      <x v="1"/>
      <x/>
      <x v="81"/>
    </i>
    <i r="2">
      <x v="145"/>
      <x/>
      <x v="1"/>
      <x v="77"/>
    </i>
    <i r="1">
      <x v="13"/>
      <x v="146"/>
      <x/>
      <x v="1"/>
      <x v="82"/>
    </i>
    <i r="2">
      <x v="147"/>
      <x/>
      <x v="1"/>
      <x v="82"/>
    </i>
    <i r="2">
      <x v="148"/>
      <x/>
      <x v="1"/>
      <x v="82"/>
    </i>
    <i r="2">
      <x v="149"/>
      <x/>
      <x v="1"/>
      <x v="82"/>
    </i>
    <i r="2">
      <x v="150"/>
      <x/>
      <x v="1"/>
      <x v="82"/>
    </i>
    <i r="2">
      <x v="151"/>
      <x/>
      <x v="1"/>
      <x v="83"/>
    </i>
    <i r="2">
      <x v="152"/>
      <x/>
      <x v="1"/>
      <x v="84"/>
    </i>
    <i r="2">
      <x v="153"/>
      <x v="1"/>
      <x v="1"/>
      <x v="85"/>
    </i>
    <i r="2">
      <x v="154"/>
      <x/>
      <x v="1"/>
      <x v="86"/>
    </i>
    <i r="2">
      <x v="155"/>
      <x v="1"/>
      <x/>
      <x v="87"/>
    </i>
    <i r="2">
      <x v="156"/>
      <x v="1"/>
      <x v="1"/>
      <x v="88"/>
    </i>
    <i r="1">
      <x v="14"/>
      <x v="157"/>
      <x v="1"/>
      <x/>
      <x v="89"/>
    </i>
    <i r="2">
      <x v="158"/>
      <x v="1"/>
      <x/>
      <x v="89"/>
    </i>
    <i r="2">
      <x v="159"/>
      <x v="1"/>
      <x/>
      <x v="89"/>
    </i>
    <i r="2"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90"/>
    </i>
    <i r="1">
      <x v="15"/>
      <x v="164"/>
      <x v="1"/>
      <x/>
      <x v="91"/>
    </i>
    <i r="2">
      <x v="165"/>
      <x/>
      <x/>
      <x v="92"/>
    </i>
    <i r="2">
      <x v="166"/>
      <x/>
      <x v="3"/>
      <x v="93"/>
    </i>
    <i r="2">
      <x v="167"/>
      <x v="1"/>
      <x/>
      <x v="94"/>
    </i>
    <i r="2">
      <x v="168"/>
      <x v="1"/>
      <x/>
      <x v="91"/>
    </i>
    <i r="2">
      <x v="169"/>
      <x/>
      <x v="1"/>
      <x v="95"/>
    </i>
    <i r="2">
      <x v="170"/>
      <x v="1"/>
      <x v="2"/>
      <x v="96"/>
    </i>
    <i r="2">
      <x v="171"/>
      <x/>
      <x v="1"/>
      <x v="97"/>
    </i>
    <i r="2">
      <x v="172"/>
      <x v="1"/>
      <x/>
      <x v="98"/>
    </i>
    <i r="2">
      <x v="173"/>
      <x v="1"/>
      <x v="1"/>
      <x v="99"/>
    </i>
    <i r="2">
      <x v="174"/>
      <x/>
      <x/>
      <x v="100"/>
    </i>
    <i r="2">
      <x v="175"/>
      <x/>
      <x/>
      <x v="100"/>
    </i>
    <i r="2">
      <x v="176"/>
      <x v="1"/>
      <x/>
      <x v="101"/>
    </i>
    <i r="2">
      <x v="177"/>
      <x/>
      <x v="1"/>
      <x v="102"/>
    </i>
    <i r="2">
      <x v="178"/>
      <x/>
      <x v="1"/>
      <x v="102"/>
    </i>
    <i r="1">
      <x v="16"/>
      <x v="179"/>
      <x v="1"/>
      <x v="1"/>
      <x v="103"/>
    </i>
    <i r="2">
      <x v="180"/>
      <x v="1"/>
      <x v="1"/>
      <x v="104"/>
    </i>
    <i r="2">
      <x v="181"/>
      <x/>
      <x v="1"/>
      <x v="105"/>
    </i>
    <i r="2">
      <x v="182"/>
      <x/>
      <x v="1"/>
      <x v="106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9"/>
    </i>
    <i r="2">
      <x v="187"/>
      <x/>
      <x v="1"/>
      <x v="109"/>
    </i>
    <i r="2">
      <x v="188"/>
      <x/>
      <x v="1"/>
      <x v="109"/>
    </i>
    <i r="2">
      <x v="189"/>
      <x/>
      <x v="1"/>
      <x v="107"/>
    </i>
    <i r="2">
      <x v="190"/>
      <x/>
      <x v="1"/>
      <x v="110"/>
    </i>
    <i r="2">
      <x v="191"/>
      <x v="1"/>
      <x v="1"/>
      <x v="111"/>
    </i>
    <i r="2">
      <x v="192"/>
      <x v="1"/>
      <x v="1"/>
      <x v="111"/>
    </i>
    <i r="2">
      <x v="193"/>
      <x v="1"/>
      <x v="1"/>
      <x v="111"/>
    </i>
    <i r="2">
      <x v="194"/>
      <x/>
      <x v="3"/>
      <x v="112"/>
    </i>
    <i r="2">
      <x v="195"/>
      <x v="1"/>
      <x/>
      <x v="113"/>
    </i>
    <i r="2">
      <x v="196"/>
      <x/>
      <x v="1"/>
      <x v="114"/>
    </i>
    <i r="2">
      <x v="197"/>
      <x/>
      <x v="1"/>
      <x v="115"/>
    </i>
    <i r="2">
      <x v="198"/>
      <x/>
      <x v="1"/>
      <x v="116"/>
    </i>
    <i r="2">
      <x v="199"/>
      <x/>
      <x/>
      <x v="117"/>
    </i>
    <i r="2">
      <x v="200"/>
      <x v="1"/>
      <x v="2"/>
      <x v="118"/>
    </i>
    <i r="1">
      <x v="17"/>
      <x v="201"/>
      <x v="1"/>
      <x/>
      <x v="119"/>
    </i>
    <i r="2">
      <x v="202"/>
      <x/>
      <x v="1"/>
      <x v="120"/>
    </i>
    <i r="2">
      <x v="203"/>
      <x v="1"/>
      <x v="1"/>
      <x v="121"/>
    </i>
    <i r="2">
      <x v="204"/>
      <x v="1"/>
      <x v="1"/>
      <x v="121"/>
    </i>
    <i r="2">
      <x v="205"/>
      <x/>
      <x v="1"/>
      <x v="122"/>
    </i>
    <i r="2">
      <x v="206"/>
      <x/>
      <x/>
      <x v="123"/>
    </i>
    <i r="2">
      <x v="207"/>
      <x/>
      <x/>
      <x v="124"/>
    </i>
    <i r="2">
      <x v="208"/>
      <x/>
      <x/>
      <x v="123"/>
    </i>
    <i r="2">
      <x v="209"/>
      <x/>
      <x/>
      <x v="124"/>
    </i>
    <i r="2">
      <x v="210"/>
      <x/>
      <x v="1"/>
      <x v="122"/>
    </i>
    <i r="1">
      <x v="18"/>
      <x v="211"/>
      <x v="1"/>
      <x/>
      <x v="125"/>
    </i>
    <i r="2">
      <x v="212"/>
      <x/>
      <x v="1"/>
      <x v="126"/>
    </i>
    <i r="2">
      <x v="213"/>
      <x v="1"/>
      <x/>
      <x v="127"/>
    </i>
    <i r="2">
      <x v="214"/>
      <x/>
      <x v="1"/>
      <x v="128"/>
    </i>
    <i r="2">
      <x v="215"/>
      <x/>
      <x v="2"/>
      <x v="129"/>
    </i>
    <i r="2">
      <x v="216"/>
      <x v="1"/>
      <x v="2"/>
      <x v="130"/>
    </i>
    <i r="2">
      <x v="217"/>
      <x v="1"/>
      <x/>
      <x v="131"/>
    </i>
    <i r="2">
      <x v="218"/>
      <x v="1"/>
      <x v="1"/>
      <x v="132"/>
    </i>
    <i r="2">
      <x v="219"/>
      <x/>
      <x v="1"/>
      <x v="128"/>
    </i>
    <i r="2">
      <x v="220"/>
      <x v="1"/>
      <x/>
      <x v="133"/>
    </i>
    <i r="1">
      <x v="19"/>
      <x v="221"/>
      <x/>
      <x v="3"/>
      <x v="134"/>
    </i>
    <i r="2">
      <x v="222"/>
      <x v="1"/>
      <x v="2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5"/>
      <x v="278"/>
      <x/>
      <x/>
      <x v="151"/>
    </i>
    <i r="2">
      <x v="279"/>
      <x/>
      <x/>
      <x v="151"/>
    </i>
    <i r="2">
      <x v="280"/>
      <x/>
      <x v="1"/>
      <x v="33"/>
    </i>
    <i r="1">
      <x v="6"/>
      <x v="281"/>
      <x v="1"/>
      <x/>
      <x v="39"/>
    </i>
    <i r="2">
      <x v="282"/>
      <x v="1"/>
      <x/>
      <x v="39"/>
    </i>
    <i r="2">
      <x v="283"/>
      <x v="1"/>
      <x/>
      <x v="152"/>
    </i>
    <i r="2">
      <x v="284"/>
      <x/>
      <x/>
      <x v="153"/>
    </i>
    <i r="2">
      <x v="285"/>
      <x/>
      <x/>
      <x v="153"/>
    </i>
    <i r="2">
      <x v="286"/>
      <x/>
      <x v="1"/>
      <x v="37"/>
    </i>
    <i r="2">
      <x v="287"/>
      <x/>
      <x v="1"/>
      <x v="38"/>
    </i>
    <i r="2">
      <x v="288"/>
      <x/>
      <x v="1"/>
      <x v="37"/>
    </i>
    <i r="2">
      <x v="289"/>
      <x v="1"/>
      <x/>
      <x v="39"/>
    </i>
    <i r="2">
      <x v="290"/>
      <x/>
      <x v="1"/>
      <x v="154"/>
    </i>
    <i r="2">
      <x v="291"/>
      <x/>
      <x v="1"/>
      <x v="38"/>
    </i>
    <i r="2">
      <x v="292"/>
      <x/>
      <x v="1"/>
      <x v="38"/>
    </i>
    <i r="1">
      <x v="7"/>
      <x v="293"/>
      <x/>
      <x v="1"/>
      <x v="43"/>
    </i>
    <i r="2">
      <x v="294"/>
      <x/>
      <x/>
      <x v="46"/>
    </i>
    <i r="2">
      <x v="295"/>
      <x/>
      <x/>
      <x v="46"/>
    </i>
    <i r="2">
      <x v="296"/>
      <x v="1"/>
      <x v="2"/>
      <x v="41"/>
    </i>
    <i r="2">
      <x v="297"/>
      <x/>
      <x v="2"/>
      <x v="41"/>
    </i>
    <i r="2">
      <x v="298"/>
      <x v="1"/>
      <x/>
      <x v="45"/>
    </i>
    <i r="2">
      <x v="299"/>
      <x v="1"/>
      <x v="1"/>
      <x v="155"/>
    </i>
    <i r="2">
      <x v="300"/>
      <x/>
      <x v="1"/>
      <x v="156"/>
    </i>
    <i r="2">
      <x v="301"/>
      <x/>
      <x v="1"/>
      <x v="43"/>
    </i>
    <i r="2">
      <x v="302"/>
      <x/>
      <x/>
      <x v="157"/>
    </i>
    <i r="2">
      <x v="303"/>
      <x/>
      <x/>
      <x v="157"/>
    </i>
    <i r="2">
      <x v="304"/>
      <x/>
      <x/>
      <x v="157"/>
    </i>
    <i r="2">
      <x v="305"/>
      <x/>
      <x/>
      <x v="157"/>
    </i>
    <i r="2">
      <x v="306"/>
      <x v="1"/>
      <x v="1"/>
      <x v="155"/>
    </i>
    <i r="2">
      <x v="307"/>
      <x v="1"/>
      <x/>
      <x v="158"/>
    </i>
    <i r="2">
      <x v="308"/>
      <x v="1"/>
      <x v="2"/>
      <x v="159"/>
    </i>
    <i r="2">
      <x v="309"/>
      <x v="1"/>
      <x v="2"/>
      <x v="160"/>
    </i>
    <i r="1">
      <x v="8"/>
      <x v="310"/>
      <x/>
      <x/>
      <x v="57"/>
    </i>
    <i r="2">
      <x v="311"/>
      <x v="1"/>
      <x v="1"/>
      <x v="52"/>
    </i>
    <i r="2">
      <x v="312"/>
      <x/>
      <x v="1"/>
      <x v="54"/>
    </i>
    <i r="2">
      <x v="313"/>
      <x v="1"/>
      <x/>
      <x v="161"/>
    </i>
    <i r="2">
      <x v="314"/>
      <x/>
      <x v="1"/>
      <x v="49"/>
    </i>
    <i r="2">
      <x v="315"/>
      <x v="1"/>
      <x v="1"/>
      <x v="48"/>
    </i>
    <i r="2">
      <x v="316"/>
      <x v="1"/>
      <x v="1"/>
      <x v="48"/>
    </i>
    <i r="2">
      <x v="317"/>
      <x v="1"/>
      <x v="1"/>
      <x v="48"/>
    </i>
    <i r="2">
      <x v="318"/>
      <x/>
      <x v="1"/>
      <x v="53"/>
    </i>
    <i r="2">
      <x v="319"/>
      <x/>
      <x v="1"/>
      <x v="54"/>
    </i>
    <i r="2">
      <x v="320"/>
      <x v="1"/>
      <x v="1"/>
      <x v="48"/>
    </i>
    <i r="2">
      <x v="321"/>
      <x v="1"/>
      <x v="1"/>
      <x v="48"/>
    </i>
    <i r="2">
      <x v="322"/>
      <x v="1"/>
      <x v="1"/>
      <x v="48"/>
    </i>
    <i r="2">
      <x v="323"/>
      <x v="1"/>
      <x v="1"/>
      <x v="48"/>
    </i>
    <i r="2">
      <x v="324"/>
      <x v="1"/>
      <x v="1"/>
      <x v="48"/>
    </i>
    <i r="2">
      <x v="325"/>
      <x v="1"/>
      <x v="1"/>
      <x v="48"/>
    </i>
    <i r="2">
      <x v="326"/>
      <x/>
      <x/>
      <x v="57"/>
    </i>
    <i r="2">
      <x v="327"/>
      <x/>
      <x v="1"/>
      <x v="162"/>
    </i>
    <i r="2">
      <x v="328"/>
      <x/>
      <x v="1"/>
      <x v="54"/>
    </i>
    <i r="2">
      <x v="329"/>
      <x/>
      <x v="1"/>
      <x v="49"/>
    </i>
    <i r="2">
      <x v="330"/>
      <x/>
      <x/>
      <x v="57"/>
    </i>
    <i r="2">
      <x v="331"/>
      <x/>
      <x/>
      <x v="57"/>
    </i>
    <i r="2">
      <x v="332"/>
      <x/>
      <x/>
      <x v="47"/>
    </i>
    <i r="2">
      <x v="333"/>
      <x/>
      <x v="3"/>
      <x v="163"/>
    </i>
    <i r="2">
      <x v="334"/>
      <x/>
      <x v="3"/>
      <x v="163"/>
    </i>
    <i r="2">
      <x v="335"/>
      <x v="1"/>
      <x v="1"/>
      <x v="48"/>
    </i>
    <i r="2">
      <x v="336"/>
      <x v="1"/>
      <x v="1"/>
      <x v="48"/>
    </i>
    <i r="2">
      <x v="337"/>
      <x v="1"/>
      <x v="1"/>
      <x v="48"/>
    </i>
    <i r="2">
      <x v="338"/>
      <x/>
      <x v="1"/>
      <x v="56"/>
    </i>
    <i r="2">
      <x v="339"/>
      <x/>
      <x v="1"/>
      <x v="49"/>
    </i>
    <i r="2">
      <x v="340"/>
      <x/>
      <x/>
      <x v="164"/>
    </i>
    <i r="1">
      <x v="9"/>
      <x v="341"/>
      <x/>
      <x/>
      <x v="61"/>
    </i>
    <i r="2">
      <x v="342"/>
      <x v="1"/>
      <x v="2"/>
      <x v="62"/>
    </i>
    <i r="2">
      <x v="343"/>
      <x v="1"/>
      <x v="2"/>
      <x v="62"/>
    </i>
    <i r="1">
      <x v="10"/>
      <x v="344"/>
      <x/>
      <x/>
      <x v="63"/>
    </i>
    <i r="2">
      <x v="345"/>
      <x/>
      <x v="3"/>
      <x v="165"/>
    </i>
    <i r="2">
      <x v="346"/>
      <x/>
      <x v="3"/>
      <x v="165"/>
    </i>
    <i r="2">
      <x v="347"/>
      <x/>
      <x v="1"/>
      <x v="166"/>
    </i>
    <i r="2">
      <x v="348"/>
      <x/>
      <x v="1"/>
      <x v="167"/>
    </i>
    <i r="2">
      <x v="349"/>
      <x/>
      <x/>
      <x v="165"/>
    </i>
    <i r="1">
      <x v="11"/>
      <x v="350"/>
      <x v="1"/>
      <x/>
      <x v="168"/>
    </i>
    <i r="2">
      <x v="351"/>
      <x/>
      <x v="1"/>
      <x v="169"/>
    </i>
    <i r="2">
      <x v="352"/>
      <x v="1"/>
      <x/>
      <x v="170"/>
    </i>
    <i r="2">
      <x v="353"/>
      <x/>
      <x v="1"/>
      <x v="68"/>
    </i>
    <i r="2">
      <x v="354"/>
      <x/>
      <x v="3"/>
      <x v="171"/>
    </i>
    <i r="2">
      <x v="355"/>
      <x/>
      <x/>
      <x v="67"/>
    </i>
    <i r="2">
      <x v="356"/>
      <x/>
      <x v="1"/>
      <x v="68"/>
    </i>
    <i r="2">
      <x v="357"/>
      <x/>
      <x/>
      <x v="172"/>
    </i>
    <i r="1">
      <x v="12"/>
      <x v="358"/>
      <x v="1"/>
      <x/>
      <x v="173"/>
    </i>
    <i r="2">
      <x v="359"/>
      <x/>
      <x v="1"/>
      <x v="77"/>
    </i>
    <i r="2">
      <x v="360"/>
      <x v="1"/>
      <x/>
      <x v="81"/>
    </i>
    <i r="2">
      <x v="361"/>
      <x v="1"/>
      <x/>
      <x v="81"/>
    </i>
    <i r="2">
      <x v="362"/>
      <x/>
      <x v="3"/>
      <x v="174"/>
    </i>
    <i r="2">
      <x v="363"/>
      <x/>
      <x/>
      <x v="81"/>
    </i>
    <i r="2">
      <x v="364"/>
      <x/>
      <x/>
      <x v="81"/>
    </i>
    <i r="2">
      <x v="365"/>
      <x/>
      <x/>
      <x v="81"/>
    </i>
    <i r="2">
      <x v="366"/>
      <x/>
      <x/>
      <x v="81"/>
    </i>
    <i r="2">
      <x v="367"/>
      <x v="1"/>
      <x/>
      <x v="81"/>
    </i>
    <i r="2">
      <x v="368"/>
      <x v="1"/>
      <x/>
      <x v="81"/>
    </i>
    <i r="2">
      <x v="369"/>
      <x v="1"/>
      <x/>
      <x v="175"/>
    </i>
    <i r="2">
      <x v="370"/>
      <x v="1"/>
      <x/>
      <x v="175"/>
    </i>
    <i r="2">
      <x v="371"/>
      <x v="1"/>
      <x/>
      <x v="175"/>
    </i>
    <i r="2">
      <x v="372"/>
      <x v="1"/>
      <x/>
      <x v="78"/>
    </i>
    <i r="1">
      <x v="13"/>
      <x v="373"/>
      <x v="1"/>
      <x/>
      <x v="87"/>
    </i>
    <i r="2">
      <x v="374"/>
      <x/>
      <x v="1"/>
      <x v="176"/>
    </i>
    <i r="2">
      <x v="375"/>
      <x/>
      <x v="1"/>
      <x v="86"/>
    </i>
    <i r="2">
      <x v="376"/>
      <x/>
      <x/>
      <x v="177"/>
    </i>
    <i r="2">
      <x v="377"/>
      <x/>
      <x v="1"/>
      <x v="86"/>
    </i>
    <i r="2">
      <x v="378"/>
      <x/>
      <x/>
      <x v="177"/>
    </i>
    <i r="2">
      <x v="379"/>
      <x/>
      <x v="1"/>
      <x v="178"/>
    </i>
    <i r="2">
      <x v="380"/>
      <x v="1"/>
      <x v="1"/>
      <x v="179"/>
    </i>
    <i r="2">
      <x v="381"/>
      <x/>
      <x v="1"/>
      <x v="180"/>
    </i>
    <i r="2">
      <x v="382"/>
      <x v="1"/>
      <x v="1"/>
      <x v="181"/>
    </i>
    <i r="2">
      <x v="383"/>
      <x/>
      <x v="1"/>
      <x v="179"/>
    </i>
    <i r="2">
      <x v="384"/>
      <x v="1"/>
      <x v="1"/>
      <x v="85"/>
    </i>
    <i r="1">
      <x v="14"/>
      <x v="385"/>
      <x v="1"/>
      <x/>
      <x v="182"/>
    </i>
    <i r="2">
      <x v="386"/>
      <x/>
      <x v="1"/>
      <x v="182"/>
    </i>
    <i r="1">
      <x v="15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3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100"/>
    </i>
    <i r="2">
      <x v="395"/>
      <x/>
      <x v="1"/>
      <x v="95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3"/>
    </i>
    <i r="2">
      <x v="409"/>
      <x v="1"/>
      <x/>
      <x v="91"/>
    </i>
    <i r="1">
      <x v="16"/>
      <x v="410"/>
      <x/>
      <x v="1"/>
      <x v="116"/>
    </i>
    <i r="2">
      <x v="411"/>
      <x/>
      <x v="1"/>
      <x v="116"/>
    </i>
    <i r="2">
      <x v="412"/>
      <x v="1"/>
      <x v="1"/>
      <x v="111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6"/>
    </i>
    <i r="2">
      <x v="417"/>
      <x/>
      <x v="1"/>
      <x v="192"/>
    </i>
    <i r="2">
      <x v="418"/>
      <x/>
      <x v="1"/>
      <x v="192"/>
    </i>
    <i r="2">
      <x v="419"/>
      <x v="1"/>
      <x v="1"/>
      <x v="104"/>
    </i>
    <i r="2">
      <x v="420"/>
      <x/>
      <x v="1"/>
      <x v="193"/>
    </i>
    <i r="2">
      <x v="421"/>
      <x/>
      <x v="1"/>
      <x v="116"/>
    </i>
    <i r="2">
      <x v="422"/>
      <x v="1"/>
      <x v="1"/>
      <x v="111"/>
    </i>
    <i r="2">
      <x v="423"/>
      <x v="1"/>
      <x v="2"/>
      <x v="191"/>
    </i>
    <i r="2">
      <x v="424"/>
      <x/>
      <x v="1"/>
      <x v="109"/>
    </i>
    <i r="2">
      <x v="425"/>
      <x/>
      <x v="1"/>
      <x v="109"/>
    </i>
    <i r="2">
      <x v="426"/>
      <x/>
      <x v="1"/>
      <x v="109"/>
    </i>
    <i r="2">
      <x v="427"/>
      <x/>
      <x v="1"/>
      <x v="109"/>
    </i>
    <i r="2">
      <x v="428"/>
      <x/>
      <x v="1"/>
      <x v="114"/>
    </i>
    <i r="1">
      <x v="17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20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8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9"/>
    </i>
    <i r="1">
      <x v="19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5"/>
    </i>
    <i r="2">
      <x v="451"/>
      <x/>
      <x v="1"/>
      <x v="207"/>
    </i>
    <i r="2">
      <x v="452"/>
      <x/>
      <x v="1"/>
      <x v="206"/>
    </i>
    <i r="2">
      <x v="453"/>
      <x v="1"/>
      <x v="2"/>
      <x v="135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2">
      <x v="457"/>
      <x v="1"/>
      <x/>
      <x v="209"/>
    </i>
    <i r="2">
      <x v="458"/>
      <x v="1"/>
      <x/>
      <x v="210"/>
    </i>
    <i r="2">
      <x v="459"/>
      <x/>
      <x/>
      <x v="4"/>
    </i>
    <i r="2">
      <x v="460"/>
      <x/>
      <x/>
      <x v="4"/>
    </i>
    <i r="1">
      <x v="1"/>
      <x v="461"/>
      <x/>
      <x/>
      <x v="9"/>
    </i>
    <i r="2">
      <x v="462"/>
      <x/>
      <x v="1"/>
      <x v="14"/>
    </i>
    <i r="2">
      <x v="463"/>
      <x/>
      <x/>
      <x v="137"/>
    </i>
    <i r="2">
      <x v="464"/>
      <x/>
      <x v="1"/>
      <x v="211"/>
    </i>
    <i r="2">
      <x v="465"/>
      <x/>
      <x/>
      <x v="9"/>
    </i>
    <i r="2">
      <x v="466"/>
      <x v="1"/>
      <x v="1"/>
      <x v="7"/>
    </i>
    <i r="2">
      <x v="467"/>
      <x/>
      <x v="1"/>
      <x v="139"/>
    </i>
    <i r="2">
      <x v="468"/>
      <x/>
      <x/>
      <x v="139"/>
    </i>
    <i r="2">
      <x v="469"/>
      <x/>
      <x v="1"/>
      <x v="138"/>
    </i>
    <i r="2">
      <x v="470"/>
      <x/>
      <x v="1"/>
      <x v="212"/>
    </i>
    <i r="2">
      <x v="471"/>
      <x/>
      <x v="1"/>
      <x v="14"/>
    </i>
    <i r="2">
      <x v="472"/>
      <x/>
      <x v="1"/>
      <x v="14"/>
    </i>
    <i r="1">
      <x v="2"/>
      <x v="473"/>
      <x/>
      <x v="1"/>
      <x v="17"/>
    </i>
    <i r="2">
      <x v="474"/>
      <x/>
      <x v="1"/>
      <x v="17"/>
    </i>
    <i r="2">
      <x v="475"/>
      <x/>
      <x/>
      <x v="16"/>
    </i>
    <i r="2">
      <x v="476"/>
      <x/>
      <x v="1"/>
      <x v="141"/>
    </i>
    <i r="2">
      <x v="477"/>
      <x/>
      <x v="1"/>
      <x v="17"/>
    </i>
    <i r="2">
      <x v="478"/>
      <x/>
      <x v="1"/>
      <x v="17"/>
    </i>
    <i r="2">
      <x v="479"/>
      <x/>
      <x v="1"/>
      <x v="17"/>
    </i>
    <i r="1">
      <x v="3"/>
      <x v="480"/>
      <x v="1"/>
      <x v="2"/>
      <x v="22"/>
    </i>
    <i r="2">
      <x v="481"/>
      <x/>
      <x v="1"/>
      <x v="213"/>
    </i>
    <i r="2">
      <x v="482"/>
      <x v="1"/>
      <x v="2"/>
      <x v="20"/>
    </i>
    <i r="2">
      <x v="483"/>
      <x v="1"/>
      <x v="1"/>
      <x v="23"/>
    </i>
    <i r="2">
      <x v="484"/>
      <x v="1"/>
      <x/>
      <x v="214"/>
    </i>
    <i r="2">
      <x v="485"/>
      <x/>
      <x/>
      <x v="215"/>
    </i>
    <i r="2">
      <x v="486"/>
      <x/>
      <x v="1"/>
      <x v="24"/>
    </i>
    <i r="2">
      <x v="487"/>
      <x v="1"/>
      <x v="2"/>
      <x v="22"/>
    </i>
    <i r="2">
      <x v="488"/>
      <x v="1"/>
      <x v="2"/>
      <x v="22"/>
    </i>
    <i r="2">
      <x v="489"/>
      <x v="1"/>
      <x/>
      <x v="31"/>
    </i>
    <i r="1">
      <x v="20"/>
      <x v="490"/>
      <x/>
      <x v="2"/>
      <x v="150"/>
    </i>
    <i r="2">
      <x v="491"/>
      <x/>
      <x v="2"/>
      <x v="150"/>
    </i>
    <i r="1">
      <x v="4"/>
      <x v="492"/>
      <x/>
      <x v="1"/>
      <x v="216"/>
    </i>
    <i r="2">
      <x v="493"/>
      <x v="1"/>
      <x/>
      <x v="217"/>
    </i>
    <i r="1">
      <x v="5"/>
      <x v="494"/>
      <x v="1"/>
      <x v="1"/>
      <x v="218"/>
    </i>
    <i r="2">
      <x v="495"/>
      <x v="1"/>
      <x v="2"/>
      <x v="34"/>
    </i>
    <i r="2">
      <x v="496"/>
      <x v="1"/>
      <x v="2"/>
      <x v="219"/>
    </i>
    <i r="2">
      <x v="497"/>
      <x v="1"/>
      <x/>
      <x v="220"/>
    </i>
    <i r="2">
      <x v="498"/>
      <x v="1"/>
      <x v="2"/>
      <x v="34"/>
    </i>
    <i r="1">
      <x v="6"/>
      <x v="499"/>
      <x v="1"/>
      <x/>
      <x v="221"/>
    </i>
    <i r="2">
      <x v="500"/>
      <x/>
      <x v="1"/>
      <x v="36"/>
    </i>
    <i r="2">
      <x v="501"/>
      <x/>
      <x v="1"/>
      <x v="38"/>
    </i>
    <i r="2">
      <x v="502"/>
      <x/>
      <x v="1"/>
      <x v="38"/>
    </i>
    <i r="2">
      <x v="503"/>
      <x/>
      <x v="1"/>
      <x v="36"/>
    </i>
    <i r="2">
      <x v="504"/>
      <x/>
      <x/>
      <x v="222"/>
    </i>
    <i r="2">
      <x v="505"/>
      <x/>
      <x v="1"/>
      <x v="36"/>
    </i>
    <i r="2">
      <x v="506"/>
      <x/>
      <x v="1"/>
      <x v="38"/>
    </i>
    <i r="1">
      <x v="7"/>
      <x v="507"/>
      <x v="1"/>
      <x v="2"/>
      <x v="41"/>
    </i>
    <i r="2">
      <x v="508"/>
      <x/>
      <x v="2"/>
      <x v="41"/>
    </i>
    <i r="2">
      <x v="509"/>
      <x v="1"/>
      <x/>
      <x v="42"/>
    </i>
    <i r="2">
      <x v="510"/>
      <x v="1"/>
      <x v="2"/>
      <x v="41"/>
    </i>
    <i r="2">
      <x v="511"/>
      <x/>
      <x/>
      <x v="223"/>
    </i>
    <i r="2">
      <x v="512"/>
      <x/>
      <x v="1"/>
      <x v="224"/>
    </i>
    <i r="2">
      <x v="513"/>
      <x/>
      <x v="2"/>
      <x v="41"/>
    </i>
    <i r="1">
      <x v="8"/>
      <x v="514"/>
      <x/>
      <x/>
      <x v="57"/>
    </i>
    <i r="2">
      <x v="515"/>
      <x/>
      <x v="1"/>
      <x v="53"/>
    </i>
    <i r="2">
      <x v="516"/>
      <x/>
      <x v="1"/>
      <x v="47"/>
    </i>
    <i r="2">
      <x v="517"/>
      <x v="1"/>
      <x v="2"/>
      <x v="55"/>
    </i>
    <i r="2">
      <x v="518"/>
      <x v="1"/>
      <x v="2"/>
      <x v="55"/>
    </i>
    <i r="2">
      <x v="519"/>
      <x v="1"/>
      <x v="1"/>
      <x v="52"/>
    </i>
    <i r="2">
      <x v="520"/>
      <x/>
      <x/>
      <x v="225"/>
    </i>
    <i r="2">
      <x v="521"/>
      <x/>
      <x/>
      <x v="57"/>
    </i>
    <i r="2">
      <x v="522"/>
      <x/>
      <x/>
      <x v="57"/>
    </i>
    <i r="2">
      <x v="523"/>
      <x v="1"/>
      <x v="1"/>
      <x v="52"/>
    </i>
    <i r="2">
      <x v="524"/>
      <x/>
      <x/>
      <x v="57"/>
    </i>
    <i r="2">
      <x v="525"/>
      <x/>
      <x/>
      <x v="57"/>
    </i>
    <i r="2">
      <x v="526"/>
      <x/>
      <x v="2"/>
      <x v="55"/>
    </i>
    <i r="2">
      <x v="527"/>
      <x v="1"/>
      <x/>
      <x v="52"/>
    </i>
    <i r="2">
      <x v="528"/>
      <x/>
      <x/>
      <x v="164"/>
    </i>
    <i r="2">
      <x v="529"/>
      <x/>
      <x v="2"/>
      <x v="51"/>
    </i>
    <i r="2">
      <x v="530"/>
      <x v="1"/>
      <x v="1"/>
      <x v="48"/>
    </i>
    <i r="2">
      <x v="531"/>
      <x v="1"/>
      <x v="1"/>
      <x v="48"/>
    </i>
    <i r="2">
      <x v="532"/>
      <x v="1"/>
      <x v="1"/>
      <x v="48"/>
    </i>
    <i r="2">
      <x v="533"/>
      <x/>
      <x v="2"/>
      <x v="51"/>
    </i>
    <i r="2">
      <x v="534"/>
      <x v="1"/>
      <x v="1"/>
      <x v="48"/>
    </i>
    <i r="2">
      <x v="535"/>
      <x v="1"/>
      <x v="1"/>
      <x v="48"/>
    </i>
    <i r="2">
      <x v="536"/>
      <x v="1"/>
      <x v="1"/>
      <x v="48"/>
    </i>
    <i r="2">
      <x v="537"/>
      <x/>
      <x/>
      <x v="57"/>
    </i>
    <i r="2">
      <x v="538"/>
      <x/>
      <x/>
      <x v="57"/>
    </i>
    <i r="2">
      <x v="539"/>
      <x/>
      <x v="1"/>
      <x v="51"/>
    </i>
    <i r="1">
      <x v="9"/>
      <x v="540"/>
      <x v="1"/>
      <x v="1"/>
      <x v="226"/>
    </i>
    <i r="2">
      <x v="541"/>
      <x v="1"/>
      <x/>
      <x v="227"/>
    </i>
    <i r="1">
      <x v="10"/>
      <x v="542"/>
      <x/>
      <x v="1"/>
      <x v="167"/>
    </i>
    <i r="2">
      <x v="543"/>
      <x v="1"/>
      <x/>
      <x v="228"/>
    </i>
    <i r="2">
      <x v="544"/>
      <x/>
      <x/>
      <x v="229"/>
    </i>
    <i r="2">
      <x v="545"/>
      <x/>
      <x/>
      <x v="229"/>
    </i>
    <i r="1">
      <x v="11"/>
      <x v="546"/>
      <x/>
      <x v="1"/>
      <x v="65"/>
    </i>
    <i r="2">
      <x v="547"/>
      <x/>
      <x v="1"/>
      <x v="65"/>
    </i>
    <i r="2">
      <x v="548"/>
      <x/>
      <x v="1"/>
      <x v="68"/>
    </i>
    <i r="2">
      <x v="549"/>
      <x/>
      <x/>
      <x v="66"/>
    </i>
    <i r="2">
      <x v="550"/>
      <x/>
      <x/>
      <x v="172"/>
    </i>
    <i r="1">
      <x v="12"/>
      <x v="551"/>
      <x/>
      <x v="1"/>
      <x v="230"/>
    </i>
    <i r="2">
      <x v="552"/>
      <x/>
      <x v="1"/>
      <x v="230"/>
    </i>
    <i r="2">
      <x v="553"/>
      <x/>
      <x v="1"/>
      <x v="77"/>
    </i>
    <i r="2">
      <x v="554"/>
      <x v="1"/>
      <x/>
      <x v="231"/>
    </i>
    <i r="2">
      <x v="555"/>
      <x v="1"/>
      <x/>
      <x v="73"/>
    </i>
    <i r="2">
      <x v="556"/>
      <x v="1"/>
      <x/>
      <x v="79"/>
    </i>
    <i r="2">
      <x v="557"/>
      <x/>
      <x/>
      <x v="70"/>
    </i>
    <i r="2">
      <x v="558"/>
      <x/>
      <x v="1"/>
      <x v="232"/>
    </i>
    <i r="2">
      <x v="559"/>
      <x/>
      <x v="1"/>
      <x v="232"/>
    </i>
    <i r="2">
      <x v="560"/>
      <x/>
      <x v="1"/>
      <x v="77"/>
    </i>
    <i r="2">
      <x v="561"/>
      <x/>
      <x/>
      <x v="70"/>
    </i>
    <i r="1">
      <x v="13"/>
      <x v="562"/>
      <x/>
      <x v="1"/>
      <x v="180"/>
    </i>
    <i r="2">
      <x v="563"/>
      <x/>
      <x v="1"/>
      <x v="233"/>
    </i>
    <i r="2">
      <x v="564"/>
      <x v="1"/>
      <x v="1"/>
      <x v="85"/>
    </i>
    <i r="2">
      <x v="565"/>
      <x/>
      <x/>
      <x v="234"/>
    </i>
    <i r="2">
      <x v="566"/>
      <x/>
      <x v="1"/>
      <x v="86"/>
    </i>
    <i r="2">
      <x v="567"/>
      <x/>
      <x/>
      <x v="235"/>
    </i>
    <i r="1">
      <x v="14"/>
      <x v="568"/>
      <x/>
      <x v="3"/>
      <x v="236"/>
    </i>
    <i r="1">
      <x v="15"/>
      <x v="569"/>
      <x/>
      <x v="1"/>
      <x v="237"/>
    </i>
    <i r="2">
      <x v="570"/>
      <x/>
      <x v="1"/>
      <x v="184"/>
    </i>
    <i r="2">
      <x v="571"/>
      <x/>
      <x/>
      <x v="100"/>
    </i>
    <i r="2">
      <x v="572"/>
      <x v="1"/>
      <x/>
      <x v="91"/>
    </i>
    <i r="2">
      <x v="573"/>
      <x/>
      <x v="1"/>
      <x v="95"/>
    </i>
    <i r="2">
      <x v="574"/>
      <x/>
      <x v="3"/>
      <x v="93"/>
    </i>
    <i r="1">
      <x v="16"/>
      <x v="575"/>
      <x/>
      <x v="1"/>
      <x v="238"/>
    </i>
    <i r="2">
      <x v="576"/>
      <x v="1"/>
      <x v="1"/>
      <x v="111"/>
    </i>
    <i r="2">
      <x v="577"/>
      <x v="1"/>
      <x v="1"/>
      <x v="104"/>
    </i>
    <i r="2">
      <x v="578"/>
      <x/>
      <x/>
      <x v="193"/>
    </i>
    <i r="2">
      <x v="579"/>
      <x/>
      <x v="1"/>
      <x v="116"/>
    </i>
    <i r="2">
      <x v="580"/>
      <x/>
      <x/>
      <x v="108"/>
    </i>
    <i r="2">
      <x v="581"/>
      <x/>
      <x v="1"/>
      <x v="116"/>
    </i>
    <i r="2">
      <x v="582"/>
      <x/>
      <x v="1"/>
      <x v="239"/>
    </i>
    <i r="2">
      <x v="583"/>
      <x/>
      <x v="1"/>
      <x v="192"/>
    </i>
    <i r="1">
      <x v="17"/>
      <x v="584"/>
      <x/>
      <x v="1"/>
      <x v="120"/>
    </i>
    <i r="2">
      <x v="585"/>
      <x v="1"/>
      <x/>
      <x v="240"/>
    </i>
    <i r="2">
      <x v="586"/>
      <x/>
      <x v="1"/>
      <x v="241"/>
    </i>
    <i r="2">
      <x v="587"/>
      <x/>
      <x v="1"/>
      <x v="122"/>
    </i>
    <i r="2">
      <x v="588"/>
      <x/>
      <x/>
      <x v="196"/>
    </i>
    <i r="2">
      <x v="589"/>
      <x/>
      <x/>
      <x v="196"/>
    </i>
    <i r="2">
      <x v="590"/>
      <x/>
      <x v="1"/>
      <x v="241"/>
    </i>
    <i r="2">
      <x v="591"/>
      <x/>
      <x v="1"/>
      <x v="122"/>
    </i>
    <i r="1">
      <x v="21"/>
      <x v="592"/>
      <x/>
      <x v="2"/>
      <x v="242"/>
    </i>
    <i r="2">
      <x v="593"/>
      <x v="1"/>
      <x v="2"/>
      <x v="243"/>
    </i>
    <i r="2">
      <x v="594"/>
      <x v="1"/>
      <x v="2"/>
      <x v="200"/>
    </i>
    <i r="2">
      <x v="595"/>
      <x/>
      <x v="2"/>
      <x v="242"/>
    </i>
    <i r="1">
      <x v="18"/>
      <x v="596"/>
      <x/>
      <x v="2"/>
      <x v="129"/>
    </i>
    <i r="2">
      <x v="597"/>
      <x/>
      <x v="2"/>
      <x v="129"/>
    </i>
    <i r="2">
      <x v="598"/>
      <x/>
      <x v="2"/>
      <x v="129"/>
    </i>
    <i r="1">
      <x v="19"/>
      <x v="599"/>
      <x/>
      <x/>
      <x v="244"/>
    </i>
    <i r="2">
      <x v="600"/>
      <x v="1"/>
      <x v="2"/>
      <x v="135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">
      <pivotArea outline="0" collapsedLevelsAreSubtotals="1" fieldPosition="0"/>
    </format>
    <format dxfId="36">
      <pivotArea field="0" type="button" dataOnly="0" labelOnly="1" outline="0" axis="axisRow" fieldPosition="0"/>
    </format>
    <format dxfId="35">
      <pivotArea field="2" type="button" dataOnly="0" labelOnly="1" outline="0" axis="axisRow" fieldPosition="1"/>
    </format>
    <format dxfId="34">
      <pivotArea field="1" type="button" dataOnly="0" labelOnly="1" outline="0" axis="axisRow" fieldPosition="2"/>
    </format>
    <format dxfId="33">
      <pivotArea field="8" type="button" dataOnly="0" labelOnly="1" outline="0" axis="axisRow" fieldPosition="3"/>
    </format>
    <format dxfId="32">
      <pivotArea field="4" type="button" dataOnly="0" labelOnly="1" outline="0" axis="axisRow" fieldPosition="4"/>
    </format>
    <format dxfId="31">
      <pivotArea field="3" type="button" dataOnly="0" labelOnly="1" outline="0" axis="axisRow" fieldPosition="5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field="0" type="button" dataOnly="0" labelOnly="1" outline="0" axis="axisRow" fieldPosition="0"/>
    </format>
    <format dxfId="28">
      <pivotArea field="2" type="button" dataOnly="0" labelOnly="1" outline="0" axis="axisRow" fieldPosition="1"/>
    </format>
    <format dxfId="27">
      <pivotArea field="1" type="button" dataOnly="0" labelOnly="1" outline="0" axis="axisRow" fieldPosition="2"/>
    </format>
    <format dxfId="26">
      <pivotArea field="8" type="button" dataOnly="0" labelOnly="1" outline="0" axis="axisRow" fieldPosition="3"/>
    </format>
    <format dxfId="25">
      <pivotArea field="4" type="button" dataOnly="0" labelOnly="1" outline="0" axis="axisRow" fieldPosition="4"/>
    </format>
    <format dxfId="24">
      <pivotArea field="3" type="button" dataOnly="0" labelOnly="1" outline="0" axis="axisRow" fieldPosition="5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field="0" type="button" dataOnly="0" labelOnly="1" outline="0" axis="axisRow" fieldPosition="0"/>
    </format>
    <format dxfId="21">
      <pivotArea field="2" type="button" dataOnly="0" labelOnly="1" outline="0" axis="axisRow" fieldPosition="1"/>
    </format>
    <format dxfId="20">
      <pivotArea field="1" type="button" dataOnly="0" labelOnly="1" outline="0" axis="axisRow" fieldPosition="2"/>
    </format>
    <format dxfId="19">
      <pivotArea field="8" type="button" dataOnly="0" labelOnly="1" outline="0" axis="axisRow" fieldPosition="3"/>
    </format>
    <format dxfId="18">
      <pivotArea field="4" type="button" dataOnly="0" labelOnly="1" outline="0" axis="axisRow" fieldPosition="4"/>
    </format>
    <format dxfId="17">
      <pivotArea field="3" type="button" dataOnly="0" labelOnly="1" outline="0" axis="axisRow" fieldPosition="5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field="0" type="button" dataOnly="0" labelOnly="1" outline="0" axis="axisRow" fieldPosition="0"/>
    </format>
    <format dxfId="14">
      <pivotArea field="2" type="button" dataOnly="0" labelOnly="1" outline="0" axis="axisRow" fieldPosition="1"/>
    </format>
    <format dxfId="13">
      <pivotArea field="1" type="button" dataOnly="0" labelOnly="1" outline="0" axis="axisRow" fieldPosition="2"/>
    </format>
    <format dxfId="12">
      <pivotArea field="8" type="button" dataOnly="0" labelOnly="1" outline="0" axis="axisRow" fieldPosition="3"/>
    </format>
    <format dxfId="11">
      <pivotArea field="4" type="button" dataOnly="0" labelOnly="1" outline="0" axis="axisRow" fieldPosition="4"/>
    </format>
    <format dxfId="10">
      <pivotArea field="3" type="button" dataOnly="0" labelOnly="1" outline="0" axis="axisRow" fieldPosition="5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field="0" type="button" dataOnly="0" labelOnly="1" outline="0" axis="axisRow" fieldPosition="0"/>
    </format>
    <format dxfId="7">
      <pivotArea field="2" type="button" dataOnly="0" labelOnly="1" outline="0" axis="axisRow" fieldPosition="1"/>
    </format>
    <format dxfId="6">
      <pivotArea field="1" type="button" dataOnly="0" labelOnly="1" outline="0" axis="axisRow" fieldPosition="2"/>
    </format>
    <format dxfId="5">
      <pivotArea field="8" type="button" dataOnly="0" labelOnly="1" outline="0" axis="axisRow" fieldPosition="3"/>
    </format>
    <format dxfId="4">
      <pivotArea field="4" type="button" dataOnly="0" labelOnly="1" outline="0" axis="axisRow" fieldPosition="4"/>
    </format>
    <format dxfId="3">
      <pivotArea field="3" type="button" dataOnly="0" labelOnly="1" outline="0" axis="axisRow" fieldPosition="5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528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2114834188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E.NUNEZ]" c="E.NUNEZ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2114834188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2114834188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616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46198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270.15397926097006</v>
      </c>
      <c r="H6" s="21" cm="1">
        <f t="array" ref="H6">SUMPRODUCT(G16:G1006,H16:H1006*(A16:A1006=202604))/SUMIFS(G16:G1006,A16:A1006,202604)</f>
        <v>1.5584010574147693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314.49254606149998</v>
      </c>
      <c r="H7" s="21" cm="1">
        <f t="array" ref="H7">IFERROR(SUMPRODUCT(G16:G1006,H16:H1006*(A16:A1006=202605))/SUMIFS(G16:G1006,A16:A1006,202605),0)</f>
        <v>1.6592242191893107</v>
      </c>
      <c r="I7"/>
      <c r="J7"/>
      <c r="K7"/>
    </row>
    <row r="8" spans="1:22" x14ac:dyDescent="0.25">
      <c r="F8" s="14" t="s">
        <v>261</v>
      </c>
      <c r="G8" s="6">
        <f>+IFERROR(SUMIFS(G16:G999997,A16:A999997,202606),0)</f>
        <v>176.42772529712002</v>
      </c>
      <c r="H8" s="21" cm="1">
        <f t="array" ref="H8">IFERROR(SUMPRODUCT(G16:G1006,H16:H1006*(A16:A1006=202606))/SUMIFS(G16:G1006,A16:A1006,202606),0)</f>
        <v>1.5616204837339662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179.42772529712002</v>
      </c>
      <c r="H9" s="21">
        <f>+IFERROR(((G8*H8)+(SUM(J16:J1006)*(SUMPRODUCT(J16:J1006,K16:K1006)/SUM(J16:J1006))))/(G8+SUM(J16:J1006)),H8)</f>
        <v>1.5388544287977093</v>
      </c>
      <c r="I9"/>
      <c r="J9"/>
      <c r="K9"/>
    </row>
    <row r="10" spans="1:22" x14ac:dyDescent="0.25">
      <c r="F10" s="13" t="s">
        <v>6</v>
      </c>
      <c r="G10" s="6">
        <f>+SUM(G16:G999997)</f>
        <v>761.07425061959032</v>
      </c>
      <c r="H10" s="21">
        <f>+SUMPRODUCT(G16:G1006,H16:H1006)/SUM(G16:G1006)</f>
        <v>1.6008097039882507</v>
      </c>
      <c r="I10"/>
      <c r="J10"/>
      <c r="K10"/>
    </row>
    <row r="11" spans="1:22" x14ac:dyDescent="0.25">
      <c r="F11" s="13" t="s">
        <v>7</v>
      </c>
      <c r="G11" s="6">
        <f>+G10+SUM(J16:J999997)</f>
        <v>764.07425061959032</v>
      </c>
      <c r="H11" s="21">
        <f>+IFERROR(((G10*H10)+(SUM(J16:J1006)*(SUMPRODUCT(J16:J1006,K16:K1006)/SUM(J16:J1006))))/(G10+SUM(J16:J1006)),H10)</f>
        <v>1.5953096768527242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98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99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100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101</v>
      </c>
      <c r="G19" s="8">
        <v>0.129049734</v>
      </c>
      <c r="H19" s="25">
        <v>4.2</v>
      </c>
      <c r="J19" s="9"/>
      <c r="K19" s="9"/>
      <c r="S19" s="2" t="s">
        <v>93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102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98</v>
      </c>
      <c r="G21" s="8">
        <v>5.2574999999999997E-2</v>
      </c>
      <c r="H21" s="25">
        <v>3.34</v>
      </c>
      <c r="J21" s="9"/>
      <c r="K21" s="9"/>
      <c r="S21" s="2" t="s">
        <v>252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98</v>
      </c>
      <c r="G22" s="8">
        <v>8.8175000000000003E-2</v>
      </c>
      <c r="H22" s="25">
        <v>3.34</v>
      </c>
      <c r="J22" s="9"/>
      <c r="K22" s="9"/>
      <c r="S22" s="2" t="s">
        <v>289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103</v>
      </c>
      <c r="G23" s="8">
        <v>1.0529678999999998</v>
      </c>
      <c r="H23" s="25">
        <v>1.5</v>
      </c>
      <c r="J23" s="9"/>
      <c r="K23" s="9"/>
      <c r="S23" s="2" t="s">
        <v>34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103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104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105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106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107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108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109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110</v>
      </c>
      <c r="G31" s="8">
        <v>1.5</v>
      </c>
      <c r="H31" s="25">
        <v>0.8</v>
      </c>
      <c r="S31" s="2" t="s">
        <v>290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111</v>
      </c>
      <c r="G32" s="8">
        <v>0.35160000000000002</v>
      </c>
      <c r="H32" s="25">
        <v>0.1</v>
      </c>
      <c r="S32" s="2" t="s">
        <v>45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103</v>
      </c>
      <c r="G33" s="8">
        <v>0.66326483999999997</v>
      </c>
      <c r="H33" s="25">
        <v>1.51</v>
      </c>
      <c r="S33" s="2" t="s">
        <v>29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112</v>
      </c>
      <c r="G34" s="8">
        <v>2.4689000000000001</v>
      </c>
      <c r="H34" s="25">
        <v>0.25</v>
      </c>
      <c r="S34" s="2" t="s">
        <v>42</v>
      </c>
    </row>
    <row r="35" spans="1:19" x14ac:dyDescent="0.25">
      <c r="A35">
        <v>202604</v>
      </c>
      <c r="B35" t="s">
        <v>93</v>
      </c>
      <c r="C35">
        <v>1751395430</v>
      </c>
      <c r="D35" t="s">
        <v>20</v>
      </c>
      <c r="E35" t="s">
        <v>26</v>
      </c>
      <c r="F35" t="s">
        <v>113</v>
      </c>
      <c r="G35" s="8">
        <v>1.7184999999999999</v>
      </c>
      <c r="H35" s="25">
        <v>3.35</v>
      </c>
      <c r="S35" s="2" t="s">
        <v>94</v>
      </c>
    </row>
    <row r="36" spans="1:19" x14ac:dyDescent="0.25">
      <c r="A36">
        <v>202604</v>
      </c>
      <c r="B36" t="s">
        <v>93</v>
      </c>
      <c r="C36">
        <v>1751420140</v>
      </c>
      <c r="D36" t="s">
        <v>20</v>
      </c>
      <c r="E36" t="s">
        <v>21</v>
      </c>
      <c r="F36" t="s">
        <v>114</v>
      </c>
      <c r="G36" s="8">
        <v>1.0182</v>
      </c>
      <c r="H36" s="25">
        <v>1.55</v>
      </c>
      <c r="S36" s="2" t="s">
        <v>253</v>
      </c>
    </row>
    <row r="37" spans="1:19" x14ac:dyDescent="0.25">
      <c r="A37">
        <v>202604</v>
      </c>
      <c r="B37" t="s">
        <v>93</v>
      </c>
      <c r="C37">
        <v>1755715552</v>
      </c>
      <c r="D37" t="s">
        <v>20</v>
      </c>
      <c r="E37" t="s">
        <v>26</v>
      </c>
      <c r="F37" t="s">
        <v>116</v>
      </c>
      <c r="G37" s="8">
        <v>0.309747249</v>
      </c>
      <c r="H37" s="25">
        <v>3.3</v>
      </c>
      <c r="S37" s="2" t="s">
        <v>44</v>
      </c>
    </row>
    <row r="38" spans="1:19" x14ac:dyDescent="0.25">
      <c r="A38">
        <v>202604</v>
      </c>
      <c r="B38" t="s">
        <v>93</v>
      </c>
      <c r="C38">
        <v>1755715692</v>
      </c>
      <c r="D38" t="s">
        <v>20</v>
      </c>
      <c r="E38" t="s">
        <v>26</v>
      </c>
      <c r="F38" t="s">
        <v>116</v>
      </c>
      <c r="G38" s="8">
        <v>0.29371837181999999</v>
      </c>
      <c r="H38" s="25">
        <v>3.3</v>
      </c>
      <c r="S38" s="2" t="s">
        <v>46</v>
      </c>
    </row>
    <row r="39" spans="1:19" x14ac:dyDescent="0.25">
      <c r="A39">
        <v>202604</v>
      </c>
      <c r="B39" t="s">
        <v>93</v>
      </c>
      <c r="C39">
        <v>1755756216</v>
      </c>
      <c r="D39" t="s">
        <v>20</v>
      </c>
      <c r="E39" t="s">
        <v>26</v>
      </c>
      <c r="F39" t="s">
        <v>116</v>
      </c>
      <c r="G39" s="8">
        <v>0.687866584</v>
      </c>
      <c r="H39" s="25">
        <v>3.3</v>
      </c>
      <c r="S39" s="2" t="s">
        <v>47</v>
      </c>
    </row>
    <row r="40" spans="1:19" x14ac:dyDescent="0.25">
      <c r="A40">
        <v>202604</v>
      </c>
      <c r="B40" t="s">
        <v>93</v>
      </c>
      <c r="C40">
        <v>1755757999</v>
      </c>
      <c r="D40" t="s">
        <v>20</v>
      </c>
      <c r="E40" t="s">
        <v>26</v>
      </c>
      <c r="F40" t="s">
        <v>116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93</v>
      </c>
      <c r="C41">
        <v>1755778058</v>
      </c>
      <c r="D41" t="s">
        <v>20</v>
      </c>
      <c r="E41" t="s">
        <v>26</v>
      </c>
      <c r="F41" t="s">
        <v>116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93</v>
      </c>
      <c r="C42">
        <v>1755851448</v>
      </c>
      <c r="D42" t="s">
        <v>20</v>
      </c>
      <c r="E42" t="s">
        <v>26</v>
      </c>
      <c r="F42" t="s">
        <v>116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93</v>
      </c>
      <c r="C43">
        <v>1755874340</v>
      </c>
      <c r="D43" t="s">
        <v>20</v>
      </c>
      <c r="E43" t="s">
        <v>26</v>
      </c>
      <c r="F43" t="s">
        <v>116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93</v>
      </c>
      <c r="C44">
        <v>1755891199</v>
      </c>
      <c r="D44" t="s">
        <v>20</v>
      </c>
      <c r="E44" t="s">
        <v>26</v>
      </c>
      <c r="F44" t="s">
        <v>120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121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122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123</v>
      </c>
      <c r="G47" s="8">
        <v>0.6764</v>
      </c>
      <c r="H47" s="25">
        <v>1.25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124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122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125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124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126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127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128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124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124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129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130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125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131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131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122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132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139</v>
      </c>
      <c r="G64" s="8">
        <v>20</v>
      </c>
      <c r="H64" s="25">
        <v>0.39</v>
      </c>
    </row>
    <row r="65" spans="1:8" x14ac:dyDescent="0.25">
      <c r="A65">
        <v>202604</v>
      </c>
      <c r="B65" t="s">
        <v>289</v>
      </c>
      <c r="C65">
        <v>1755722036</v>
      </c>
      <c r="D65" t="s">
        <v>25</v>
      </c>
      <c r="E65" t="s">
        <v>26</v>
      </c>
      <c r="F65" t="s">
        <v>190</v>
      </c>
      <c r="G65" s="8">
        <v>0.67</v>
      </c>
      <c r="H65" s="25">
        <v>4.1500000000000004</v>
      </c>
    </row>
    <row r="66" spans="1:8" x14ac:dyDescent="0.25">
      <c r="A66">
        <v>202604</v>
      </c>
      <c r="B66" t="s">
        <v>34</v>
      </c>
      <c r="C66">
        <v>1751400395</v>
      </c>
      <c r="D66" t="s">
        <v>20</v>
      </c>
      <c r="E66" t="s">
        <v>26</v>
      </c>
      <c r="F66" t="s">
        <v>133</v>
      </c>
      <c r="G66" s="8">
        <v>0.34320000000000001</v>
      </c>
      <c r="H66" s="25">
        <v>3.94</v>
      </c>
    </row>
    <row r="67" spans="1:8" x14ac:dyDescent="0.25">
      <c r="A67">
        <v>202604</v>
      </c>
      <c r="B67" t="s">
        <v>34</v>
      </c>
      <c r="C67">
        <v>1755736908</v>
      </c>
      <c r="D67" t="s">
        <v>25</v>
      </c>
      <c r="E67" t="s">
        <v>37</v>
      </c>
      <c r="F67" t="s">
        <v>134</v>
      </c>
      <c r="G67" s="8">
        <v>9.1002300000000008E-2</v>
      </c>
      <c r="H67" s="25">
        <v>10.37</v>
      </c>
    </row>
    <row r="68" spans="1:8" x14ac:dyDescent="0.25">
      <c r="A68">
        <v>202604</v>
      </c>
      <c r="B68" t="s">
        <v>34</v>
      </c>
      <c r="C68">
        <v>1755737700</v>
      </c>
      <c r="D68" t="s">
        <v>25</v>
      </c>
      <c r="E68" t="s">
        <v>37</v>
      </c>
      <c r="F68" t="s">
        <v>134</v>
      </c>
      <c r="G68" s="8">
        <v>0.10800053999999999</v>
      </c>
      <c r="H68" s="25">
        <v>10.32</v>
      </c>
    </row>
    <row r="69" spans="1:8" x14ac:dyDescent="0.25">
      <c r="A69">
        <v>202604</v>
      </c>
      <c r="B69" t="s">
        <v>34</v>
      </c>
      <c r="C69">
        <v>1755849290</v>
      </c>
      <c r="D69" t="s">
        <v>25</v>
      </c>
      <c r="E69" t="s">
        <v>26</v>
      </c>
      <c r="F69" t="s">
        <v>135</v>
      </c>
      <c r="G69" s="8">
        <v>1.46</v>
      </c>
      <c r="H69" s="25">
        <v>0.5</v>
      </c>
    </row>
    <row r="70" spans="1:8" x14ac:dyDescent="0.25">
      <c r="A70">
        <v>202604</v>
      </c>
      <c r="B70" t="s">
        <v>27</v>
      </c>
      <c r="C70">
        <v>1755662726</v>
      </c>
      <c r="D70" t="s">
        <v>20</v>
      </c>
      <c r="E70" t="s">
        <v>26</v>
      </c>
      <c r="F70" t="s">
        <v>140</v>
      </c>
      <c r="G70" s="8">
        <v>2.7040000000000002</v>
      </c>
      <c r="H70" s="25">
        <v>3.95</v>
      </c>
    </row>
    <row r="71" spans="1:8" x14ac:dyDescent="0.25">
      <c r="A71">
        <v>202604</v>
      </c>
      <c r="B71" t="s">
        <v>27</v>
      </c>
      <c r="C71">
        <v>1755673230</v>
      </c>
      <c r="D71" t="s">
        <v>20</v>
      </c>
      <c r="E71" t="s">
        <v>26</v>
      </c>
      <c r="F71" t="s">
        <v>140</v>
      </c>
      <c r="G71" s="8">
        <v>2.0291999999999999</v>
      </c>
      <c r="H71" s="25">
        <v>3.95</v>
      </c>
    </row>
    <row r="72" spans="1:8" x14ac:dyDescent="0.25">
      <c r="A72">
        <v>202604</v>
      </c>
      <c r="B72" t="s">
        <v>27</v>
      </c>
      <c r="C72">
        <v>1755726510</v>
      </c>
      <c r="D72" t="s">
        <v>20</v>
      </c>
      <c r="E72" t="s">
        <v>21</v>
      </c>
      <c r="F72" t="s">
        <v>141</v>
      </c>
      <c r="G72" s="8">
        <v>4.6675199999999997</v>
      </c>
      <c r="H72" s="25">
        <v>1.1499999999999999</v>
      </c>
    </row>
    <row r="73" spans="1:8" x14ac:dyDescent="0.25">
      <c r="A73">
        <v>202604</v>
      </c>
      <c r="B73" t="s">
        <v>27</v>
      </c>
      <c r="C73">
        <v>1755742843</v>
      </c>
      <c r="D73" t="s">
        <v>20</v>
      </c>
      <c r="E73" t="s">
        <v>26</v>
      </c>
      <c r="F73" t="s">
        <v>142</v>
      </c>
      <c r="G73" s="8">
        <v>0.25859422385999997</v>
      </c>
      <c r="H73" s="25">
        <v>2.8</v>
      </c>
    </row>
    <row r="74" spans="1:8" x14ac:dyDescent="0.25">
      <c r="A74">
        <v>202604</v>
      </c>
      <c r="B74" t="s">
        <v>27</v>
      </c>
      <c r="C74">
        <v>1755768389</v>
      </c>
      <c r="D74" t="s">
        <v>25</v>
      </c>
      <c r="E74" t="s">
        <v>21</v>
      </c>
      <c r="F74" t="s">
        <v>143</v>
      </c>
      <c r="G74" s="8">
        <v>2.2000000000000002</v>
      </c>
      <c r="H74" s="25">
        <v>0.5</v>
      </c>
    </row>
    <row r="75" spans="1:8" x14ac:dyDescent="0.25">
      <c r="A75">
        <v>202604</v>
      </c>
      <c r="B75" t="s">
        <v>27</v>
      </c>
      <c r="C75">
        <v>1755799720</v>
      </c>
      <c r="D75" t="s">
        <v>20</v>
      </c>
      <c r="E75" t="s">
        <v>26</v>
      </c>
      <c r="F75" t="s">
        <v>142</v>
      </c>
      <c r="G75" s="8">
        <v>0.1834038408</v>
      </c>
      <c r="H75" s="25">
        <v>2.75</v>
      </c>
    </row>
    <row r="76" spans="1:8" x14ac:dyDescent="0.25">
      <c r="A76">
        <v>202604</v>
      </c>
      <c r="B76" t="s">
        <v>39</v>
      </c>
      <c r="C76">
        <v>1751403912</v>
      </c>
      <c r="D76" t="s">
        <v>20</v>
      </c>
      <c r="E76" t="s">
        <v>21</v>
      </c>
      <c r="F76" t="s">
        <v>48</v>
      </c>
      <c r="G76" s="8">
        <v>0.24024000000000001</v>
      </c>
      <c r="H76" s="25">
        <v>6.15</v>
      </c>
    </row>
    <row r="77" spans="1:8" x14ac:dyDescent="0.25">
      <c r="A77">
        <v>202604</v>
      </c>
      <c r="B77" t="s">
        <v>39</v>
      </c>
      <c r="C77">
        <v>1751417018</v>
      </c>
      <c r="D77" t="s">
        <v>20</v>
      </c>
      <c r="E77" t="s">
        <v>37</v>
      </c>
      <c r="F77" t="s">
        <v>49</v>
      </c>
      <c r="G77" s="8">
        <v>0.30089354270000002</v>
      </c>
      <c r="H77" s="25">
        <v>2.7</v>
      </c>
    </row>
    <row r="78" spans="1:8" x14ac:dyDescent="0.25">
      <c r="A78">
        <v>202604</v>
      </c>
      <c r="B78" t="s">
        <v>39</v>
      </c>
      <c r="C78">
        <v>1755672632</v>
      </c>
      <c r="D78" t="s">
        <v>25</v>
      </c>
      <c r="E78" t="s">
        <v>21</v>
      </c>
      <c r="F78" t="s">
        <v>50</v>
      </c>
      <c r="G78" s="8">
        <v>1</v>
      </c>
      <c r="H78" s="25">
        <v>1</v>
      </c>
    </row>
    <row r="79" spans="1:8" x14ac:dyDescent="0.25">
      <c r="A79">
        <v>202604</v>
      </c>
      <c r="B79" t="s">
        <v>39</v>
      </c>
      <c r="C79">
        <v>1755678967</v>
      </c>
      <c r="D79" t="s">
        <v>20</v>
      </c>
      <c r="E79" t="s">
        <v>26</v>
      </c>
      <c r="F79" t="s">
        <v>51</v>
      </c>
      <c r="G79" s="8">
        <v>1.6910000000000001</v>
      </c>
      <c r="H79" s="25">
        <v>0.6</v>
      </c>
    </row>
    <row r="80" spans="1:8" x14ac:dyDescent="0.25">
      <c r="A80">
        <v>202604</v>
      </c>
      <c r="B80" t="s">
        <v>39</v>
      </c>
      <c r="C80">
        <v>1755819994</v>
      </c>
      <c r="D80" t="s">
        <v>20</v>
      </c>
      <c r="E80" t="s">
        <v>26</v>
      </c>
      <c r="F80" t="s">
        <v>51</v>
      </c>
      <c r="G80" s="8">
        <v>1.7364999999999999</v>
      </c>
      <c r="H80" s="25">
        <v>0.6</v>
      </c>
    </row>
    <row r="81" spans="1:8" x14ac:dyDescent="0.25">
      <c r="A81">
        <v>202604</v>
      </c>
      <c r="B81" t="s">
        <v>39</v>
      </c>
      <c r="C81">
        <v>1755867662</v>
      </c>
      <c r="D81" t="s">
        <v>20</v>
      </c>
      <c r="E81" t="s">
        <v>26</v>
      </c>
      <c r="F81" t="s">
        <v>52</v>
      </c>
      <c r="G81" s="8">
        <v>5.274</v>
      </c>
      <c r="H81" s="25">
        <v>0.61</v>
      </c>
    </row>
    <row r="82" spans="1:8" x14ac:dyDescent="0.25">
      <c r="A82">
        <v>202604</v>
      </c>
      <c r="B82" t="s">
        <v>39</v>
      </c>
      <c r="C82">
        <v>1755874995</v>
      </c>
      <c r="D82" t="s">
        <v>20</v>
      </c>
      <c r="E82" t="s">
        <v>26</v>
      </c>
      <c r="F82" t="s">
        <v>51</v>
      </c>
      <c r="G82" s="8">
        <v>0.88175000000000003</v>
      </c>
      <c r="H82" s="25">
        <v>0.6</v>
      </c>
    </row>
    <row r="83" spans="1:8" x14ac:dyDescent="0.25">
      <c r="A83">
        <v>202604</v>
      </c>
      <c r="B83" t="s">
        <v>39</v>
      </c>
      <c r="C83">
        <v>1755878540</v>
      </c>
      <c r="D83" t="s">
        <v>25</v>
      </c>
      <c r="E83" t="s">
        <v>21</v>
      </c>
      <c r="F83" t="s">
        <v>53</v>
      </c>
      <c r="G83" s="8">
        <v>0.1</v>
      </c>
      <c r="H83" s="25">
        <v>2.2000000000000002</v>
      </c>
    </row>
    <row r="84" spans="1:8" x14ac:dyDescent="0.25">
      <c r="A84">
        <v>202604</v>
      </c>
      <c r="B84" t="s">
        <v>39</v>
      </c>
      <c r="C84">
        <v>1755883870</v>
      </c>
      <c r="D84" t="s">
        <v>20</v>
      </c>
      <c r="E84" t="s">
        <v>21</v>
      </c>
      <c r="F84" t="s">
        <v>51</v>
      </c>
      <c r="G84" s="8">
        <v>1.7585</v>
      </c>
      <c r="H84" s="25">
        <v>0.6</v>
      </c>
    </row>
    <row r="85" spans="1:8" x14ac:dyDescent="0.25">
      <c r="A85">
        <v>202604</v>
      </c>
      <c r="B85" t="s">
        <v>39</v>
      </c>
      <c r="C85">
        <v>1755890036</v>
      </c>
      <c r="D85" t="s">
        <v>20</v>
      </c>
      <c r="E85" t="s">
        <v>21</v>
      </c>
      <c r="F85" t="s">
        <v>54</v>
      </c>
      <c r="G85" s="8">
        <v>0.70340000000000003</v>
      </c>
      <c r="H85" s="25">
        <v>1.1000000000000001</v>
      </c>
    </row>
    <row r="86" spans="1:8" x14ac:dyDescent="0.25">
      <c r="A86">
        <v>202604</v>
      </c>
      <c r="B86" t="s">
        <v>39</v>
      </c>
      <c r="C86">
        <v>1755890087</v>
      </c>
      <c r="D86" t="s">
        <v>20</v>
      </c>
      <c r="E86" t="s">
        <v>21</v>
      </c>
      <c r="F86" t="s">
        <v>54</v>
      </c>
      <c r="G86" s="8">
        <v>0.70340000000000003</v>
      </c>
      <c r="H86" s="25">
        <v>1.1000000000000001</v>
      </c>
    </row>
    <row r="87" spans="1:8" x14ac:dyDescent="0.25">
      <c r="A87">
        <v>202604</v>
      </c>
      <c r="B87" t="s">
        <v>39</v>
      </c>
      <c r="C87">
        <v>1755895150</v>
      </c>
      <c r="D87" t="s">
        <v>25</v>
      </c>
      <c r="E87" t="s">
        <v>37</v>
      </c>
      <c r="F87" t="s">
        <v>49</v>
      </c>
      <c r="G87" s="8">
        <v>0.18401207999999999</v>
      </c>
      <c r="H87" s="25">
        <v>2.5499999999999998</v>
      </c>
    </row>
    <row r="88" spans="1:8" x14ac:dyDescent="0.25">
      <c r="A88">
        <v>202604</v>
      </c>
      <c r="B88" t="s">
        <v>39</v>
      </c>
      <c r="C88">
        <v>1755895194</v>
      </c>
      <c r="D88" t="s">
        <v>20</v>
      </c>
      <c r="E88" t="s">
        <v>37</v>
      </c>
      <c r="F88" t="s">
        <v>49</v>
      </c>
      <c r="G88" s="8">
        <v>0.26908292674000001</v>
      </c>
      <c r="H88" s="25">
        <v>1.9</v>
      </c>
    </row>
    <row r="89" spans="1:8" x14ac:dyDescent="0.25">
      <c r="A89">
        <v>202604</v>
      </c>
      <c r="B89" t="s">
        <v>40</v>
      </c>
      <c r="C89">
        <v>1751390357</v>
      </c>
      <c r="D89" t="s">
        <v>20</v>
      </c>
      <c r="E89" t="s">
        <v>26</v>
      </c>
      <c r="F89" t="s">
        <v>55</v>
      </c>
      <c r="G89" s="8">
        <v>0.27495999999999998</v>
      </c>
      <c r="H89" s="25">
        <v>5.55</v>
      </c>
    </row>
    <row r="90" spans="1:8" x14ac:dyDescent="0.25">
      <c r="A90">
        <v>202604</v>
      </c>
      <c r="B90" t="s">
        <v>40</v>
      </c>
      <c r="C90">
        <v>1751416224</v>
      </c>
      <c r="D90" t="s">
        <v>25</v>
      </c>
      <c r="E90" t="s">
        <v>26</v>
      </c>
      <c r="F90" t="s">
        <v>56</v>
      </c>
      <c r="G90" s="8">
        <v>0.05</v>
      </c>
      <c r="H90" s="25">
        <v>4.18</v>
      </c>
    </row>
    <row r="91" spans="1:8" x14ac:dyDescent="0.25">
      <c r="A91">
        <v>202604</v>
      </c>
      <c r="B91" t="s">
        <v>40</v>
      </c>
      <c r="C91">
        <v>1751416313</v>
      </c>
      <c r="D91" t="s">
        <v>25</v>
      </c>
      <c r="E91" t="s">
        <v>26</v>
      </c>
      <c r="F91" t="s">
        <v>56</v>
      </c>
      <c r="G91" s="8">
        <v>6.5000000000000002E-2</v>
      </c>
      <c r="H91" s="25">
        <v>4.18</v>
      </c>
    </row>
    <row r="92" spans="1:8" x14ac:dyDescent="0.25">
      <c r="A92">
        <v>202604</v>
      </c>
      <c r="B92" t="s">
        <v>40</v>
      </c>
      <c r="C92">
        <v>1751416330</v>
      </c>
      <c r="D92" t="s">
        <v>25</v>
      </c>
      <c r="E92" t="s">
        <v>26</v>
      </c>
      <c r="F92" t="s">
        <v>56</v>
      </c>
      <c r="G92" s="8">
        <v>5.5E-2</v>
      </c>
      <c r="H92" s="25">
        <v>4.18</v>
      </c>
    </row>
    <row r="93" spans="1:8" x14ac:dyDescent="0.25">
      <c r="A93">
        <v>202604</v>
      </c>
      <c r="B93" t="s">
        <v>40</v>
      </c>
      <c r="C93">
        <v>1755674783</v>
      </c>
      <c r="D93" t="s">
        <v>20</v>
      </c>
      <c r="E93" t="s">
        <v>26</v>
      </c>
      <c r="F93" t="s">
        <v>57</v>
      </c>
      <c r="G93" s="8">
        <v>1.5219</v>
      </c>
      <c r="H93" s="25">
        <v>1.9</v>
      </c>
    </row>
    <row r="94" spans="1:8" x14ac:dyDescent="0.25">
      <c r="A94">
        <v>202604</v>
      </c>
      <c r="B94" t="s">
        <v>40</v>
      </c>
      <c r="C94">
        <v>1755674848</v>
      </c>
      <c r="D94" t="s">
        <v>20</v>
      </c>
      <c r="E94" t="s">
        <v>26</v>
      </c>
      <c r="F94" t="s">
        <v>57</v>
      </c>
      <c r="G94" s="8">
        <v>1.8601000000000001</v>
      </c>
      <c r="H94" s="25">
        <v>1.9</v>
      </c>
    </row>
    <row r="95" spans="1:8" x14ac:dyDescent="0.25">
      <c r="A95">
        <v>202604</v>
      </c>
      <c r="B95" t="s">
        <v>40</v>
      </c>
      <c r="C95">
        <v>1755713096</v>
      </c>
      <c r="D95" t="s">
        <v>25</v>
      </c>
      <c r="E95" t="s">
        <v>26</v>
      </c>
      <c r="F95" t="s">
        <v>56</v>
      </c>
      <c r="G95" s="8">
        <v>3.7999999999999999E-2</v>
      </c>
      <c r="H95" s="25">
        <v>4.25</v>
      </c>
    </row>
    <row r="96" spans="1:8" x14ac:dyDescent="0.25">
      <c r="A96">
        <v>202604</v>
      </c>
      <c r="B96" t="s">
        <v>40</v>
      </c>
      <c r="C96">
        <v>1755713126</v>
      </c>
      <c r="D96" t="s">
        <v>25</v>
      </c>
      <c r="E96" t="s">
        <v>26</v>
      </c>
      <c r="F96" t="s">
        <v>56</v>
      </c>
      <c r="G96" s="8">
        <v>0.05</v>
      </c>
      <c r="H96" s="25">
        <v>4.25</v>
      </c>
    </row>
    <row r="97" spans="1:8" x14ac:dyDescent="0.25">
      <c r="A97">
        <v>202604</v>
      </c>
      <c r="B97" t="s">
        <v>40</v>
      </c>
      <c r="C97">
        <v>1755713207</v>
      </c>
      <c r="D97" t="s">
        <v>25</v>
      </c>
      <c r="E97" t="s">
        <v>26</v>
      </c>
      <c r="F97" t="s">
        <v>56</v>
      </c>
      <c r="G97" s="8">
        <v>3.5999999999999997E-2</v>
      </c>
      <c r="H97" s="25">
        <v>4.5</v>
      </c>
    </row>
    <row r="98" spans="1:8" x14ac:dyDescent="0.25">
      <c r="A98">
        <v>202604</v>
      </c>
      <c r="B98" t="s">
        <v>40</v>
      </c>
      <c r="C98">
        <v>1755733290</v>
      </c>
      <c r="D98" t="s">
        <v>25</v>
      </c>
      <c r="E98" t="s">
        <v>37</v>
      </c>
      <c r="F98" t="s">
        <v>58</v>
      </c>
      <c r="G98" s="8">
        <v>0.58905801000000002</v>
      </c>
      <c r="H98" s="25">
        <v>0.95</v>
      </c>
    </row>
    <row r="99" spans="1:8" x14ac:dyDescent="0.25">
      <c r="A99">
        <v>202604</v>
      </c>
      <c r="B99" t="s">
        <v>40</v>
      </c>
      <c r="C99">
        <v>1755754582</v>
      </c>
      <c r="D99" t="s">
        <v>25</v>
      </c>
      <c r="E99" t="s">
        <v>26</v>
      </c>
      <c r="F99" t="s">
        <v>56</v>
      </c>
      <c r="G99" s="8">
        <v>6.0999999999999999E-2</v>
      </c>
      <c r="H99" s="25">
        <v>4.25</v>
      </c>
    </row>
    <row r="100" spans="1:8" x14ac:dyDescent="0.25">
      <c r="A100">
        <v>202604</v>
      </c>
      <c r="B100" t="s">
        <v>40</v>
      </c>
      <c r="C100">
        <v>1755754639</v>
      </c>
      <c r="D100" t="s">
        <v>25</v>
      </c>
      <c r="E100" t="s">
        <v>26</v>
      </c>
      <c r="F100" t="s">
        <v>56</v>
      </c>
      <c r="G100" s="8">
        <v>6.6000000000000003E-2</v>
      </c>
      <c r="H100" s="25">
        <v>4.25</v>
      </c>
    </row>
    <row r="101" spans="1:8" x14ac:dyDescent="0.25">
      <c r="A101">
        <v>202604</v>
      </c>
      <c r="B101" t="s">
        <v>40</v>
      </c>
      <c r="C101">
        <v>1755754698</v>
      </c>
      <c r="D101" t="s">
        <v>25</v>
      </c>
      <c r="E101" t="s">
        <v>26</v>
      </c>
      <c r="F101" t="s">
        <v>56</v>
      </c>
      <c r="G101" s="8">
        <v>3.5000000000000003E-2</v>
      </c>
      <c r="H101" s="25">
        <v>4.25</v>
      </c>
    </row>
    <row r="102" spans="1:8" x14ac:dyDescent="0.25">
      <c r="A102">
        <v>202604</v>
      </c>
      <c r="B102" t="s">
        <v>40</v>
      </c>
      <c r="C102">
        <v>1755764260</v>
      </c>
      <c r="D102" t="s">
        <v>20</v>
      </c>
      <c r="E102" t="s">
        <v>26</v>
      </c>
      <c r="F102" t="s">
        <v>59</v>
      </c>
      <c r="G102" s="8">
        <v>0.30658569000000002</v>
      </c>
      <c r="H102" s="25">
        <v>0.7</v>
      </c>
    </row>
    <row r="103" spans="1:8" x14ac:dyDescent="0.25">
      <c r="A103">
        <v>202604</v>
      </c>
      <c r="B103" t="s">
        <v>40</v>
      </c>
      <c r="C103">
        <v>1755776250</v>
      </c>
      <c r="D103" t="s">
        <v>20</v>
      </c>
      <c r="E103" t="s">
        <v>37</v>
      </c>
      <c r="F103" t="s">
        <v>59</v>
      </c>
      <c r="G103" s="8">
        <v>0.72129954399999996</v>
      </c>
      <c r="H103" s="25">
        <v>0.51</v>
      </c>
    </row>
    <row r="104" spans="1:8" x14ac:dyDescent="0.25">
      <c r="A104">
        <v>202604</v>
      </c>
      <c r="B104" t="s">
        <v>40</v>
      </c>
      <c r="C104">
        <v>1755783639</v>
      </c>
      <c r="D104" t="s">
        <v>20</v>
      </c>
      <c r="E104" t="s">
        <v>26</v>
      </c>
      <c r="F104" t="s">
        <v>55</v>
      </c>
      <c r="G104" s="8">
        <v>0.34399999999999997</v>
      </c>
      <c r="H104" s="25">
        <v>5.55</v>
      </c>
    </row>
    <row r="105" spans="1:8" x14ac:dyDescent="0.25">
      <c r="A105">
        <v>202604</v>
      </c>
      <c r="B105" t="s">
        <v>40</v>
      </c>
      <c r="C105">
        <v>1755815130</v>
      </c>
      <c r="D105" t="s">
        <v>25</v>
      </c>
      <c r="E105" t="s">
        <v>26</v>
      </c>
      <c r="F105" t="s">
        <v>60</v>
      </c>
      <c r="G105" s="8">
        <v>0.25</v>
      </c>
      <c r="H105" s="25">
        <v>4.8</v>
      </c>
    </row>
    <row r="106" spans="1:8" x14ac:dyDescent="0.25">
      <c r="A106">
        <v>202604</v>
      </c>
      <c r="B106" t="s">
        <v>40</v>
      </c>
      <c r="C106">
        <v>1755849320</v>
      </c>
      <c r="D106" t="s">
        <v>25</v>
      </c>
      <c r="E106" t="s">
        <v>26</v>
      </c>
      <c r="F106" t="s">
        <v>56</v>
      </c>
      <c r="G106" s="8">
        <v>3.9E-2</v>
      </c>
      <c r="H106" s="25">
        <v>4.5</v>
      </c>
    </row>
    <row r="107" spans="1:8" x14ac:dyDescent="0.25">
      <c r="A107">
        <v>202604</v>
      </c>
      <c r="B107" t="s">
        <v>40</v>
      </c>
      <c r="C107">
        <v>1755849443</v>
      </c>
      <c r="D107" t="s">
        <v>25</v>
      </c>
      <c r="E107" t="s">
        <v>26</v>
      </c>
      <c r="F107" t="s">
        <v>56</v>
      </c>
      <c r="G107" s="8">
        <v>4.1000000000000002E-2</v>
      </c>
      <c r="H107" s="25">
        <v>4.25</v>
      </c>
    </row>
    <row r="108" spans="1:8" x14ac:dyDescent="0.25">
      <c r="A108">
        <v>202604</v>
      </c>
      <c r="B108" t="s">
        <v>40</v>
      </c>
      <c r="C108">
        <v>1755849540</v>
      </c>
      <c r="D108" t="s">
        <v>25</v>
      </c>
      <c r="E108" t="s">
        <v>26</v>
      </c>
      <c r="F108" t="s">
        <v>56</v>
      </c>
      <c r="G108" s="8">
        <v>0.06</v>
      </c>
      <c r="H108" s="25">
        <v>4.25</v>
      </c>
    </row>
    <row r="109" spans="1:8" x14ac:dyDescent="0.25">
      <c r="A109">
        <v>202604</v>
      </c>
      <c r="B109" t="s">
        <v>40</v>
      </c>
      <c r="C109">
        <v>1755862539</v>
      </c>
      <c r="D109" t="s">
        <v>20</v>
      </c>
      <c r="E109" t="s">
        <v>26</v>
      </c>
      <c r="F109" t="s">
        <v>61</v>
      </c>
      <c r="G109" s="8">
        <v>0.28127999999999997</v>
      </c>
      <c r="H109" s="25">
        <v>2.35</v>
      </c>
    </row>
    <row r="110" spans="1:8" x14ac:dyDescent="0.25">
      <c r="A110">
        <v>202604</v>
      </c>
      <c r="B110" t="s">
        <v>40</v>
      </c>
      <c r="C110">
        <v>1755867972</v>
      </c>
      <c r="D110" t="s">
        <v>20</v>
      </c>
      <c r="E110" t="s">
        <v>26</v>
      </c>
      <c r="F110" t="s">
        <v>62</v>
      </c>
      <c r="G110" s="8">
        <v>0.17580000000000001</v>
      </c>
      <c r="H110" s="25">
        <v>4.9000000000000004</v>
      </c>
    </row>
    <row r="111" spans="1:8" x14ac:dyDescent="0.25">
      <c r="A111">
        <v>202604</v>
      </c>
      <c r="B111" t="s">
        <v>40</v>
      </c>
      <c r="C111">
        <v>1755868383</v>
      </c>
      <c r="D111" t="s">
        <v>25</v>
      </c>
      <c r="E111" t="s">
        <v>37</v>
      </c>
      <c r="F111" t="s">
        <v>63</v>
      </c>
      <c r="G111" s="8">
        <v>0.13717810999999999</v>
      </c>
      <c r="H111" s="25">
        <v>2.5499999999999998</v>
      </c>
    </row>
    <row r="112" spans="1:8" x14ac:dyDescent="0.25">
      <c r="A112">
        <v>202604</v>
      </c>
      <c r="B112" t="s">
        <v>40</v>
      </c>
      <c r="C112">
        <v>1755868413</v>
      </c>
      <c r="D112" t="s">
        <v>20</v>
      </c>
      <c r="E112" t="s">
        <v>26</v>
      </c>
      <c r="F112" t="s">
        <v>64</v>
      </c>
      <c r="G112" s="8">
        <v>0.879</v>
      </c>
      <c r="H112" s="25">
        <v>1.3</v>
      </c>
    </row>
    <row r="113" spans="1:8" x14ac:dyDescent="0.25">
      <c r="A113">
        <v>202604</v>
      </c>
      <c r="B113" t="s">
        <v>40</v>
      </c>
      <c r="C113">
        <v>1755870272</v>
      </c>
      <c r="D113" t="s">
        <v>20</v>
      </c>
      <c r="E113" t="s">
        <v>26</v>
      </c>
      <c r="F113" t="s">
        <v>61</v>
      </c>
      <c r="G113" s="8">
        <v>0.24689</v>
      </c>
      <c r="H113" s="25">
        <v>2.35</v>
      </c>
    </row>
    <row r="114" spans="1:8" x14ac:dyDescent="0.25">
      <c r="A114">
        <v>202604</v>
      </c>
      <c r="B114" t="s">
        <v>40</v>
      </c>
      <c r="C114">
        <v>1755871058</v>
      </c>
      <c r="D114" t="s">
        <v>25</v>
      </c>
      <c r="E114" t="s">
        <v>26</v>
      </c>
      <c r="F114" t="s">
        <v>56</v>
      </c>
      <c r="G114" s="8">
        <v>0.03</v>
      </c>
      <c r="H114" s="25">
        <v>4.25</v>
      </c>
    </row>
    <row r="115" spans="1:8" x14ac:dyDescent="0.25">
      <c r="A115">
        <v>202604</v>
      </c>
      <c r="B115" t="s">
        <v>40</v>
      </c>
      <c r="C115">
        <v>1755871287</v>
      </c>
      <c r="D115" t="s">
        <v>25</v>
      </c>
      <c r="E115" t="s">
        <v>26</v>
      </c>
      <c r="F115" t="s">
        <v>56</v>
      </c>
      <c r="G115" s="8">
        <v>3.5000000000000003E-2</v>
      </c>
      <c r="H115" s="25">
        <v>4.25</v>
      </c>
    </row>
    <row r="116" spans="1:8" x14ac:dyDescent="0.25">
      <c r="A116">
        <v>202604</v>
      </c>
      <c r="B116" t="s">
        <v>40</v>
      </c>
      <c r="C116">
        <v>1755871317</v>
      </c>
      <c r="D116" t="s">
        <v>25</v>
      </c>
      <c r="E116" t="s">
        <v>26</v>
      </c>
      <c r="F116" t="s">
        <v>56</v>
      </c>
      <c r="G116" s="8">
        <v>3.6999999999999998E-2</v>
      </c>
      <c r="H116" s="25">
        <v>4.25</v>
      </c>
    </row>
    <row r="117" spans="1:8" x14ac:dyDescent="0.25">
      <c r="A117">
        <v>202604</v>
      </c>
      <c r="B117" t="s">
        <v>40</v>
      </c>
      <c r="C117">
        <v>1755879075</v>
      </c>
      <c r="D117" t="s">
        <v>20</v>
      </c>
      <c r="E117" t="s">
        <v>21</v>
      </c>
      <c r="F117" t="s">
        <v>65</v>
      </c>
      <c r="G117" s="8">
        <v>0.10581</v>
      </c>
      <c r="H117" s="25">
        <v>5.65</v>
      </c>
    </row>
    <row r="118" spans="1:8" x14ac:dyDescent="0.25">
      <c r="A118">
        <v>202604</v>
      </c>
      <c r="B118" t="s">
        <v>40</v>
      </c>
      <c r="C118">
        <v>1755879105</v>
      </c>
      <c r="D118" t="s">
        <v>20</v>
      </c>
      <c r="E118" t="s">
        <v>21</v>
      </c>
      <c r="F118" t="s">
        <v>65</v>
      </c>
      <c r="G118" s="8">
        <v>0.10581</v>
      </c>
      <c r="H118" s="25">
        <v>5.65</v>
      </c>
    </row>
    <row r="119" spans="1:8" x14ac:dyDescent="0.25">
      <c r="A119">
        <v>202604</v>
      </c>
      <c r="B119" t="s">
        <v>40</v>
      </c>
      <c r="C119">
        <v>1755879120</v>
      </c>
      <c r="D119" t="s">
        <v>20</v>
      </c>
      <c r="E119" t="s">
        <v>21</v>
      </c>
      <c r="F119" t="s">
        <v>65</v>
      </c>
      <c r="G119" s="8">
        <v>0.10581</v>
      </c>
      <c r="H119" s="25">
        <v>5.65</v>
      </c>
    </row>
    <row r="120" spans="1:8" x14ac:dyDescent="0.25">
      <c r="A120">
        <v>202604</v>
      </c>
      <c r="B120" t="s">
        <v>40</v>
      </c>
      <c r="C120">
        <v>1755879156</v>
      </c>
      <c r="D120" t="s">
        <v>20</v>
      </c>
      <c r="E120" t="s">
        <v>21</v>
      </c>
      <c r="F120" t="s">
        <v>65</v>
      </c>
      <c r="G120" s="8">
        <v>3.5270000000000003E-2</v>
      </c>
      <c r="H120" s="25">
        <v>5.65</v>
      </c>
    </row>
    <row r="121" spans="1:8" x14ac:dyDescent="0.25">
      <c r="A121">
        <v>202604</v>
      </c>
      <c r="B121" t="s">
        <v>40</v>
      </c>
      <c r="C121">
        <v>1755881680</v>
      </c>
      <c r="D121" t="s">
        <v>25</v>
      </c>
      <c r="E121" t="s">
        <v>26</v>
      </c>
      <c r="F121" t="s">
        <v>56</v>
      </c>
      <c r="G121" s="8">
        <v>6.8000000000000005E-2</v>
      </c>
      <c r="H121" s="25">
        <v>4</v>
      </c>
    </row>
    <row r="122" spans="1:8" x14ac:dyDescent="0.25">
      <c r="A122">
        <v>202604</v>
      </c>
      <c r="B122" t="s">
        <v>40</v>
      </c>
      <c r="C122">
        <v>1755881843</v>
      </c>
      <c r="D122" t="s">
        <v>25</v>
      </c>
      <c r="E122" t="s">
        <v>26</v>
      </c>
      <c r="F122" t="s">
        <v>56</v>
      </c>
      <c r="G122" s="8">
        <v>7.0000000000000007E-2</v>
      </c>
      <c r="H122" s="25">
        <v>4</v>
      </c>
    </row>
    <row r="123" spans="1:8" x14ac:dyDescent="0.25">
      <c r="A123">
        <v>202604</v>
      </c>
      <c r="B123" t="s">
        <v>40</v>
      </c>
      <c r="C123">
        <v>1755881894</v>
      </c>
      <c r="D123" t="s">
        <v>25</v>
      </c>
      <c r="E123" t="s">
        <v>26</v>
      </c>
      <c r="F123" t="s">
        <v>56</v>
      </c>
      <c r="G123" s="8">
        <v>7.1999999999999995E-2</v>
      </c>
      <c r="H123" s="25">
        <v>3.75</v>
      </c>
    </row>
    <row r="124" spans="1:8" x14ac:dyDescent="0.25">
      <c r="A124">
        <v>202604</v>
      </c>
      <c r="B124" t="s">
        <v>40</v>
      </c>
      <c r="C124">
        <v>1755881924</v>
      </c>
      <c r="D124" t="s">
        <v>25</v>
      </c>
      <c r="E124" t="s">
        <v>26</v>
      </c>
      <c r="F124" t="s">
        <v>56</v>
      </c>
      <c r="G124" s="8">
        <v>0.14000000000000001</v>
      </c>
      <c r="H124" s="25">
        <v>3.75</v>
      </c>
    </row>
    <row r="125" spans="1:8" x14ac:dyDescent="0.25">
      <c r="A125">
        <v>202604</v>
      </c>
      <c r="B125" t="s">
        <v>40</v>
      </c>
      <c r="C125">
        <v>1755895402</v>
      </c>
      <c r="D125" t="s">
        <v>20</v>
      </c>
      <c r="E125" t="s">
        <v>37</v>
      </c>
      <c r="F125" t="s">
        <v>59</v>
      </c>
      <c r="G125" s="8">
        <v>0.49396919162000003</v>
      </c>
      <c r="H125" s="25">
        <v>1.2</v>
      </c>
    </row>
    <row r="126" spans="1:8" x14ac:dyDescent="0.25">
      <c r="A126">
        <v>202604</v>
      </c>
      <c r="B126" t="s">
        <v>41</v>
      </c>
      <c r="C126">
        <v>1751372057</v>
      </c>
      <c r="D126" t="s">
        <v>20</v>
      </c>
      <c r="E126" t="s">
        <v>21</v>
      </c>
      <c r="F126" t="s">
        <v>144</v>
      </c>
      <c r="G126" s="8">
        <v>0.10473</v>
      </c>
      <c r="H126" s="25">
        <v>8</v>
      </c>
    </row>
    <row r="127" spans="1:8" x14ac:dyDescent="0.25">
      <c r="A127">
        <v>202604</v>
      </c>
      <c r="B127" t="s">
        <v>41</v>
      </c>
      <c r="C127">
        <v>1755674538</v>
      </c>
      <c r="D127" t="s">
        <v>25</v>
      </c>
      <c r="E127" t="s">
        <v>26</v>
      </c>
      <c r="F127" t="s">
        <v>146</v>
      </c>
      <c r="G127" s="8">
        <v>0.43172500000000003</v>
      </c>
      <c r="H127" s="25">
        <v>3.19</v>
      </c>
    </row>
    <row r="128" spans="1:8" x14ac:dyDescent="0.25">
      <c r="A128">
        <v>202604</v>
      </c>
      <c r="B128" t="s">
        <v>41</v>
      </c>
      <c r="C128">
        <v>1755732902</v>
      </c>
      <c r="D128" t="s">
        <v>20</v>
      </c>
      <c r="E128" t="s">
        <v>66</v>
      </c>
      <c r="F128" t="s">
        <v>144</v>
      </c>
      <c r="G128" s="8">
        <v>0.85799999999999998</v>
      </c>
      <c r="H128" s="25">
        <v>6.1</v>
      </c>
    </row>
    <row r="129" spans="1:8" x14ac:dyDescent="0.25">
      <c r="A129">
        <v>202604</v>
      </c>
      <c r="B129" t="s">
        <v>41</v>
      </c>
      <c r="C129">
        <v>1755771169</v>
      </c>
      <c r="D129" t="s">
        <v>20</v>
      </c>
      <c r="E129" t="s">
        <v>26</v>
      </c>
      <c r="F129" t="s">
        <v>147</v>
      </c>
      <c r="G129" s="8">
        <v>2.0621999999999998</v>
      </c>
      <c r="H129" s="25">
        <v>1.45</v>
      </c>
    </row>
    <row r="130" spans="1:8" x14ac:dyDescent="0.25">
      <c r="A130">
        <v>202604</v>
      </c>
      <c r="B130" t="s">
        <v>41</v>
      </c>
      <c r="C130">
        <v>1755771894</v>
      </c>
      <c r="D130" t="s">
        <v>20</v>
      </c>
      <c r="E130" t="s">
        <v>21</v>
      </c>
      <c r="F130" t="s">
        <v>147</v>
      </c>
      <c r="G130" s="8">
        <v>0.34370000000000001</v>
      </c>
      <c r="H130" s="25">
        <v>1.45</v>
      </c>
    </row>
    <row r="131" spans="1:8" x14ac:dyDescent="0.25">
      <c r="A131">
        <v>202604</v>
      </c>
      <c r="B131" t="s">
        <v>41</v>
      </c>
      <c r="C131">
        <v>1755771959</v>
      </c>
      <c r="D131" t="s">
        <v>20</v>
      </c>
      <c r="E131" t="s">
        <v>21</v>
      </c>
      <c r="F131" t="s">
        <v>144</v>
      </c>
      <c r="G131" s="8">
        <v>0.29970640000000004</v>
      </c>
      <c r="H131" s="25">
        <v>7.95</v>
      </c>
    </row>
    <row r="132" spans="1:8" x14ac:dyDescent="0.25">
      <c r="A132">
        <v>202604</v>
      </c>
      <c r="B132" t="s">
        <v>41</v>
      </c>
      <c r="C132">
        <v>1755784694</v>
      </c>
      <c r="D132" t="s">
        <v>20</v>
      </c>
      <c r="E132" t="s">
        <v>21</v>
      </c>
      <c r="F132" t="s">
        <v>145</v>
      </c>
      <c r="G132" s="8">
        <v>1.72</v>
      </c>
      <c r="H132" s="25">
        <v>1.98</v>
      </c>
    </row>
    <row r="133" spans="1:8" x14ac:dyDescent="0.25">
      <c r="A133">
        <v>202604</v>
      </c>
      <c r="B133" t="s">
        <v>41</v>
      </c>
      <c r="C133">
        <v>1755818343</v>
      </c>
      <c r="D133" t="s">
        <v>25</v>
      </c>
      <c r="E133" t="s">
        <v>26</v>
      </c>
      <c r="F133" t="s">
        <v>146</v>
      </c>
      <c r="G133" s="8">
        <v>0.21465699999999999</v>
      </c>
      <c r="H133" s="25">
        <v>3.45</v>
      </c>
    </row>
    <row r="134" spans="1:8" x14ac:dyDescent="0.25">
      <c r="A134">
        <v>202604</v>
      </c>
      <c r="B134" t="s">
        <v>41</v>
      </c>
      <c r="C134">
        <v>1755884370</v>
      </c>
      <c r="D134" t="s">
        <v>25</v>
      </c>
      <c r="E134" t="s">
        <v>37</v>
      </c>
      <c r="F134" t="s">
        <v>148</v>
      </c>
      <c r="G134" s="8">
        <v>0.31010367</v>
      </c>
      <c r="H134" s="25">
        <v>6.55</v>
      </c>
    </row>
    <row r="135" spans="1:8" x14ac:dyDescent="0.25">
      <c r="A135">
        <v>202604</v>
      </c>
      <c r="B135" t="s">
        <v>43</v>
      </c>
      <c r="C135">
        <v>1755675828</v>
      </c>
      <c r="D135" t="s">
        <v>20</v>
      </c>
      <c r="E135" t="s">
        <v>26</v>
      </c>
      <c r="F135" t="s">
        <v>149</v>
      </c>
      <c r="G135" s="8">
        <v>0.3382</v>
      </c>
      <c r="H135" s="25">
        <v>3.9</v>
      </c>
    </row>
    <row r="136" spans="1:8" x14ac:dyDescent="0.25">
      <c r="A136">
        <v>202604</v>
      </c>
      <c r="B136" t="s">
        <v>43</v>
      </c>
      <c r="C136">
        <v>1755878460</v>
      </c>
      <c r="D136" t="s">
        <v>20</v>
      </c>
      <c r="E136" t="s">
        <v>66</v>
      </c>
      <c r="F136" t="s">
        <v>150</v>
      </c>
      <c r="G136" s="8">
        <v>0.22745623000000001</v>
      </c>
      <c r="H136" s="25">
        <v>1.5</v>
      </c>
    </row>
    <row r="137" spans="1:8" x14ac:dyDescent="0.25">
      <c r="A137">
        <v>202604</v>
      </c>
      <c r="B137" t="s">
        <v>35</v>
      </c>
      <c r="C137">
        <v>1755820453</v>
      </c>
      <c r="D137" t="s">
        <v>20</v>
      </c>
      <c r="E137" t="s">
        <v>26</v>
      </c>
      <c r="F137" t="s">
        <v>151</v>
      </c>
      <c r="G137" s="8">
        <v>0.350773</v>
      </c>
      <c r="H137" s="25">
        <v>5</v>
      </c>
    </row>
    <row r="138" spans="1:8" x14ac:dyDescent="0.25">
      <c r="A138">
        <v>202604</v>
      </c>
      <c r="B138" t="s">
        <v>35</v>
      </c>
      <c r="C138">
        <v>1755848595</v>
      </c>
      <c r="D138" t="s">
        <v>20</v>
      </c>
      <c r="E138" t="s">
        <v>21</v>
      </c>
      <c r="F138" t="s">
        <v>152</v>
      </c>
      <c r="G138" s="8">
        <v>1.7524999999999999</v>
      </c>
      <c r="H138" s="25">
        <v>3.8</v>
      </c>
    </row>
    <row r="139" spans="1:8" x14ac:dyDescent="0.25">
      <c r="A139">
        <v>202604</v>
      </c>
      <c r="B139" t="s">
        <v>35</v>
      </c>
      <c r="C139">
        <v>1755888635</v>
      </c>
      <c r="D139" t="s">
        <v>20</v>
      </c>
      <c r="E139" t="s">
        <v>21</v>
      </c>
      <c r="F139" t="s">
        <v>153</v>
      </c>
      <c r="G139" s="8">
        <v>2.1101999999999999</v>
      </c>
      <c r="H139" s="25">
        <v>2.52</v>
      </c>
    </row>
    <row r="140" spans="1:8" x14ac:dyDescent="0.25">
      <c r="A140">
        <v>202604</v>
      </c>
      <c r="B140" t="s">
        <v>35</v>
      </c>
      <c r="C140">
        <v>1755891687</v>
      </c>
      <c r="D140" t="s">
        <v>20</v>
      </c>
      <c r="E140" t="s">
        <v>26</v>
      </c>
      <c r="F140" t="s">
        <v>154</v>
      </c>
      <c r="G140" s="8">
        <v>1.4068000000000001</v>
      </c>
      <c r="H140" s="25">
        <v>2.5499999999999998</v>
      </c>
    </row>
    <row r="141" spans="1:8" x14ac:dyDescent="0.25">
      <c r="A141">
        <v>202604</v>
      </c>
      <c r="B141" t="s">
        <v>36</v>
      </c>
      <c r="C141">
        <v>1751388476</v>
      </c>
      <c r="D141" t="s">
        <v>25</v>
      </c>
      <c r="E141" t="s">
        <v>21</v>
      </c>
      <c r="F141" t="s">
        <v>155</v>
      </c>
      <c r="G141" s="8">
        <v>0.22</v>
      </c>
      <c r="H141" s="25">
        <v>3.6</v>
      </c>
    </row>
    <row r="142" spans="1:8" x14ac:dyDescent="0.25">
      <c r="A142">
        <v>202604</v>
      </c>
      <c r="B142" t="s">
        <v>36</v>
      </c>
      <c r="C142">
        <v>1751388610</v>
      </c>
      <c r="D142" t="s">
        <v>25</v>
      </c>
      <c r="E142" t="s">
        <v>21</v>
      </c>
      <c r="F142" t="s">
        <v>155</v>
      </c>
      <c r="G142" s="8">
        <v>0.14899999999999999</v>
      </c>
      <c r="H142" s="25">
        <v>3.6</v>
      </c>
    </row>
    <row r="143" spans="1:8" x14ac:dyDescent="0.25">
      <c r="A143">
        <v>202604</v>
      </c>
      <c r="B143" t="s">
        <v>36</v>
      </c>
      <c r="C143">
        <v>1751388654</v>
      </c>
      <c r="D143" t="s">
        <v>25</v>
      </c>
      <c r="E143" t="s">
        <v>21</v>
      </c>
      <c r="F143" t="s">
        <v>155</v>
      </c>
      <c r="G143" s="8">
        <v>0.25</v>
      </c>
      <c r="H143" s="25">
        <v>3.6</v>
      </c>
    </row>
    <row r="144" spans="1:8" x14ac:dyDescent="0.25">
      <c r="A144">
        <v>202604</v>
      </c>
      <c r="B144" t="s">
        <v>36</v>
      </c>
      <c r="C144">
        <v>1751396118</v>
      </c>
      <c r="D144" t="s">
        <v>20</v>
      </c>
      <c r="E144" t="s">
        <v>21</v>
      </c>
      <c r="F144" t="s">
        <v>156</v>
      </c>
      <c r="G144" s="8">
        <v>0.367759</v>
      </c>
      <c r="H144" s="25">
        <v>5.15</v>
      </c>
    </row>
    <row r="145" spans="1:8" x14ac:dyDescent="0.25">
      <c r="A145">
        <v>202604</v>
      </c>
      <c r="B145" t="s">
        <v>36</v>
      </c>
      <c r="C145">
        <v>1751417239</v>
      </c>
      <c r="D145" t="s">
        <v>25</v>
      </c>
      <c r="E145" t="s">
        <v>21</v>
      </c>
      <c r="F145" t="s">
        <v>157</v>
      </c>
      <c r="G145" s="8">
        <v>0.34</v>
      </c>
      <c r="H145" s="25">
        <v>1.3</v>
      </c>
    </row>
    <row r="146" spans="1:8" x14ac:dyDescent="0.25">
      <c r="A146">
        <v>202604</v>
      </c>
      <c r="B146" t="s">
        <v>36</v>
      </c>
      <c r="C146">
        <v>1755670280</v>
      </c>
      <c r="D146" t="s">
        <v>20</v>
      </c>
      <c r="E146" t="s">
        <v>21</v>
      </c>
      <c r="F146" t="s">
        <v>156</v>
      </c>
      <c r="G146" s="8">
        <v>0.38893</v>
      </c>
      <c r="H146" s="25">
        <v>5.15</v>
      </c>
    </row>
    <row r="147" spans="1:8" x14ac:dyDescent="0.25">
      <c r="A147">
        <v>202604</v>
      </c>
      <c r="B147" t="s">
        <v>36</v>
      </c>
      <c r="C147">
        <v>1755691130</v>
      </c>
      <c r="D147" t="s">
        <v>25</v>
      </c>
      <c r="E147" t="s">
        <v>21</v>
      </c>
      <c r="F147" t="s">
        <v>158</v>
      </c>
      <c r="G147" s="8">
        <v>0.15</v>
      </c>
      <c r="H147" s="25">
        <v>3.65</v>
      </c>
    </row>
    <row r="148" spans="1:8" x14ac:dyDescent="0.25">
      <c r="A148">
        <v>202604</v>
      </c>
      <c r="B148" t="s">
        <v>36</v>
      </c>
      <c r="C148">
        <v>1755697350</v>
      </c>
      <c r="D148" t="s">
        <v>25</v>
      </c>
      <c r="E148" t="s">
        <v>21</v>
      </c>
      <c r="F148" t="s">
        <v>159</v>
      </c>
      <c r="G148" s="8">
        <v>0.161</v>
      </c>
      <c r="H148" s="25">
        <v>4.55</v>
      </c>
    </row>
    <row r="149" spans="1:8" x14ac:dyDescent="0.25">
      <c r="A149">
        <v>202604</v>
      </c>
      <c r="B149" t="s">
        <v>36</v>
      </c>
      <c r="C149">
        <v>1755707436</v>
      </c>
      <c r="D149" t="s">
        <v>20</v>
      </c>
      <c r="E149" t="s">
        <v>21</v>
      </c>
      <c r="F149" t="s">
        <v>160</v>
      </c>
      <c r="G149" s="8">
        <v>1.347628</v>
      </c>
      <c r="H149" s="25">
        <v>1.1000000000000001</v>
      </c>
    </row>
    <row r="150" spans="1:8" x14ac:dyDescent="0.25">
      <c r="A150">
        <v>202604</v>
      </c>
      <c r="B150" t="s">
        <v>36</v>
      </c>
      <c r="C150">
        <v>1755710739</v>
      </c>
      <c r="D150" t="s">
        <v>25</v>
      </c>
      <c r="E150" t="s">
        <v>21</v>
      </c>
      <c r="F150" t="s">
        <v>161</v>
      </c>
      <c r="G150" s="8">
        <v>1.6</v>
      </c>
      <c r="H150" s="25">
        <v>1.7</v>
      </c>
    </row>
    <row r="151" spans="1:8" x14ac:dyDescent="0.25">
      <c r="A151">
        <v>202604</v>
      </c>
      <c r="B151" t="s">
        <v>36</v>
      </c>
      <c r="C151">
        <v>1755755406</v>
      </c>
      <c r="D151" t="s">
        <v>25</v>
      </c>
      <c r="E151" t="s">
        <v>21</v>
      </c>
      <c r="F151" t="s">
        <v>158</v>
      </c>
      <c r="G151" s="8">
        <v>0.18</v>
      </c>
      <c r="H151" s="25">
        <v>3.65</v>
      </c>
    </row>
    <row r="152" spans="1:8" x14ac:dyDescent="0.25">
      <c r="A152">
        <v>202604</v>
      </c>
      <c r="B152" t="s">
        <v>36</v>
      </c>
      <c r="C152">
        <v>1755770073</v>
      </c>
      <c r="D152" t="s">
        <v>25</v>
      </c>
      <c r="E152" t="s">
        <v>21</v>
      </c>
      <c r="F152" t="s">
        <v>162</v>
      </c>
      <c r="G152" s="8">
        <v>0.4</v>
      </c>
      <c r="H152" s="25">
        <v>1</v>
      </c>
    </row>
    <row r="153" spans="1:8" x14ac:dyDescent="0.25">
      <c r="A153">
        <v>202604</v>
      </c>
      <c r="B153" t="s">
        <v>36</v>
      </c>
      <c r="C153">
        <v>1755779097</v>
      </c>
      <c r="D153" t="s">
        <v>20</v>
      </c>
      <c r="E153" t="s">
        <v>26</v>
      </c>
      <c r="F153" t="s">
        <v>163</v>
      </c>
      <c r="G153" s="8">
        <v>0.35432000000000002</v>
      </c>
      <c r="H153" s="25">
        <v>3.5</v>
      </c>
    </row>
    <row r="154" spans="1:8" x14ac:dyDescent="0.25">
      <c r="A154">
        <v>202604</v>
      </c>
      <c r="B154" t="s">
        <v>36</v>
      </c>
      <c r="C154">
        <v>1755779623</v>
      </c>
      <c r="D154" t="s">
        <v>25</v>
      </c>
      <c r="E154" t="s">
        <v>21</v>
      </c>
      <c r="F154" t="s">
        <v>164</v>
      </c>
      <c r="G154" s="8">
        <v>1</v>
      </c>
      <c r="H154" s="25">
        <v>0.95</v>
      </c>
    </row>
    <row r="155" spans="1:8" x14ac:dyDescent="0.25">
      <c r="A155">
        <v>202604</v>
      </c>
      <c r="B155" t="s">
        <v>36</v>
      </c>
      <c r="C155">
        <v>1755781008</v>
      </c>
      <c r="D155" t="s">
        <v>25</v>
      </c>
      <c r="E155" t="s">
        <v>21</v>
      </c>
      <c r="F155" t="s">
        <v>165</v>
      </c>
      <c r="G155" s="8">
        <v>0.15</v>
      </c>
      <c r="H155" s="25">
        <v>8.1999999999999993</v>
      </c>
    </row>
    <row r="156" spans="1:8" x14ac:dyDescent="0.25">
      <c r="A156">
        <v>202604</v>
      </c>
      <c r="B156" t="s">
        <v>36</v>
      </c>
      <c r="C156">
        <v>1755816730</v>
      </c>
      <c r="D156" t="s">
        <v>20</v>
      </c>
      <c r="E156" t="s">
        <v>26</v>
      </c>
      <c r="F156" t="s">
        <v>163</v>
      </c>
      <c r="G156" s="8">
        <v>0.41676000000000002</v>
      </c>
      <c r="H156" s="25">
        <v>3.5</v>
      </c>
    </row>
    <row r="157" spans="1:8" x14ac:dyDescent="0.25">
      <c r="A157">
        <v>202604</v>
      </c>
      <c r="B157" t="s">
        <v>36</v>
      </c>
      <c r="C157">
        <v>1755820615</v>
      </c>
      <c r="D157" t="s">
        <v>20</v>
      </c>
      <c r="E157" t="s">
        <v>26</v>
      </c>
      <c r="F157" t="s">
        <v>166</v>
      </c>
      <c r="G157" s="8">
        <v>6.9459999999999997</v>
      </c>
      <c r="H157" s="25">
        <v>0.2</v>
      </c>
    </row>
    <row r="158" spans="1:8" x14ac:dyDescent="0.25">
      <c r="A158">
        <v>202604</v>
      </c>
      <c r="B158" t="s">
        <v>36</v>
      </c>
      <c r="C158">
        <v>1755849760</v>
      </c>
      <c r="D158" t="s">
        <v>25</v>
      </c>
      <c r="E158" t="s">
        <v>21</v>
      </c>
      <c r="F158" t="s">
        <v>158</v>
      </c>
      <c r="G158" s="8">
        <v>0.2</v>
      </c>
      <c r="H158" s="25">
        <v>3.65</v>
      </c>
    </row>
    <row r="159" spans="1:8" x14ac:dyDescent="0.25">
      <c r="A159">
        <v>202604</v>
      </c>
      <c r="B159" t="s">
        <v>36</v>
      </c>
      <c r="C159">
        <v>1755863357</v>
      </c>
      <c r="D159" t="s">
        <v>25</v>
      </c>
      <c r="E159" t="s">
        <v>21</v>
      </c>
      <c r="F159" t="s">
        <v>167</v>
      </c>
      <c r="G159" s="8">
        <v>0.35</v>
      </c>
      <c r="H159" s="25">
        <v>1.55</v>
      </c>
    </row>
    <row r="160" spans="1:8" x14ac:dyDescent="0.25">
      <c r="A160">
        <v>202604</v>
      </c>
      <c r="B160" t="s">
        <v>36</v>
      </c>
      <c r="C160">
        <v>1755863446</v>
      </c>
      <c r="D160" t="s">
        <v>25</v>
      </c>
      <c r="E160" t="s">
        <v>21</v>
      </c>
      <c r="F160" t="s">
        <v>167</v>
      </c>
      <c r="G160" s="8">
        <v>0.35</v>
      </c>
      <c r="H160" s="25">
        <v>1.55</v>
      </c>
    </row>
    <row r="161" spans="1:8" x14ac:dyDescent="0.25">
      <c r="A161">
        <v>202604</v>
      </c>
      <c r="B161" t="s">
        <v>36</v>
      </c>
      <c r="C161">
        <v>1755891296</v>
      </c>
      <c r="D161" t="s">
        <v>20</v>
      </c>
      <c r="E161" t="s">
        <v>26</v>
      </c>
      <c r="F161" t="s">
        <v>163</v>
      </c>
      <c r="G161" s="8">
        <v>0.42204000000000003</v>
      </c>
      <c r="H161" s="25">
        <v>3.5</v>
      </c>
    </row>
    <row r="162" spans="1:8" x14ac:dyDescent="0.25">
      <c r="A162">
        <v>202604</v>
      </c>
      <c r="B162" t="s">
        <v>290</v>
      </c>
      <c r="C162">
        <v>1755662858</v>
      </c>
      <c r="D162" t="s">
        <v>20</v>
      </c>
      <c r="E162" t="s">
        <v>26</v>
      </c>
      <c r="F162" t="s">
        <v>115</v>
      </c>
      <c r="G162" s="8">
        <v>0.67600000000000005</v>
      </c>
      <c r="H162" s="25">
        <v>1.2</v>
      </c>
    </row>
    <row r="163" spans="1:8" x14ac:dyDescent="0.25">
      <c r="A163">
        <v>202604</v>
      </c>
      <c r="B163" t="s">
        <v>290</v>
      </c>
      <c r="C163">
        <v>1755717512</v>
      </c>
      <c r="D163" t="s">
        <v>20</v>
      </c>
      <c r="E163" t="s">
        <v>26</v>
      </c>
      <c r="F163" t="s">
        <v>115</v>
      </c>
      <c r="G163" s="8">
        <v>0.27448</v>
      </c>
      <c r="H163" s="25">
        <v>1.2</v>
      </c>
    </row>
    <row r="164" spans="1:8" x14ac:dyDescent="0.25">
      <c r="A164">
        <v>202604</v>
      </c>
      <c r="B164" t="s">
        <v>290</v>
      </c>
      <c r="C164">
        <v>1755717570</v>
      </c>
      <c r="D164" t="s">
        <v>20</v>
      </c>
      <c r="E164" t="s">
        <v>26</v>
      </c>
      <c r="F164" t="s">
        <v>115</v>
      </c>
      <c r="G164" s="8">
        <v>0.68620000000000003</v>
      </c>
      <c r="H164" s="25">
        <v>1.2</v>
      </c>
    </row>
    <row r="165" spans="1:8" x14ac:dyDescent="0.25">
      <c r="A165">
        <v>202604</v>
      </c>
      <c r="B165" t="s">
        <v>290</v>
      </c>
      <c r="C165">
        <v>1755722280</v>
      </c>
      <c r="D165" t="s">
        <v>20</v>
      </c>
      <c r="E165" t="s">
        <v>26</v>
      </c>
      <c r="F165" t="s">
        <v>115</v>
      </c>
      <c r="G165" s="8">
        <v>0.68620000000000003</v>
      </c>
      <c r="H165" s="25">
        <v>1.2</v>
      </c>
    </row>
    <row r="166" spans="1:8" x14ac:dyDescent="0.25">
      <c r="A166">
        <v>202604</v>
      </c>
      <c r="B166" t="s">
        <v>290</v>
      </c>
      <c r="C166">
        <v>1755725914</v>
      </c>
      <c r="D166" t="s">
        <v>20</v>
      </c>
      <c r="E166" t="s">
        <v>26</v>
      </c>
      <c r="F166" t="s">
        <v>115</v>
      </c>
      <c r="G166" s="8">
        <v>0.34320000000000001</v>
      </c>
      <c r="H166" s="25">
        <v>1.2</v>
      </c>
    </row>
    <row r="167" spans="1:8" x14ac:dyDescent="0.25">
      <c r="A167">
        <v>202604</v>
      </c>
      <c r="B167" t="s">
        <v>290</v>
      </c>
      <c r="C167">
        <v>1755774702</v>
      </c>
      <c r="D167" t="s">
        <v>20</v>
      </c>
      <c r="E167" t="s">
        <v>26</v>
      </c>
      <c r="F167" t="s">
        <v>117</v>
      </c>
      <c r="G167" s="8">
        <v>1.5466500000000001</v>
      </c>
      <c r="H167" s="25">
        <v>0.2</v>
      </c>
    </row>
    <row r="168" spans="1:8" x14ac:dyDescent="0.25">
      <c r="A168">
        <v>202604</v>
      </c>
      <c r="B168" t="s">
        <v>290</v>
      </c>
      <c r="C168">
        <v>1755778244</v>
      </c>
      <c r="D168" t="s">
        <v>20</v>
      </c>
      <c r="E168" t="s">
        <v>26</v>
      </c>
      <c r="F168" t="s">
        <v>136</v>
      </c>
      <c r="G168" s="8">
        <v>0.53585887919999997</v>
      </c>
      <c r="H168" s="25">
        <v>2.35</v>
      </c>
    </row>
    <row r="169" spans="1:8" x14ac:dyDescent="0.25">
      <c r="A169">
        <v>202604</v>
      </c>
      <c r="B169" t="s">
        <v>290</v>
      </c>
      <c r="C169">
        <v>1755802960</v>
      </c>
      <c r="D169" t="s">
        <v>25</v>
      </c>
      <c r="E169" t="s">
        <v>26</v>
      </c>
      <c r="F169" t="s">
        <v>137</v>
      </c>
      <c r="G169" s="8">
        <v>2</v>
      </c>
      <c r="H169" s="25">
        <v>1.1499999999999999</v>
      </c>
    </row>
    <row r="170" spans="1:8" x14ac:dyDescent="0.25">
      <c r="A170">
        <v>202604</v>
      </c>
      <c r="B170" t="s">
        <v>290</v>
      </c>
      <c r="C170">
        <v>1755867050</v>
      </c>
      <c r="D170" t="s">
        <v>20</v>
      </c>
      <c r="E170" t="s">
        <v>26</v>
      </c>
      <c r="F170" t="s">
        <v>118</v>
      </c>
      <c r="G170" s="8">
        <v>0.35160000000000002</v>
      </c>
      <c r="H170" s="25">
        <v>4.6900000000000004</v>
      </c>
    </row>
    <row r="171" spans="1:8" x14ac:dyDescent="0.25">
      <c r="A171">
        <v>202604</v>
      </c>
      <c r="B171" t="s">
        <v>290</v>
      </c>
      <c r="C171">
        <v>1755868189</v>
      </c>
      <c r="D171" t="s">
        <v>25</v>
      </c>
      <c r="E171" t="s">
        <v>21</v>
      </c>
      <c r="F171" t="s">
        <v>138</v>
      </c>
      <c r="G171" s="8">
        <v>7.5</v>
      </c>
      <c r="H171" s="25">
        <v>0.49</v>
      </c>
    </row>
    <row r="172" spans="1:8" x14ac:dyDescent="0.25">
      <c r="A172">
        <v>202604</v>
      </c>
      <c r="B172" t="s">
        <v>290</v>
      </c>
      <c r="C172">
        <v>1755878230</v>
      </c>
      <c r="D172" t="s">
        <v>25</v>
      </c>
      <c r="E172" t="s">
        <v>26</v>
      </c>
      <c r="F172" t="s">
        <v>119</v>
      </c>
      <c r="G172" s="8">
        <v>1.337364</v>
      </c>
      <c r="H172" s="25">
        <v>0.5</v>
      </c>
    </row>
    <row r="173" spans="1:8" x14ac:dyDescent="0.25">
      <c r="A173">
        <v>202604</v>
      </c>
      <c r="B173" t="s">
        <v>45</v>
      </c>
      <c r="C173">
        <v>1751416160</v>
      </c>
      <c r="D173" t="s">
        <v>25</v>
      </c>
      <c r="E173" t="s">
        <v>21</v>
      </c>
      <c r="F173" t="s">
        <v>168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1751416488</v>
      </c>
      <c r="D174" t="s">
        <v>25</v>
      </c>
      <c r="E174" t="s">
        <v>21</v>
      </c>
      <c r="F174" t="s">
        <v>168</v>
      </c>
      <c r="G174" s="8">
        <v>1</v>
      </c>
      <c r="H174" s="25">
        <v>1.1000000000000001</v>
      </c>
    </row>
    <row r="175" spans="1:8" x14ac:dyDescent="0.25">
      <c r="A175">
        <v>202604</v>
      </c>
      <c r="B175" t="s">
        <v>45</v>
      </c>
      <c r="C175">
        <v>1755658125</v>
      </c>
      <c r="D175" t="s">
        <v>25</v>
      </c>
      <c r="E175" t="s">
        <v>21</v>
      </c>
      <c r="F175" t="s">
        <v>168</v>
      </c>
      <c r="G175" s="8">
        <v>0.26700000000000002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1755714440</v>
      </c>
      <c r="D176" t="s">
        <v>25</v>
      </c>
      <c r="E176" t="s">
        <v>21</v>
      </c>
      <c r="F176" t="s">
        <v>168</v>
      </c>
      <c r="G176" s="8">
        <v>0.5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1755726783</v>
      </c>
      <c r="D177" t="s">
        <v>25</v>
      </c>
      <c r="E177" t="s">
        <v>21</v>
      </c>
      <c r="F177" t="s">
        <v>168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1755726929</v>
      </c>
      <c r="D178" t="s">
        <v>25</v>
      </c>
      <c r="E178" t="s">
        <v>21</v>
      </c>
      <c r="F178" t="s">
        <v>168</v>
      </c>
      <c r="G178" s="8">
        <v>1.4</v>
      </c>
      <c r="H178" s="25">
        <v>1.1000000000000001</v>
      </c>
    </row>
    <row r="179" spans="1:8" x14ac:dyDescent="0.25">
      <c r="A179">
        <v>202604</v>
      </c>
      <c r="B179" t="s">
        <v>45</v>
      </c>
      <c r="C179">
        <v>1755728468</v>
      </c>
      <c r="D179" t="s">
        <v>25</v>
      </c>
      <c r="E179" t="s">
        <v>21</v>
      </c>
      <c r="F179" t="s">
        <v>169</v>
      </c>
      <c r="G179" s="8">
        <v>1</v>
      </c>
      <c r="H179" s="25">
        <v>1.1000000000000001</v>
      </c>
    </row>
    <row r="180" spans="1:8" x14ac:dyDescent="0.25">
      <c r="A180">
        <v>202604</v>
      </c>
      <c r="B180" t="s">
        <v>29</v>
      </c>
      <c r="C180">
        <v>1751370290</v>
      </c>
      <c r="D180" t="s">
        <v>25</v>
      </c>
      <c r="E180" t="s">
        <v>21</v>
      </c>
      <c r="F180" t="s">
        <v>170</v>
      </c>
      <c r="G180" s="8">
        <v>3</v>
      </c>
      <c r="H180" s="25">
        <v>4.1500000000000004</v>
      </c>
    </row>
    <row r="181" spans="1:8" x14ac:dyDescent="0.25">
      <c r="A181">
        <v>202604</v>
      </c>
      <c r="B181" t="s">
        <v>29</v>
      </c>
      <c r="C181">
        <v>1755664079</v>
      </c>
      <c r="D181" t="s">
        <v>20</v>
      </c>
      <c r="E181" t="s">
        <v>21</v>
      </c>
      <c r="F181" t="s">
        <v>171</v>
      </c>
      <c r="G181" s="8">
        <v>2.5350000000000001</v>
      </c>
      <c r="H181" s="25">
        <v>4.7</v>
      </c>
    </row>
    <row r="182" spans="1:8" x14ac:dyDescent="0.25">
      <c r="A182">
        <v>202604</v>
      </c>
      <c r="B182" t="s">
        <v>29</v>
      </c>
      <c r="C182">
        <v>1755752598</v>
      </c>
      <c r="D182" t="s">
        <v>20</v>
      </c>
      <c r="E182" t="s">
        <v>66</v>
      </c>
      <c r="F182" t="s">
        <v>172</v>
      </c>
      <c r="G182" s="8">
        <v>0.94833599999999996</v>
      </c>
      <c r="H182" s="25">
        <v>0.9</v>
      </c>
    </row>
    <row r="183" spans="1:8" x14ac:dyDescent="0.25">
      <c r="A183">
        <v>202604</v>
      </c>
      <c r="B183" t="s">
        <v>29</v>
      </c>
      <c r="C183">
        <v>1755755510</v>
      </c>
      <c r="D183" t="s">
        <v>25</v>
      </c>
      <c r="E183" t="s">
        <v>21</v>
      </c>
      <c r="F183" t="s">
        <v>173</v>
      </c>
      <c r="G183" s="8">
        <v>3.77</v>
      </c>
      <c r="H183" s="25">
        <v>2.2999999999999998</v>
      </c>
    </row>
    <row r="184" spans="1:8" x14ac:dyDescent="0.25">
      <c r="A184">
        <v>202604</v>
      </c>
      <c r="B184" t="s">
        <v>29</v>
      </c>
      <c r="C184">
        <v>1755763506</v>
      </c>
      <c r="D184" t="s">
        <v>25</v>
      </c>
      <c r="E184" t="s">
        <v>21</v>
      </c>
      <c r="F184" t="s">
        <v>170</v>
      </c>
      <c r="G184" s="8">
        <v>0.7</v>
      </c>
      <c r="H184" s="25">
        <v>4.55</v>
      </c>
    </row>
    <row r="185" spans="1:8" x14ac:dyDescent="0.25">
      <c r="A185">
        <v>202604</v>
      </c>
      <c r="B185" t="s">
        <v>29</v>
      </c>
      <c r="C185">
        <v>1755771665</v>
      </c>
      <c r="D185" t="s">
        <v>20</v>
      </c>
      <c r="E185" t="s">
        <v>26</v>
      </c>
      <c r="F185" t="s">
        <v>174</v>
      </c>
      <c r="G185" s="8">
        <v>2.0759479999999999</v>
      </c>
      <c r="H185" s="25">
        <v>0.6</v>
      </c>
    </row>
    <row r="186" spans="1:8" x14ac:dyDescent="0.25">
      <c r="A186">
        <v>202604</v>
      </c>
      <c r="B186" t="s">
        <v>29</v>
      </c>
      <c r="C186">
        <v>1755774753</v>
      </c>
      <c r="D186" t="s">
        <v>25</v>
      </c>
      <c r="E186" t="s">
        <v>37</v>
      </c>
      <c r="F186" t="s">
        <v>175</v>
      </c>
      <c r="G186" s="8">
        <v>0.20520526</v>
      </c>
      <c r="H186" s="25">
        <v>2.95</v>
      </c>
    </row>
    <row r="187" spans="1:8" x14ac:dyDescent="0.25">
      <c r="A187">
        <v>202604</v>
      </c>
      <c r="B187" t="s">
        <v>29</v>
      </c>
      <c r="C187">
        <v>1755799896</v>
      </c>
      <c r="D187" t="s">
        <v>20</v>
      </c>
      <c r="E187" t="s">
        <v>26</v>
      </c>
      <c r="F187" t="s">
        <v>176</v>
      </c>
      <c r="G187" s="8">
        <v>1.72</v>
      </c>
      <c r="H187" s="25">
        <v>0.6</v>
      </c>
    </row>
    <row r="188" spans="1:8" x14ac:dyDescent="0.25">
      <c r="A188">
        <v>202604</v>
      </c>
      <c r="B188" t="s">
        <v>29</v>
      </c>
      <c r="C188">
        <v>1755809719</v>
      </c>
      <c r="D188" t="s">
        <v>25</v>
      </c>
      <c r="E188" t="s">
        <v>21</v>
      </c>
      <c r="F188" t="s">
        <v>177</v>
      </c>
      <c r="G188" s="8">
        <v>1</v>
      </c>
      <c r="H188" s="25">
        <v>3.55</v>
      </c>
    </row>
    <row r="189" spans="1:8" x14ac:dyDescent="0.25">
      <c r="A189">
        <v>202604</v>
      </c>
      <c r="B189" t="s">
        <v>29</v>
      </c>
      <c r="C189">
        <v>1755813929</v>
      </c>
      <c r="D189" t="s">
        <v>25</v>
      </c>
      <c r="E189" t="s">
        <v>26</v>
      </c>
      <c r="F189" t="s">
        <v>178</v>
      </c>
      <c r="G189" s="8">
        <v>0.69491250999999998</v>
      </c>
      <c r="H189" s="25">
        <v>4.1500000000000004</v>
      </c>
    </row>
    <row r="190" spans="1:8" x14ac:dyDescent="0.25">
      <c r="A190">
        <v>202604</v>
      </c>
      <c r="B190" t="s">
        <v>29</v>
      </c>
      <c r="C190">
        <v>1755814224</v>
      </c>
      <c r="D190" t="s">
        <v>20</v>
      </c>
      <c r="E190" t="s">
        <v>21</v>
      </c>
      <c r="F190" t="s">
        <v>179</v>
      </c>
      <c r="G190" s="8">
        <v>6.9459999999999997</v>
      </c>
      <c r="H190" s="25">
        <v>0.25</v>
      </c>
    </row>
    <row r="191" spans="1:8" x14ac:dyDescent="0.25">
      <c r="A191">
        <v>202604</v>
      </c>
      <c r="B191" t="s">
        <v>29</v>
      </c>
      <c r="C191">
        <v>1755866895</v>
      </c>
      <c r="D191" t="s">
        <v>20</v>
      </c>
      <c r="E191" t="s">
        <v>21</v>
      </c>
      <c r="F191" t="s">
        <v>179</v>
      </c>
      <c r="G191" s="8">
        <v>3.516</v>
      </c>
      <c r="H191" s="25">
        <v>0.25</v>
      </c>
    </row>
    <row r="192" spans="1:8" x14ac:dyDescent="0.25">
      <c r="A192">
        <v>202604</v>
      </c>
      <c r="B192" t="s">
        <v>29</v>
      </c>
      <c r="C192">
        <v>1755883463</v>
      </c>
      <c r="D192" t="s">
        <v>25</v>
      </c>
      <c r="E192" t="s">
        <v>21</v>
      </c>
      <c r="F192" t="s">
        <v>180</v>
      </c>
      <c r="G192" s="8">
        <v>3.34</v>
      </c>
      <c r="H192" s="25">
        <v>3.66</v>
      </c>
    </row>
    <row r="193" spans="1:8" x14ac:dyDescent="0.25">
      <c r="A193">
        <v>202604</v>
      </c>
      <c r="B193" t="s">
        <v>29</v>
      </c>
      <c r="C193">
        <v>1755883757</v>
      </c>
      <c r="D193" t="s">
        <v>20</v>
      </c>
      <c r="E193" t="s">
        <v>26</v>
      </c>
      <c r="F193" t="s">
        <v>181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29</v>
      </c>
      <c r="C194">
        <v>1755883919</v>
      </c>
      <c r="D194" t="s">
        <v>20</v>
      </c>
      <c r="E194" t="s">
        <v>26</v>
      </c>
      <c r="F194" t="s">
        <v>181</v>
      </c>
      <c r="G194" s="8">
        <v>3.5169999999999999</v>
      </c>
      <c r="H194" s="25">
        <v>0.48</v>
      </c>
    </row>
    <row r="195" spans="1:8" x14ac:dyDescent="0.25">
      <c r="A195">
        <v>202604</v>
      </c>
      <c r="B195" t="s">
        <v>42</v>
      </c>
      <c r="C195">
        <v>1751371890</v>
      </c>
      <c r="D195" t="s">
        <v>25</v>
      </c>
      <c r="E195" t="s">
        <v>26</v>
      </c>
      <c r="F195" t="s">
        <v>67</v>
      </c>
      <c r="G195" s="8">
        <v>0.46025899999999997</v>
      </c>
      <c r="H195" s="25">
        <v>1</v>
      </c>
    </row>
    <row r="196" spans="1:8" x14ac:dyDescent="0.25">
      <c r="A196">
        <v>202604</v>
      </c>
      <c r="B196" t="s">
        <v>42</v>
      </c>
      <c r="C196">
        <v>1751389073</v>
      </c>
      <c r="D196" t="s">
        <v>25</v>
      </c>
      <c r="E196" t="s">
        <v>26</v>
      </c>
      <c r="F196" t="s">
        <v>68</v>
      </c>
      <c r="G196" s="8">
        <v>1.1449199999999999</v>
      </c>
      <c r="H196" s="25">
        <v>0.5</v>
      </c>
    </row>
    <row r="197" spans="1:8" x14ac:dyDescent="0.25">
      <c r="A197">
        <v>202604</v>
      </c>
      <c r="B197" t="s">
        <v>42</v>
      </c>
      <c r="C197">
        <v>1751390748</v>
      </c>
      <c r="D197" t="s">
        <v>20</v>
      </c>
      <c r="E197" t="s">
        <v>26</v>
      </c>
      <c r="F197" t="s">
        <v>69</v>
      </c>
      <c r="G197" s="8">
        <v>0.51554999999999995</v>
      </c>
      <c r="H197" s="25">
        <v>1</v>
      </c>
    </row>
    <row r="198" spans="1:8" x14ac:dyDescent="0.25">
      <c r="A198">
        <v>202604</v>
      </c>
      <c r="B198" t="s">
        <v>42</v>
      </c>
      <c r="C198">
        <v>1755659880</v>
      </c>
      <c r="D198" t="s">
        <v>20</v>
      </c>
      <c r="E198" t="s">
        <v>26</v>
      </c>
      <c r="F198" t="s">
        <v>70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1755659946</v>
      </c>
      <c r="D199" t="s">
        <v>20</v>
      </c>
      <c r="E199" t="s">
        <v>26</v>
      </c>
      <c r="F199" t="s">
        <v>70</v>
      </c>
      <c r="G199" s="8">
        <v>0.59150000000000003</v>
      </c>
      <c r="H199" s="25">
        <v>2.4</v>
      </c>
    </row>
    <row r="200" spans="1:8" x14ac:dyDescent="0.25">
      <c r="A200">
        <v>202604</v>
      </c>
      <c r="B200" t="s">
        <v>42</v>
      </c>
      <c r="C200">
        <v>1755706200</v>
      </c>
      <c r="D200" t="s">
        <v>20</v>
      </c>
      <c r="E200" t="s">
        <v>26</v>
      </c>
      <c r="F200" t="s">
        <v>71</v>
      </c>
      <c r="G200" s="8">
        <v>0.13896143999999999</v>
      </c>
      <c r="H200" s="25">
        <v>4.5999999999999996</v>
      </c>
    </row>
    <row r="201" spans="1:8" x14ac:dyDescent="0.25">
      <c r="A201">
        <v>202604</v>
      </c>
      <c r="B201" t="s">
        <v>42</v>
      </c>
      <c r="C201">
        <v>1755717075</v>
      </c>
      <c r="D201" t="s">
        <v>20</v>
      </c>
      <c r="E201" t="s">
        <v>26</v>
      </c>
      <c r="F201" t="s">
        <v>72</v>
      </c>
      <c r="G201" s="8">
        <v>0.68620000000000003</v>
      </c>
      <c r="H201" s="25">
        <v>1.1499999999999999</v>
      </c>
    </row>
    <row r="202" spans="1:8" x14ac:dyDescent="0.25">
      <c r="A202">
        <v>202604</v>
      </c>
      <c r="B202" t="s">
        <v>42</v>
      </c>
      <c r="C202">
        <v>1755727216</v>
      </c>
      <c r="D202" t="s">
        <v>20</v>
      </c>
      <c r="E202" t="s">
        <v>26</v>
      </c>
      <c r="F202" t="s">
        <v>73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1755727283</v>
      </c>
      <c r="D203" t="s">
        <v>20</v>
      </c>
      <c r="E203" t="s">
        <v>26</v>
      </c>
      <c r="F203" t="s">
        <v>73</v>
      </c>
      <c r="G203" s="8">
        <v>1.0296000000000001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1755727290</v>
      </c>
      <c r="D204" t="s">
        <v>20</v>
      </c>
      <c r="E204" t="s">
        <v>26</v>
      </c>
      <c r="F204" t="s">
        <v>73</v>
      </c>
      <c r="G204" s="8">
        <v>0.68640000000000001</v>
      </c>
      <c r="H204" s="25">
        <v>2.95</v>
      </c>
    </row>
    <row r="205" spans="1:8" x14ac:dyDescent="0.25">
      <c r="A205">
        <v>202604</v>
      </c>
      <c r="B205" t="s">
        <v>42</v>
      </c>
      <c r="C205">
        <v>1755741870</v>
      </c>
      <c r="D205" t="s">
        <v>20</v>
      </c>
      <c r="E205" t="s">
        <v>26</v>
      </c>
      <c r="F205" t="s">
        <v>71</v>
      </c>
      <c r="G205" s="8">
        <v>0.21995395740000001</v>
      </c>
      <c r="H205" s="25">
        <v>4.5999999999999996</v>
      </c>
    </row>
    <row r="206" spans="1:8" x14ac:dyDescent="0.25">
      <c r="A206">
        <v>202604</v>
      </c>
      <c r="B206" t="s">
        <v>42</v>
      </c>
      <c r="C206">
        <v>1755742746</v>
      </c>
      <c r="D206" t="s">
        <v>20</v>
      </c>
      <c r="E206" t="s">
        <v>26</v>
      </c>
      <c r="F206" t="s">
        <v>74</v>
      </c>
      <c r="G206" s="8">
        <v>0.51570000000000005</v>
      </c>
      <c r="H206" s="25">
        <v>3.05</v>
      </c>
    </row>
    <row r="207" spans="1:8" x14ac:dyDescent="0.25">
      <c r="A207">
        <v>202604</v>
      </c>
      <c r="B207" t="s">
        <v>42</v>
      </c>
      <c r="C207">
        <v>1755774575</v>
      </c>
      <c r="D207" t="s">
        <v>25</v>
      </c>
      <c r="E207" t="s">
        <v>26</v>
      </c>
      <c r="F207" t="s">
        <v>75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1755774613</v>
      </c>
      <c r="D208" t="s">
        <v>25</v>
      </c>
      <c r="E208" t="s">
        <v>26</v>
      </c>
      <c r="F208" t="s">
        <v>75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1755774630</v>
      </c>
      <c r="D209" t="s">
        <v>25</v>
      </c>
      <c r="E209" t="s">
        <v>26</v>
      </c>
      <c r="F209" t="s">
        <v>75</v>
      </c>
      <c r="G209" s="8">
        <v>0.3</v>
      </c>
      <c r="H209" s="25">
        <v>2.2000000000000002</v>
      </c>
    </row>
    <row r="210" spans="1:8" x14ac:dyDescent="0.25">
      <c r="A210">
        <v>202604</v>
      </c>
      <c r="B210" t="s">
        <v>42</v>
      </c>
      <c r="C210">
        <v>1755781075</v>
      </c>
      <c r="D210" t="s">
        <v>20</v>
      </c>
      <c r="E210" t="s">
        <v>66</v>
      </c>
      <c r="F210" t="s">
        <v>76</v>
      </c>
      <c r="G210" s="8">
        <v>2.4079999999999999</v>
      </c>
      <c r="H210" s="25">
        <v>5.5</v>
      </c>
    </row>
    <row r="211" spans="1:8" x14ac:dyDescent="0.25">
      <c r="A211">
        <v>202604</v>
      </c>
      <c r="B211" t="s">
        <v>42</v>
      </c>
      <c r="C211">
        <v>1755817126</v>
      </c>
      <c r="D211" t="s">
        <v>25</v>
      </c>
      <c r="E211" t="s">
        <v>21</v>
      </c>
      <c r="F211" t="s">
        <v>77</v>
      </c>
      <c r="G211" s="8">
        <v>0.68</v>
      </c>
      <c r="H211" s="25">
        <v>3.3</v>
      </c>
    </row>
    <row r="212" spans="1:8" x14ac:dyDescent="0.25">
      <c r="A212">
        <v>202604</v>
      </c>
      <c r="B212" t="s">
        <v>42</v>
      </c>
      <c r="C212">
        <v>1755870949</v>
      </c>
      <c r="D212" t="s">
        <v>20</v>
      </c>
      <c r="E212" t="s">
        <v>26</v>
      </c>
      <c r="F212" t="s">
        <v>78</v>
      </c>
      <c r="G212" s="8">
        <v>1.7635000000000001</v>
      </c>
      <c r="H212" s="25">
        <v>1.1499999999999999</v>
      </c>
    </row>
    <row r="213" spans="1:8" x14ac:dyDescent="0.25">
      <c r="A213">
        <v>202604</v>
      </c>
      <c r="B213" t="s">
        <v>42</v>
      </c>
      <c r="C213">
        <v>1755873140</v>
      </c>
      <c r="D213" t="s">
        <v>20</v>
      </c>
      <c r="E213" t="s">
        <v>26</v>
      </c>
      <c r="F213" t="s">
        <v>79</v>
      </c>
      <c r="G213" s="8">
        <v>3.4564599999999999</v>
      </c>
      <c r="H213" s="25">
        <v>2.35</v>
      </c>
    </row>
    <row r="214" spans="1:8" x14ac:dyDescent="0.25">
      <c r="A214">
        <v>202604</v>
      </c>
      <c r="B214" t="s">
        <v>42</v>
      </c>
      <c r="C214">
        <v>1755883200</v>
      </c>
      <c r="D214" t="s">
        <v>20</v>
      </c>
      <c r="E214" t="s">
        <v>26</v>
      </c>
      <c r="F214" t="s">
        <v>80</v>
      </c>
      <c r="G214" s="8">
        <v>0.52754999999999996</v>
      </c>
      <c r="H214" s="25">
        <v>3.8</v>
      </c>
    </row>
    <row r="215" spans="1:8" x14ac:dyDescent="0.25">
      <c r="A215">
        <v>202604</v>
      </c>
      <c r="B215" t="s">
        <v>42</v>
      </c>
      <c r="C215">
        <v>1755884168</v>
      </c>
      <c r="D215" t="s">
        <v>20</v>
      </c>
      <c r="E215" t="s">
        <v>21</v>
      </c>
      <c r="F215" t="s">
        <v>81</v>
      </c>
      <c r="G215" s="8">
        <v>3.5169999999999999</v>
      </c>
      <c r="H215" s="25">
        <v>0.4</v>
      </c>
    </row>
    <row r="216" spans="1:8" x14ac:dyDescent="0.25">
      <c r="A216">
        <v>202604</v>
      </c>
      <c r="B216" t="s">
        <v>42</v>
      </c>
      <c r="C216">
        <v>1755884450</v>
      </c>
      <c r="D216" t="s">
        <v>25</v>
      </c>
      <c r="E216" t="s">
        <v>37</v>
      </c>
      <c r="F216" t="s">
        <v>82</v>
      </c>
      <c r="G216" s="8">
        <v>0.10133753</v>
      </c>
      <c r="H216" s="25">
        <v>3.55</v>
      </c>
    </row>
    <row r="217" spans="1:8" x14ac:dyDescent="0.25">
      <c r="A217">
        <v>202604</v>
      </c>
      <c r="B217" t="s">
        <v>94</v>
      </c>
      <c r="C217">
        <v>1751367990</v>
      </c>
      <c r="D217" t="s">
        <v>25</v>
      </c>
      <c r="E217" t="s">
        <v>21</v>
      </c>
      <c r="F217" t="s">
        <v>182</v>
      </c>
      <c r="G217" s="8">
        <v>5</v>
      </c>
      <c r="H217" s="25">
        <v>0.8</v>
      </c>
    </row>
    <row r="218" spans="1:8" x14ac:dyDescent="0.25">
      <c r="A218">
        <v>202604</v>
      </c>
      <c r="B218" t="s">
        <v>94</v>
      </c>
      <c r="C218">
        <v>1755697562</v>
      </c>
      <c r="D218" t="s">
        <v>20</v>
      </c>
      <c r="E218" t="s">
        <v>26</v>
      </c>
      <c r="F218" t="s">
        <v>183</v>
      </c>
      <c r="G218" s="8">
        <v>5.9759556516800005</v>
      </c>
      <c r="H218" s="25">
        <v>0.35</v>
      </c>
    </row>
    <row r="219" spans="1:8" x14ac:dyDescent="0.25">
      <c r="A219">
        <v>202604</v>
      </c>
      <c r="B219" t="s">
        <v>94</v>
      </c>
      <c r="C219">
        <v>1755767323</v>
      </c>
      <c r="D219" t="s">
        <v>25</v>
      </c>
      <c r="E219" t="s">
        <v>26</v>
      </c>
      <c r="F219" t="s">
        <v>184</v>
      </c>
      <c r="G219" s="8">
        <v>10</v>
      </c>
      <c r="H219" s="25">
        <v>0.5</v>
      </c>
    </row>
    <row r="220" spans="1:8" x14ac:dyDescent="0.25">
      <c r="A220">
        <v>202604</v>
      </c>
      <c r="B220" t="s">
        <v>94</v>
      </c>
      <c r="C220">
        <v>1755802099</v>
      </c>
      <c r="D220" t="s">
        <v>25</v>
      </c>
      <c r="E220" t="s">
        <v>26</v>
      </c>
      <c r="F220" t="s">
        <v>184</v>
      </c>
      <c r="G220" s="8">
        <v>10</v>
      </c>
      <c r="H220" s="25">
        <v>0.5</v>
      </c>
    </row>
    <row r="221" spans="1:8" x14ac:dyDescent="0.25">
      <c r="A221">
        <v>202604</v>
      </c>
      <c r="B221" t="s">
        <v>94</v>
      </c>
      <c r="C221">
        <v>1755813970</v>
      </c>
      <c r="D221" t="s">
        <v>20</v>
      </c>
      <c r="E221" t="s">
        <v>26</v>
      </c>
      <c r="F221" t="s">
        <v>185</v>
      </c>
      <c r="G221" s="8">
        <v>0.41446004048000001</v>
      </c>
      <c r="H221" s="25">
        <v>1.35</v>
      </c>
    </row>
    <row r="222" spans="1:8" x14ac:dyDescent="0.25">
      <c r="A222">
        <v>202604</v>
      </c>
      <c r="B222" t="s">
        <v>94</v>
      </c>
      <c r="C222">
        <v>1755818874</v>
      </c>
      <c r="D222" t="s">
        <v>20</v>
      </c>
      <c r="E222" t="s">
        <v>21</v>
      </c>
      <c r="F222" t="s">
        <v>186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94</v>
      </c>
      <c r="C223">
        <v>1755818998</v>
      </c>
      <c r="D223" t="s">
        <v>20</v>
      </c>
      <c r="E223" t="s">
        <v>21</v>
      </c>
      <c r="F223" t="s">
        <v>187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94</v>
      </c>
      <c r="C224">
        <v>1755819072</v>
      </c>
      <c r="D224" t="s">
        <v>20</v>
      </c>
      <c r="E224" t="s">
        <v>21</v>
      </c>
      <c r="F224" t="s">
        <v>186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94</v>
      </c>
      <c r="C225">
        <v>1755819986</v>
      </c>
      <c r="D225" t="s">
        <v>20</v>
      </c>
      <c r="E225" t="s">
        <v>21</v>
      </c>
      <c r="F225" t="s">
        <v>187</v>
      </c>
      <c r="G225" s="8">
        <v>1.7364999999999999</v>
      </c>
      <c r="H225" s="25">
        <v>3.83</v>
      </c>
    </row>
    <row r="226" spans="1:8" x14ac:dyDescent="0.25">
      <c r="A226">
        <v>202604</v>
      </c>
      <c r="B226" t="s">
        <v>94</v>
      </c>
      <c r="C226">
        <v>1755873107</v>
      </c>
      <c r="D226" t="s">
        <v>20</v>
      </c>
      <c r="E226" t="s">
        <v>26</v>
      </c>
      <c r="F226" t="s">
        <v>185</v>
      </c>
      <c r="G226" s="8">
        <v>0.27240657528000001</v>
      </c>
      <c r="H226" s="25">
        <v>1.35</v>
      </c>
    </row>
    <row r="227" spans="1:8" x14ac:dyDescent="0.25">
      <c r="A227">
        <v>202604</v>
      </c>
      <c r="B227" t="s">
        <v>44</v>
      </c>
      <c r="C227">
        <v>1751390969</v>
      </c>
      <c r="D227" t="s">
        <v>25</v>
      </c>
      <c r="E227" t="s">
        <v>21</v>
      </c>
      <c r="F227" t="s">
        <v>83</v>
      </c>
      <c r="G227" s="8">
        <v>0.34899999999999998</v>
      </c>
      <c r="H227" s="25">
        <v>3.3</v>
      </c>
    </row>
    <row r="228" spans="1:8" x14ac:dyDescent="0.25">
      <c r="A228">
        <v>202604</v>
      </c>
      <c r="B228" t="s">
        <v>44</v>
      </c>
      <c r="C228">
        <v>1755662793</v>
      </c>
      <c r="D228" t="s">
        <v>20</v>
      </c>
      <c r="E228" t="s">
        <v>26</v>
      </c>
      <c r="F228" t="s">
        <v>84</v>
      </c>
      <c r="G228" s="8">
        <v>1.8251999999999999</v>
      </c>
      <c r="H228" s="25">
        <v>0.55000000000000004</v>
      </c>
    </row>
    <row r="229" spans="1:8" x14ac:dyDescent="0.25">
      <c r="A229">
        <v>202604</v>
      </c>
      <c r="B229" t="s">
        <v>44</v>
      </c>
      <c r="C229">
        <v>1755697090</v>
      </c>
      <c r="D229" t="s">
        <v>25</v>
      </c>
      <c r="E229" t="s">
        <v>21</v>
      </c>
      <c r="F229" t="s">
        <v>85</v>
      </c>
      <c r="G229" s="8">
        <v>2</v>
      </c>
      <c r="H229" s="25">
        <v>1.08</v>
      </c>
    </row>
    <row r="230" spans="1:8" x14ac:dyDescent="0.25">
      <c r="A230">
        <v>202604</v>
      </c>
      <c r="B230" t="s">
        <v>44</v>
      </c>
      <c r="C230">
        <v>1755819706</v>
      </c>
      <c r="D230" t="s">
        <v>20</v>
      </c>
      <c r="E230" t="s">
        <v>26</v>
      </c>
      <c r="F230" t="s">
        <v>86</v>
      </c>
      <c r="G230" s="8">
        <v>1.7364999999999999</v>
      </c>
      <c r="H230" s="25">
        <v>0.5</v>
      </c>
    </row>
    <row r="231" spans="1:8" x14ac:dyDescent="0.25">
      <c r="A231">
        <v>202604</v>
      </c>
      <c r="B231" t="s">
        <v>44</v>
      </c>
      <c r="C231">
        <v>1755852037</v>
      </c>
      <c r="D231" t="s">
        <v>20</v>
      </c>
      <c r="E231" t="s">
        <v>37</v>
      </c>
      <c r="F231" t="s">
        <v>87</v>
      </c>
      <c r="G231" s="8">
        <v>5.9861851538000002</v>
      </c>
      <c r="H231" s="25">
        <v>2.7</v>
      </c>
    </row>
    <row r="232" spans="1:8" x14ac:dyDescent="0.25">
      <c r="A232">
        <v>202604</v>
      </c>
      <c r="B232" t="s">
        <v>44</v>
      </c>
      <c r="C232">
        <v>1755867565</v>
      </c>
      <c r="D232" t="s">
        <v>25</v>
      </c>
      <c r="E232" t="s">
        <v>37</v>
      </c>
      <c r="F232" t="s">
        <v>88</v>
      </c>
      <c r="G232" s="8">
        <v>0.43018698</v>
      </c>
      <c r="H232" s="25">
        <v>2.35</v>
      </c>
    </row>
    <row r="233" spans="1:8" x14ac:dyDescent="0.25">
      <c r="A233">
        <v>202604</v>
      </c>
      <c r="B233" t="s">
        <v>44</v>
      </c>
      <c r="C233">
        <v>1755868308</v>
      </c>
      <c r="D233" t="s">
        <v>25</v>
      </c>
      <c r="E233" t="s">
        <v>21</v>
      </c>
      <c r="F233" t="s">
        <v>89</v>
      </c>
      <c r="G233" s="8">
        <v>0.1</v>
      </c>
      <c r="H233" s="25">
        <v>0.85</v>
      </c>
    </row>
    <row r="234" spans="1:8" x14ac:dyDescent="0.25">
      <c r="A234">
        <v>202604</v>
      </c>
      <c r="B234" t="s">
        <v>44</v>
      </c>
      <c r="C234">
        <v>1755871066</v>
      </c>
      <c r="D234" t="s">
        <v>25</v>
      </c>
      <c r="E234" t="s">
        <v>26</v>
      </c>
      <c r="F234" t="s">
        <v>90</v>
      </c>
      <c r="G234" s="8">
        <v>1.7</v>
      </c>
      <c r="H234" s="25">
        <v>2.1800000000000002</v>
      </c>
    </row>
    <row r="235" spans="1:8" x14ac:dyDescent="0.25">
      <c r="A235">
        <v>202604</v>
      </c>
      <c r="B235" t="s">
        <v>44</v>
      </c>
      <c r="C235">
        <v>1755895267</v>
      </c>
      <c r="D235" t="s">
        <v>20</v>
      </c>
      <c r="E235" t="s">
        <v>26</v>
      </c>
      <c r="F235" t="s">
        <v>86</v>
      </c>
      <c r="G235" s="8">
        <v>1.7585</v>
      </c>
      <c r="H235" s="25">
        <v>0.5</v>
      </c>
    </row>
    <row r="236" spans="1:8" x14ac:dyDescent="0.25">
      <c r="A236">
        <v>202604</v>
      </c>
      <c r="B236" t="s">
        <v>44</v>
      </c>
      <c r="C236">
        <v>1755895585</v>
      </c>
      <c r="D236" t="s">
        <v>25</v>
      </c>
      <c r="E236" t="s">
        <v>21</v>
      </c>
      <c r="F236" t="s">
        <v>91</v>
      </c>
      <c r="G236" s="8">
        <v>1.01</v>
      </c>
      <c r="H236" s="25">
        <v>1.25</v>
      </c>
    </row>
    <row r="237" spans="1:8" x14ac:dyDescent="0.25">
      <c r="A237">
        <v>202604</v>
      </c>
      <c r="B237" t="s">
        <v>46</v>
      </c>
      <c r="C237">
        <v>1755774710</v>
      </c>
      <c r="D237" t="s">
        <v>20</v>
      </c>
      <c r="E237" t="s">
        <v>66</v>
      </c>
      <c r="F237" t="s">
        <v>188</v>
      </c>
      <c r="G237" s="8">
        <v>1.741411042</v>
      </c>
      <c r="H237" s="25">
        <v>2.15</v>
      </c>
    </row>
    <row r="238" spans="1:8" x14ac:dyDescent="0.25">
      <c r="A238">
        <v>202604</v>
      </c>
      <c r="B238" t="s">
        <v>46</v>
      </c>
      <c r="C238">
        <v>1755867700</v>
      </c>
      <c r="D238" t="s">
        <v>25</v>
      </c>
      <c r="E238" t="s">
        <v>37</v>
      </c>
      <c r="F238" t="s">
        <v>189</v>
      </c>
      <c r="G238" s="8">
        <v>5.5785600000000004</v>
      </c>
      <c r="H238" s="25">
        <v>0.5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98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98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233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98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103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111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191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192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103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103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107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105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247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106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247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103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108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254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105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247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103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93</v>
      </c>
      <c r="C260">
        <v>1755927088</v>
      </c>
      <c r="D260" t="s">
        <v>20</v>
      </c>
      <c r="E260" t="s">
        <v>26</v>
      </c>
      <c r="F260" t="s">
        <v>116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93</v>
      </c>
      <c r="C261">
        <v>1755950012</v>
      </c>
      <c r="D261" t="s">
        <v>20</v>
      </c>
      <c r="E261" t="s">
        <v>26</v>
      </c>
      <c r="F261" t="s">
        <v>116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93</v>
      </c>
      <c r="C262">
        <v>1760142573</v>
      </c>
      <c r="D262" t="s">
        <v>20</v>
      </c>
      <c r="E262" t="s">
        <v>26</v>
      </c>
      <c r="F262" t="s">
        <v>196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93</v>
      </c>
      <c r="C263">
        <v>1760154300</v>
      </c>
      <c r="D263" t="s">
        <v>20</v>
      </c>
      <c r="E263" t="s">
        <v>26</v>
      </c>
      <c r="F263" t="s">
        <v>197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93</v>
      </c>
      <c r="C264">
        <v>1760167819</v>
      </c>
      <c r="D264" t="s">
        <v>20</v>
      </c>
      <c r="E264" t="s">
        <v>26</v>
      </c>
      <c r="F264" t="s">
        <v>116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93</v>
      </c>
      <c r="C265">
        <v>1760171980</v>
      </c>
      <c r="D265" t="s">
        <v>25</v>
      </c>
      <c r="E265" t="s">
        <v>21</v>
      </c>
      <c r="F265" t="s">
        <v>198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93</v>
      </c>
      <c r="C266">
        <v>1760171999</v>
      </c>
      <c r="D266" t="s">
        <v>20</v>
      </c>
      <c r="E266" t="s">
        <v>21</v>
      </c>
      <c r="F266" t="s">
        <v>199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93</v>
      </c>
      <c r="C267">
        <v>1760177377</v>
      </c>
      <c r="D267" t="s">
        <v>20</v>
      </c>
      <c r="E267" t="s">
        <v>26</v>
      </c>
      <c r="F267" t="s">
        <v>116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93</v>
      </c>
      <c r="C268">
        <v>1760203750</v>
      </c>
      <c r="D268" t="s">
        <v>20</v>
      </c>
      <c r="E268" t="s">
        <v>26</v>
      </c>
      <c r="F268" t="s">
        <v>116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93</v>
      </c>
      <c r="C269">
        <v>1760204404</v>
      </c>
      <c r="D269" t="s">
        <v>20</v>
      </c>
      <c r="E269" t="s">
        <v>26</v>
      </c>
      <c r="F269" t="s">
        <v>227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93</v>
      </c>
      <c r="C270">
        <v>1760213802</v>
      </c>
      <c r="D270" t="s">
        <v>20</v>
      </c>
      <c r="E270" t="s">
        <v>26</v>
      </c>
      <c r="F270" t="s">
        <v>116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93</v>
      </c>
      <c r="C271">
        <v>1760274305</v>
      </c>
      <c r="D271" t="s">
        <v>20</v>
      </c>
      <c r="E271" t="s">
        <v>26</v>
      </c>
      <c r="F271" t="s">
        <v>113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93</v>
      </c>
      <c r="C272">
        <v>1760278882</v>
      </c>
      <c r="D272" t="s">
        <v>20</v>
      </c>
      <c r="E272" t="s">
        <v>26</v>
      </c>
      <c r="F272" t="s">
        <v>116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93</v>
      </c>
      <c r="C273">
        <v>1760344930</v>
      </c>
      <c r="D273" t="s">
        <v>20</v>
      </c>
      <c r="E273" t="s">
        <v>26</v>
      </c>
      <c r="F273" t="s">
        <v>116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201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202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202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124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122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122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126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234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124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124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125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122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125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124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252</v>
      </c>
      <c r="C288">
        <v>1755928335</v>
      </c>
      <c r="D288" t="s">
        <v>25</v>
      </c>
      <c r="E288" t="s">
        <v>37</v>
      </c>
      <c r="F288" t="s">
        <v>203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252</v>
      </c>
      <c r="C289">
        <v>1760159719</v>
      </c>
      <c r="D289" t="s">
        <v>20</v>
      </c>
      <c r="E289" t="s">
        <v>37</v>
      </c>
      <c r="F289" t="s">
        <v>204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252</v>
      </c>
      <c r="C290">
        <v>1760167789</v>
      </c>
      <c r="D290" t="s">
        <v>20</v>
      </c>
      <c r="E290" t="s">
        <v>37</v>
      </c>
      <c r="F290" t="s">
        <v>204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252</v>
      </c>
      <c r="C291">
        <v>1760235210</v>
      </c>
      <c r="D291" t="s">
        <v>20</v>
      </c>
      <c r="E291" t="s">
        <v>37</v>
      </c>
      <c r="F291" t="s">
        <v>204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252</v>
      </c>
      <c r="C292">
        <v>1760240516</v>
      </c>
      <c r="D292" t="s">
        <v>20</v>
      </c>
      <c r="E292" t="s">
        <v>37</v>
      </c>
      <c r="F292" t="s">
        <v>204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252</v>
      </c>
      <c r="C293">
        <v>1760349780</v>
      </c>
      <c r="D293" t="s">
        <v>20</v>
      </c>
      <c r="E293" t="s">
        <v>37</v>
      </c>
      <c r="F293" t="s">
        <v>204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205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205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133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27</v>
      </c>
      <c r="C297">
        <v>1755912470</v>
      </c>
      <c r="D297" t="s">
        <v>25</v>
      </c>
      <c r="E297" t="s">
        <v>21</v>
      </c>
      <c r="F297" t="s">
        <v>143</v>
      </c>
      <c r="G297" s="8">
        <v>4</v>
      </c>
      <c r="H297" s="25">
        <v>0.5</v>
      </c>
    </row>
    <row r="298" spans="1:8" x14ac:dyDescent="0.25">
      <c r="A298">
        <v>202605</v>
      </c>
      <c r="B298" t="s">
        <v>27</v>
      </c>
      <c r="C298">
        <v>1755912650</v>
      </c>
      <c r="D298" t="s">
        <v>25</v>
      </c>
      <c r="E298" t="s">
        <v>21</v>
      </c>
      <c r="F298" t="s">
        <v>143</v>
      </c>
      <c r="G298" s="8">
        <v>5</v>
      </c>
      <c r="H298" s="25">
        <v>0.5</v>
      </c>
    </row>
    <row r="299" spans="1:8" x14ac:dyDescent="0.25">
      <c r="A299">
        <v>202605</v>
      </c>
      <c r="B299" t="s">
        <v>27</v>
      </c>
      <c r="C299">
        <v>1755936818</v>
      </c>
      <c r="D299" t="s">
        <v>25</v>
      </c>
      <c r="E299" t="s">
        <v>21</v>
      </c>
      <c r="F299" t="s">
        <v>208</v>
      </c>
      <c r="G299" s="8">
        <v>12.2</v>
      </c>
      <c r="H299" s="25">
        <v>2.95</v>
      </c>
    </row>
    <row r="300" spans="1:8" x14ac:dyDescent="0.25">
      <c r="A300">
        <v>202605</v>
      </c>
      <c r="B300" t="s">
        <v>27</v>
      </c>
      <c r="C300">
        <v>1755952449</v>
      </c>
      <c r="D300" t="s">
        <v>20</v>
      </c>
      <c r="E300" t="s">
        <v>21</v>
      </c>
      <c r="F300" t="s">
        <v>209</v>
      </c>
      <c r="G300" s="8">
        <v>0.86475000000000002</v>
      </c>
      <c r="H300" s="25">
        <v>1.8</v>
      </c>
    </row>
    <row r="301" spans="1:8" x14ac:dyDescent="0.25">
      <c r="A301">
        <v>202605</v>
      </c>
      <c r="B301" t="s">
        <v>27</v>
      </c>
      <c r="C301">
        <v>1755952473</v>
      </c>
      <c r="D301" t="s">
        <v>20</v>
      </c>
      <c r="E301" t="s">
        <v>21</v>
      </c>
      <c r="F301" t="s">
        <v>209</v>
      </c>
      <c r="G301" s="8">
        <v>0.69179999999999997</v>
      </c>
      <c r="H301" s="25">
        <v>1.8</v>
      </c>
    </row>
    <row r="302" spans="1:8" x14ac:dyDescent="0.25">
      <c r="A302">
        <v>202605</v>
      </c>
      <c r="B302" t="s">
        <v>27</v>
      </c>
      <c r="C302">
        <v>1755954760</v>
      </c>
      <c r="D302" t="s">
        <v>20</v>
      </c>
      <c r="E302" t="s">
        <v>26</v>
      </c>
      <c r="F302" t="s">
        <v>141</v>
      </c>
      <c r="G302" s="8">
        <v>6.9180000000000001</v>
      </c>
      <c r="H302" s="25">
        <v>1.1499999999999999</v>
      </c>
    </row>
    <row r="303" spans="1:8" x14ac:dyDescent="0.25">
      <c r="A303">
        <v>202605</v>
      </c>
      <c r="B303" t="s">
        <v>27</v>
      </c>
      <c r="C303">
        <v>1760130656</v>
      </c>
      <c r="D303" t="s">
        <v>20</v>
      </c>
      <c r="E303" t="s">
        <v>26</v>
      </c>
      <c r="F303" t="s">
        <v>142</v>
      </c>
      <c r="G303" s="8">
        <v>0.14800539999999998</v>
      </c>
      <c r="H303" s="25">
        <v>2.8</v>
      </c>
    </row>
    <row r="304" spans="1:8" x14ac:dyDescent="0.25">
      <c r="A304">
        <v>202605</v>
      </c>
      <c r="B304" t="s">
        <v>27</v>
      </c>
      <c r="C304">
        <v>1760171638</v>
      </c>
      <c r="D304" t="s">
        <v>20</v>
      </c>
      <c r="E304" t="s">
        <v>26</v>
      </c>
      <c r="F304" t="s">
        <v>141</v>
      </c>
      <c r="G304" s="8">
        <v>3.4159999999999999</v>
      </c>
      <c r="H304" s="25">
        <v>1.1499999999999999</v>
      </c>
    </row>
    <row r="305" spans="1:8" x14ac:dyDescent="0.25">
      <c r="A305">
        <v>202605</v>
      </c>
      <c r="B305" t="s">
        <v>27</v>
      </c>
      <c r="C305">
        <v>1760214094</v>
      </c>
      <c r="D305" t="s">
        <v>25</v>
      </c>
      <c r="E305" t="s">
        <v>21</v>
      </c>
      <c r="F305" t="s">
        <v>143</v>
      </c>
      <c r="G305" s="8">
        <v>3</v>
      </c>
      <c r="H305" s="25">
        <v>0.5</v>
      </c>
    </row>
    <row r="306" spans="1:8" x14ac:dyDescent="0.25">
      <c r="A306">
        <v>202605</v>
      </c>
      <c r="B306" t="s">
        <v>27</v>
      </c>
      <c r="C306">
        <v>1760226068</v>
      </c>
      <c r="D306" t="s">
        <v>20</v>
      </c>
      <c r="E306" t="s">
        <v>26</v>
      </c>
      <c r="F306" t="s">
        <v>235</v>
      </c>
      <c r="G306" s="8">
        <v>0.88685999999999998</v>
      </c>
      <c r="H306" s="25">
        <v>3.15</v>
      </c>
    </row>
    <row r="307" spans="1:8" x14ac:dyDescent="0.25">
      <c r="A307">
        <v>202605</v>
      </c>
      <c r="B307" t="s">
        <v>27</v>
      </c>
      <c r="C307">
        <v>1760251895</v>
      </c>
      <c r="D307" t="s">
        <v>20</v>
      </c>
      <c r="E307" t="s">
        <v>26</v>
      </c>
      <c r="F307" t="s">
        <v>142</v>
      </c>
      <c r="G307" s="8">
        <v>0.15653345339999999</v>
      </c>
      <c r="H307" s="25">
        <v>2.75</v>
      </c>
    </row>
    <row r="308" spans="1:8" x14ac:dyDescent="0.25">
      <c r="A308">
        <v>202605</v>
      </c>
      <c r="B308" t="s">
        <v>27</v>
      </c>
      <c r="C308">
        <v>1760346659</v>
      </c>
      <c r="D308" t="s">
        <v>20</v>
      </c>
      <c r="E308" t="s">
        <v>26</v>
      </c>
      <c r="F308" t="s">
        <v>142</v>
      </c>
      <c r="G308" s="8">
        <v>8.9070645480000002E-2</v>
      </c>
      <c r="H308" s="25">
        <v>2.9</v>
      </c>
    </row>
    <row r="309" spans="1:8" x14ac:dyDescent="0.25">
      <c r="A309">
        <v>202605</v>
      </c>
      <c r="B309" t="s">
        <v>39</v>
      </c>
      <c r="C309">
        <v>1755937938</v>
      </c>
      <c r="D309" t="s">
        <v>20</v>
      </c>
      <c r="E309" t="s">
        <v>26</v>
      </c>
      <c r="F309" t="s">
        <v>51</v>
      </c>
      <c r="G309" s="8">
        <v>2.4276</v>
      </c>
      <c r="H309" s="25">
        <v>0.6</v>
      </c>
    </row>
    <row r="310" spans="1:8" x14ac:dyDescent="0.25">
      <c r="A310">
        <v>202605</v>
      </c>
      <c r="B310" t="s">
        <v>39</v>
      </c>
      <c r="C310">
        <v>1755939850</v>
      </c>
      <c r="D310" t="s">
        <v>20</v>
      </c>
      <c r="E310" t="s">
        <v>21</v>
      </c>
      <c r="F310" t="s">
        <v>54</v>
      </c>
      <c r="G310" s="8">
        <v>1.0404</v>
      </c>
      <c r="H310" s="25">
        <v>1.1000000000000001</v>
      </c>
    </row>
    <row r="311" spans="1:8" x14ac:dyDescent="0.25">
      <c r="A311">
        <v>202605</v>
      </c>
      <c r="B311" t="s">
        <v>39</v>
      </c>
      <c r="C311">
        <v>1755939914</v>
      </c>
      <c r="D311" t="s">
        <v>20</v>
      </c>
      <c r="E311" t="s">
        <v>21</v>
      </c>
      <c r="F311" t="s">
        <v>54</v>
      </c>
      <c r="G311" s="8">
        <v>0.67625999999999997</v>
      </c>
      <c r="H311" s="25">
        <v>1.1000000000000001</v>
      </c>
    </row>
    <row r="312" spans="1:8" x14ac:dyDescent="0.25">
      <c r="A312">
        <v>202605</v>
      </c>
      <c r="B312" t="s">
        <v>39</v>
      </c>
      <c r="C312">
        <v>1760136590</v>
      </c>
      <c r="D312" t="s">
        <v>25</v>
      </c>
      <c r="E312" t="s">
        <v>37</v>
      </c>
      <c r="F312" t="s">
        <v>49</v>
      </c>
      <c r="G312" s="8">
        <v>0.18259047</v>
      </c>
      <c r="H312" s="25">
        <v>2.0699999999999998</v>
      </c>
    </row>
    <row r="313" spans="1:8" x14ac:dyDescent="0.25">
      <c r="A313">
        <v>202605</v>
      </c>
      <c r="B313" t="s">
        <v>39</v>
      </c>
      <c r="C313">
        <v>1760148610</v>
      </c>
      <c r="D313" t="s">
        <v>20</v>
      </c>
      <c r="E313" t="s">
        <v>37</v>
      </c>
      <c r="F313" t="s">
        <v>49</v>
      </c>
      <c r="G313" s="8">
        <v>0.39890260744</v>
      </c>
      <c r="H313" s="25">
        <v>3.1</v>
      </c>
    </row>
    <row r="314" spans="1:8" x14ac:dyDescent="0.25">
      <c r="A314">
        <v>202605</v>
      </c>
      <c r="B314" t="s">
        <v>39</v>
      </c>
      <c r="C314">
        <v>1760166324</v>
      </c>
      <c r="D314" t="s">
        <v>25</v>
      </c>
      <c r="E314" t="s">
        <v>21</v>
      </c>
      <c r="F314" t="s">
        <v>53</v>
      </c>
      <c r="G314" s="8">
        <v>0.245</v>
      </c>
      <c r="H314" s="25">
        <v>1.8</v>
      </c>
    </row>
    <row r="315" spans="1:8" x14ac:dyDescent="0.25">
      <c r="A315">
        <v>202605</v>
      </c>
      <c r="B315" t="s">
        <v>39</v>
      </c>
      <c r="C315">
        <v>1760208094</v>
      </c>
      <c r="D315" t="s">
        <v>25</v>
      </c>
      <c r="E315" t="s">
        <v>26</v>
      </c>
      <c r="F315" t="s">
        <v>228</v>
      </c>
      <c r="G315" s="8">
        <v>0.158</v>
      </c>
      <c r="H315" s="25">
        <v>4.9000000000000004</v>
      </c>
    </row>
    <row r="316" spans="1:8" x14ac:dyDescent="0.25">
      <c r="A316">
        <v>202605</v>
      </c>
      <c r="B316" t="s">
        <v>39</v>
      </c>
      <c r="C316">
        <v>1760217425</v>
      </c>
      <c r="D316" t="s">
        <v>20</v>
      </c>
      <c r="E316" t="s">
        <v>26</v>
      </c>
      <c r="F316" t="s">
        <v>229</v>
      </c>
      <c r="G316" s="8">
        <v>1.5768800000000001</v>
      </c>
      <c r="H316" s="25">
        <v>1.1000000000000001</v>
      </c>
    </row>
    <row r="317" spans="1:8" x14ac:dyDescent="0.25">
      <c r="A317">
        <v>202605</v>
      </c>
      <c r="B317" t="s">
        <v>39</v>
      </c>
      <c r="C317">
        <v>1760251526</v>
      </c>
      <c r="D317" t="s">
        <v>20</v>
      </c>
      <c r="E317" t="s">
        <v>26</v>
      </c>
      <c r="F317" t="s">
        <v>51</v>
      </c>
      <c r="G317" s="8">
        <v>1.0250999999999999</v>
      </c>
      <c r="H317" s="25">
        <v>0.6</v>
      </c>
    </row>
    <row r="318" spans="1:8" x14ac:dyDescent="0.25">
      <c r="A318">
        <v>202605</v>
      </c>
      <c r="B318" t="s">
        <v>39</v>
      </c>
      <c r="C318">
        <v>1760251933</v>
      </c>
      <c r="D318" t="s">
        <v>20</v>
      </c>
      <c r="E318" t="s">
        <v>21</v>
      </c>
      <c r="F318" t="s">
        <v>236</v>
      </c>
      <c r="G318" s="8">
        <v>0.3417</v>
      </c>
      <c r="H318" s="25">
        <v>1.2</v>
      </c>
    </row>
    <row r="319" spans="1:8" x14ac:dyDescent="0.25">
      <c r="A319">
        <v>202605</v>
      </c>
      <c r="B319" t="s">
        <v>39</v>
      </c>
      <c r="C319">
        <v>1760251940</v>
      </c>
      <c r="D319" t="s">
        <v>20</v>
      </c>
      <c r="E319" t="s">
        <v>21</v>
      </c>
      <c r="F319" t="s">
        <v>236</v>
      </c>
      <c r="G319" s="8">
        <v>0.3417</v>
      </c>
      <c r="H319" s="25">
        <v>1.2</v>
      </c>
    </row>
    <row r="320" spans="1:8" x14ac:dyDescent="0.25">
      <c r="A320">
        <v>202605</v>
      </c>
      <c r="B320" t="s">
        <v>39</v>
      </c>
      <c r="C320">
        <v>1760251950</v>
      </c>
      <c r="D320" t="s">
        <v>20</v>
      </c>
      <c r="E320" t="s">
        <v>21</v>
      </c>
      <c r="F320" t="s">
        <v>236</v>
      </c>
      <c r="G320" s="8">
        <v>0.3417</v>
      </c>
      <c r="H320" s="25">
        <v>1.2</v>
      </c>
    </row>
    <row r="321" spans="1:8" x14ac:dyDescent="0.25">
      <c r="A321">
        <v>202605</v>
      </c>
      <c r="B321" t="s">
        <v>39</v>
      </c>
      <c r="C321">
        <v>1760251968</v>
      </c>
      <c r="D321" t="s">
        <v>20</v>
      </c>
      <c r="E321" t="s">
        <v>21</v>
      </c>
      <c r="F321" t="s">
        <v>236</v>
      </c>
      <c r="G321" s="8">
        <v>0.167433</v>
      </c>
      <c r="H321" s="25">
        <v>1.2</v>
      </c>
    </row>
    <row r="322" spans="1:8" x14ac:dyDescent="0.25">
      <c r="A322">
        <v>202605</v>
      </c>
      <c r="B322" t="s">
        <v>39</v>
      </c>
      <c r="C322">
        <v>1760286613</v>
      </c>
      <c r="D322" t="s">
        <v>25</v>
      </c>
      <c r="E322" t="s">
        <v>26</v>
      </c>
      <c r="F322" t="s">
        <v>228</v>
      </c>
      <c r="G322" s="8">
        <v>0.2</v>
      </c>
      <c r="H322" s="25">
        <v>4.9000000000000004</v>
      </c>
    </row>
    <row r="323" spans="1:8" x14ac:dyDescent="0.25">
      <c r="A323">
        <v>202605</v>
      </c>
      <c r="B323" t="s">
        <v>39</v>
      </c>
      <c r="C323">
        <v>1760292486</v>
      </c>
      <c r="D323" t="s">
        <v>25</v>
      </c>
      <c r="E323" t="s">
        <v>21</v>
      </c>
      <c r="F323" t="s">
        <v>251</v>
      </c>
      <c r="G323" s="8">
        <v>1.3</v>
      </c>
      <c r="H323" s="25">
        <v>0.6</v>
      </c>
    </row>
    <row r="324" spans="1:8" x14ac:dyDescent="0.25">
      <c r="A324">
        <v>202605</v>
      </c>
      <c r="B324" t="s">
        <v>39</v>
      </c>
      <c r="C324">
        <v>1760349585</v>
      </c>
      <c r="D324" t="s">
        <v>25</v>
      </c>
      <c r="E324" t="s">
        <v>37</v>
      </c>
      <c r="F324" t="s">
        <v>255</v>
      </c>
      <c r="G324" s="8">
        <v>0.29793083000000004</v>
      </c>
      <c r="H324" s="25">
        <v>1.85</v>
      </c>
    </row>
    <row r="325" spans="1:8" x14ac:dyDescent="0.25">
      <c r="A325">
        <v>202605</v>
      </c>
      <c r="B325" t="s">
        <v>39</v>
      </c>
      <c r="C325">
        <v>1760349763</v>
      </c>
      <c r="D325" t="s">
        <v>25</v>
      </c>
      <c r="E325" t="s">
        <v>37</v>
      </c>
      <c r="F325" t="s">
        <v>256</v>
      </c>
      <c r="G325" s="8">
        <v>0.72894968999999998</v>
      </c>
      <c r="H325" s="25">
        <v>1.5</v>
      </c>
    </row>
    <row r="326" spans="1:8" x14ac:dyDescent="0.25">
      <c r="A326">
        <v>202605</v>
      </c>
      <c r="B326" t="s">
        <v>40</v>
      </c>
      <c r="C326">
        <v>1755943873</v>
      </c>
      <c r="D326" t="s">
        <v>20</v>
      </c>
      <c r="E326" t="s">
        <v>21</v>
      </c>
      <c r="F326" t="s">
        <v>65</v>
      </c>
      <c r="G326" s="8">
        <v>0.10403999999999999</v>
      </c>
      <c r="H326" s="25">
        <v>5.9</v>
      </c>
    </row>
    <row r="327" spans="1:8" x14ac:dyDescent="0.25">
      <c r="A327">
        <v>202605</v>
      </c>
      <c r="B327" t="s">
        <v>40</v>
      </c>
      <c r="C327">
        <v>1755949758</v>
      </c>
      <c r="D327" t="s">
        <v>25</v>
      </c>
      <c r="E327" t="s">
        <v>26</v>
      </c>
      <c r="F327" t="s">
        <v>60</v>
      </c>
      <c r="G327" s="8">
        <v>8.3000000000000004E-2</v>
      </c>
      <c r="H327" s="25">
        <v>4.9000000000000004</v>
      </c>
    </row>
    <row r="328" spans="1:8" x14ac:dyDescent="0.25">
      <c r="A328">
        <v>202605</v>
      </c>
      <c r="B328" t="s">
        <v>40</v>
      </c>
      <c r="C328">
        <v>1755953313</v>
      </c>
      <c r="D328" t="s">
        <v>20</v>
      </c>
      <c r="E328" t="s">
        <v>26</v>
      </c>
      <c r="F328" t="s">
        <v>62</v>
      </c>
      <c r="G328" s="8">
        <v>0.17294999999999999</v>
      </c>
      <c r="H328" s="25">
        <v>4.95</v>
      </c>
    </row>
    <row r="329" spans="1:8" x14ac:dyDescent="0.25">
      <c r="A329">
        <v>202605</v>
      </c>
      <c r="B329" t="s">
        <v>40</v>
      </c>
      <c r="C329">
        <v>1755954786</v>
      </c>
      <c r="D329" t="s">
        <v>25</v>
      </c>
      <c r="E329" t="s">
        <v>21</v>
      </c>
      <c r="F329" t="s">
        <v>92</v>
      </c>
      <c r="G329" s="8">
        <v>0.39</v>
      </c>
      <c r="H329" s="25">
        <v>1.2</v>
      </c>
    </row>
    <row r="330" spans="1:8" x14ac:dyDescent="0.25">
      <c r="A330">
        <v>202605</v>
      </c>
      <c r="B330" t="s">
        <v>40</v>
      </c>
      <c r="C330">
        <v>1760114960</v>
      </c>
      <c r="D330" t="s">
        <v>20</v>
      </c>
      <c r="E330" t="s">
        <v>26</v>
      </c>
      <c r="F330" t="s">
        <v>57</v>
      </c>
      <c r="G330" s="8">
        <v>0.68920000000000003</v>
      </c>
      <c r="H330" s="25">
        <v>1.93</v>
      </c>
    </row>
    <row r="331" spans="1:8" x14ac:dyDescent="0.25">
      <c r="A331">
        <v>202605</v>
      </c>
      <c r="B331" t="s">
        <v>40</v>
      </c>
      <c r="C331">
        <v>1760130249</v>
      </c>
      <c r="D331" t="s">
        <v>25</v>
      </c>
      <c r="E331" t="s">
        <v>26</v>
      </c>
      <c r="F331" t="s">
        <v>56</v>
      </c>
      <c r="G331" s="8">
        <v>3.5000000000000003E-2</v>
      </c>
      <c r="H331" s="25">
        <v>4.25</v>
      </c>
    </row>
    <row r="332" spans="1:8" x14ac:dyDescent="0.25">
      <c r="A332">
        <v>202605</v>
      </c>
      <c r="B332" t="s">
        <v>40</v>
      </c>
      <c r="C332">
        <v>1760130354</v>
      </c>
      <c r="D332" t="s">
        <v>25</v>
      </c>
      <c r="E332" t="s">
        <v>26</v>
      </c>
      <c r="F332" t="s">
        <v>56</v>
      </c>
      <c r="G332" s="8">
        <v>0.04</v>
      </c>
      <c r="H332" s="25">
        <v>4.25</v>
      </c>
    </row>
    <row r="333" spans="1:8" x14ac:dyDescent="0.25">
      <c r="A333">
        <v>202605</v>
      </c>
      <c r="B333" t="s">
        <v>40</v>
      </c>
      <c r="C333">
        <v>1760130389</v>
      </c>
      <c r="D333" t="s">
        <v>25</v>
      </c>
      <c r="E333" t="s">
        <v>26</v>
      </c>
      <c r="F333" t="s">
        <v>56</v>
      </c>
      <c r="G333" s="8">
        <v>5.5E-2</v>
      </c>
      <c r="H333" s="25">
        <v>4.25</v>
      </c>
    </row>
    <row r="334" spans="1:8" x14ac:dyDescent="0.25">
      <c r="A334">
        <v>202605</v>
      </c>
      <c r="B334" t="s">
        <v>40</v>
      </c>
      <c r="C334">
        <v>1760142920</v>
      </c>
      <c r="D334" t="s">
        <v>20</v>
      </c>
      <c r="E334" t="s">
        <v>26</v>
      </c>
      <c r="F334" t="s">
        <v>61</v>
      </c>
      <c r="G334" s="8">
        <v>0.19899800000000001</v>
      </c>
      <c r="H334" s="25">
        <v>2.35</v>
      </c>
    </row>
    <row r="335" spans="1:8" x14ac:dyDescent="0.25">
      <c r="A335">
        <v>202605</v>
      </c>
      <c r="B335" t="s">
        <v>40</v>
      </c>
      <c r="C335">
        <v>1760144100</v>
      </c>
      <c r="D335" t="s">
        <v>20</v>
      </c>
      <c r="E335" t="s">
        <v>26</v>
      </c>
      <c r="F335" t="s">
        <v>62</v>
      </c>
      <c r="G335" s="8">
        <v>0.17155000000000001</v>
      </c>
      <c r="H335" s="25">
        <v>4.95</v>
      </c>
    </row>
    <row r="336" spans="1:8" x14ac:dyDescent="0.25">
      <c r="A336">
        <v>202605</v>
      </c>
      <c r="B336" t="s">
        <v>40</v>
      </c>
      <c r="C336">
        <v>1760154090</v>
      </c>
      <c r="D336" t="s">
        <v>25</v>
      </c>
      <c r="E336" t="s">
        <v>26</v>
      </c>
      <c r="F336" t="s">
        <v>56</v>
      </c>
      <c r="G336" s="8">
        <v>2.9000000000000001E-2</v>
      </c>
      <c r="H336" s="25">
        <v>4.25</v>
      </c>
    </row>
    <row r="337" spans="1:8" x14ac:dyDescent="0.25">
      <c r="A337">
        <v>202605</v>
      </c>
      <c r="B337" t="s">
        <v>40</v>
      </c>
      <c r="C337">
        <v>1760154156</v>
      </c>
      <c r="D337" t="s">
        <v>25</v>
      </c>
      <c r="E337" t="s">
        <v>26</v>
      </c>
      <c r="F337" t="s">
        <v>56</v>
      </c>
      <c r="G337" s="8">
        <v>3.5000000000000003E-2</v>
      </c>
      <c r="H337" s="25">
        <v>4.25</v>
      </c>
    </row>
    <row r="338" spans="1:8" x14ac:dyDescent="0.25">
      <c r="A338">
        <v>202605</v>
      </c>
      <c r="B338" t="s">
        <v>40</v>
      </c>
      <c r="C338">
        <v>1760154164</v>
      </c>
      <c r="D338" t="s">
        <v>25</v>
      </c>
      <c r="E338" t="s">
        <v>26</v>
      </c>
      <c r="F338" t="s">
        <v>56</v>
      </c>
      <c r="G338" s="8">
        <v>0.05</v>
      </c>
      <c r="H338" s="25">
        <v>4.25</v>
      </c>
    </row>
    <row r="339" spans="1:8" x14ac:dyDescent="0.25">
      <c r="A339">
        <v>202605</v>
      </c>
      <c r="B339" t="s">
        <v>40</v>
      </c>
      <c r="C339">
        <v>1760164844</v>
      </c>
      <c r="D339" t="s">
        <v>25</v>
      </c>
      <c r="E339" t="s">
        <v>26</v>
      </c>
      <c r="F339" t="s">
        <v>56</v>
      </c>
      <c r="G339" s="8">
        <v>2.5000000000000001E-2</v>
      </c>
      <c r="H339" s="25">
        <v>4.25</v>
      </c>
    </row>
    <row r="340" spans="1:8" x14ac:dyDescent="0.25">
      <c r="A340">
        <v>202605</v>
      </c>
      <c r="B340" t="s">
        <v>40</v>
      </c>
      <c r="C340">
        <v>1760164879</v>
      </c>
      <c r="D340" t="s">
        <v>25</v>
      </c>
      <c r="E340" t="s">
        <v>26</v>
      </c>
      <c r="F340" t="s">
        <v>56</v>
      </c>
      <c r="G340" s="8">
        <v>2.7E-2</v>
      </c>
      <c r="H340" s="25">
        <v>4.25</v>
      </c>
    </row>
    <row r="341" spans="1:8" x14ac:dyDescent="0.25">
      <c r="A341">
        <v>202605</v>
      </c>
      <c r="B341" t="s">
        <v>40</v>
      </c>
      <c r="C341">
        <v>1760164984</v>
      </c>
      <c r="D341" t="s">
        <v>25</v>
      </c>
      <c r="E341" t="s">
        <v>26</v>
      </c>
      <c r="F341" t="s">
        <v>56</v>
      </c>
      <c r="G341" s="8">
        <v>0.04</v>
      </c>
      <c r="H341" s="25">
        <v>4.25</v>
      </c>
    </row>
    <row r="342" spans="1:8" x14ac:dyDescent="0.25">
      <c r="A342">
        <v>202605</v>
      </c>
      <c r="B342" t="s">
        <v>40</v>
      </c>
      <c r="C342">
        <v>1760165875</v>
      </c>
      <c r="D342" t="s">
        <v>20</v>
      </c>
      <c r="E342" t="s">
        <v>21</v>
      </c>
      <c r="F342" t="s">
        <v>65</v>
      </c>
      <c r="G342" s="8">
        <v>0.10248</v>
      </c>
      <c r="H342" s="25">
        <v>5.75</v>
      </c>
    </row>
    <row r="343" spans="1:8" x14ac:dyDescent="0.25">
      <c r="A343">
        <v>202605</v>
      </c>
      <c r="B343" t="s">
        <v>40</v>
      </c>
      <c r="C343">
        <v>1760167703</v>
      </c>
      <c r="D343" t="s">
        <v>20</v>
      </c>
      <c r="E343" t="s">
        <v>26</v>
      </c>
      <c r="F343" t="s">
        <v>95</v>
      </c>
      <c r="G343" s="8">
        <v>0.30743999999999999</v>
      </c>
      <c r="H343" s="25">
        <v>2.15</v>
      </c>
    </row>
    <row r="344" spans="1:8" x14ac:dyDescent="0.25">
      <c r="A344">
        <v>202605</v>
      </c>
      <c r="B344" t="s">
        <v>40</v>
      </c>
      <c r="C344">
        <v>1760170550</v>
      </c>
      <c r="D344" t="s">
        <v>20</v>
      </c>
      <c r="E344" t="s">
        <v>26</v>
      </c>
      <c r="F344" t="s">
        <v>62</v>
      </c>
      <c r="G344" s="8">
        <v>0.17080000000000001</v>
      </c>
      <c r="H344" s="25">
        <v>4.95</v>
      </c>
    </row>
    <row r="345" spans="1:8" x14ac:dyDescent="0.25">
      <c r="A345">
        <v>202605</v>
      </c>
      <c r="B345" t="s">
        <v>40</v>
      </c>
      <c r="C345">
        <v>1760177120</v>
      </c>
      <c r="D345" t="s">
        <v>20</v>
      </c>
      <c r="E345" t="s">
        <v>26</v>
      </c>
      <c r="F345" t="s">
        <v>57</v>
      </c>
      <c r="G345" s="8">
        <v>1.3720000000000001</v>
      </c>
      <c r="H345" s="25">
        <v>1.93</v>
      </c>
    </row>
    <row r="346" spans="1:8" x14ac:dyDescent="0.25">
      <c r="A346">
        <v>202605</v>
      </c>
      <c r="B346" t="s">
        <v>40</v>
      </c>
      <c r="C346">
        <v>1760247340</v>
      </c>
      <c r="D346" t="s">
        <v>20</v>
      </c>
      <c r="E346" t="s">
        <v>21</v>
      </c>
      <c r="F346" t="s">
        <v>65</v>
      </c>
      <c r="G346" s="8">
        <v>2.0501999999999999E-2</v>
      </c>
      <c r="H346" s="25">
        <v>6.25</v>
      </c>
    </row>
    <row r="347" spans="1:8" x14ac:dyDescent="0.25">
      <c r="A347">
        <v>202605</v>
      </c>
      <c r="B347" t="s">
        <v>40</v>
      </c>
      <c r="C347">
        <v>1760247420</v>
      </c>
      <c r="D347" t="s">
        <v>20</v>
      </c>
      <c r="E347" t="s">
        <v>21</v>
      </c>
      <c r="F347" t="s">
        <v>65</v>
      </c>
      <c r="G347" s="8">
        <v>0.10251</v>
      </c>
      <c r="H347" s="25">
        <v>6.25</v>
      </c>
    </row>
    <row r="348" spans="1:8" x14ac:dyDescent="0.25">
      <c r="A348">
        <v>202605</v>
      </c>
      <c r="B348" t="s">
        <v>40</v>
      </c>
      <c r="C348">
        <v>1760281182</v>
      </c>
      <c r="D348" t="s">
        <v>20</v>
      </c>
      <c r="E348" t="s">
        <v>21</v>
      </c>
      <c r="F348" t="s">
        <v>55</v>
      </c>
      <c r="G348" s="8">
        <v>0.90524000000000004</v>
      </c>
      <c r="H348" s="25">
        <v>5.45</v>
      </c>
    </row>
    <row r="349" spans="1:8" x14ac:dyDescent="0.25">
      <c r="A349">
        <v>202605</v>
      </c>
      <c r="B349" t="s">
        <v>40</v>
      </c>
      <c r="C349">
        <v>1760282669</v>
      </c>
      <c r="D349" t="s">
        <v>20</v>
      </c>
      <c r="E349" t="s">
        <v>66</v>
      </c>
      <c r="F349" t="s">
        <v>249</v>
      </c>
      <c r="G349" s="8">
        <v>0.6385358000000001</v>
      </c>
      <c r="H349" s="25">
        <v>0.9</v>
      </c>
    </row>
    <row r="350" spans="1:8" x14ac:dyDescent="0.25">
      <c r="A350">
        <v>202605</v>
      </c>
      <c r="B350" t="s">
        <v>40</v>
      </c>
      <c r="C350">
        <v>1760282707</v>
      </c>
      <c r="D350" t="s">
        <v>20</v>
      </c>
      <c r="E350" t="s">
        <v>66</v>
      </c>
      <c r="F350" t="s">
        <v>249</v>
      </c>
      <c r="G350" s="8">
        <v>1.0099404000000001</v>
      </c>
      <c r="H350" s="25">
        <v>0.9</v>
      </c>
    </row>
    <row r="351" spans="1:8" x14ac:dyDescent="0.25">
      <c r="A351">
        <v>202605</v>
      </c>
      <c r="B351" t="s">
        <v>40</v>
      </c>
      <c r="C351">
        <v>1760286036</v>
      </c>
      <c r="D351" t="s">
        <v>25</v>
      </c>
      <c r="E351" t="s">
        <v>26</v>
      </c>
      <c r="F351" t="s">
        <v>56</v>
      </c>
      <c r="G351" s="8">
        <v>4.1000000000000002E-2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1760286206</v>
      </c>
      <c r="D352" t="s">
        <v>25</v>
      </c>
      <c r="E352" t="s">
        <v>26</v>
      </c>
      <c r="F352" t="s">
        <v>56</v>
      </c>
      <c r="G352" s="8">
        <v>4.4999999999999998E-2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1760286230</v>
      </c>
      <c r="D353" t="s">
        <v>25</v>
      </c>
      <c r="E353" t="s">
        <v>26</v>
      </c>
      <c r="F353" t="s">
        <v>56</v>
      </c>
      <c r="G353" s="8">
        <v>7.4999999999999997E-2</v>
      </c>
      <c r="H353" s="25">
        <v>4.25</v>
      </c>
    </row>
    <row r="354" spans="1:8" x14ac:dyDescent="0.25">
      <c r="A354">
        <v>202605</v>
      </c>
      <c r="B354" t="s">
        <v>40</v>
      </c>
      <c r="C354">
        <v>1760344370</v>
      </c>
      <c r="D354" t="s">
        <v>20</v>
      </c>
      <c r="E354" t="s">
        <v>26</v>
      </c>
      <c r="F354" t="s">
        <v>64</v>
      </c>
      <c r="G354" s="8">
        <v>0.81253200000000003</v>
      </c>
      <c r="H354" s="25">
        <v>1.3</v>
      </c>
    </row>
    <row r="355" spans="1:8" x14ac:dyDescent="0.25">
      <c r="A355">
        <v>202605</v>
      </c>
      <c r="B355" t="s">
        <v>40</v>
      </c>
      <c r="C355">
        <v>1760346845</v>
      </c>
      <c r="D355" t="s">
        <v>20</v>
      </c>
      <c r="E355" t="s">
        <v>26</v>
      </c>
      <c r="F355" t="s">
        <v>57</v>
      </c>
      <c r="G355" s="8">
        <v>0.85350000000000004</v>
      </c>
      <c r="H355" s="25">
        <v>1.75</v>
      </c>
    </row>
    <row r="356" spans="1:8" x14ac:dyDescent="0.25">
      <c r="A356">
        <v>202605</v>
      </c>
      <c r="B356" t="s">
        <v>40</v>
      </c>
      <c r="C356">
        <v>1760349526</v>
      </c>
      <c r="D356" t="s">
        <v>20</v>
      </c>
      <c r="E356" t="s">
        <v>21</v>
      </c>
      <c r="F356" t="s">
        <v>257</v>
      </c>
      <c r="G356" s="8">
        <v>0.40967999999999999</v>
      </c>
      <c r="H356" s="25">
        <v>2.65</v>
      </c>
    </row>
    <row r="357" spans="1:8" x14ac:dyDescent="0.25">
      <c r="A357">
        <v>202605</v>
      </c>
      <c r="B357" t="s">
        <v>41</v>
      </c>
      <c r="C357">
        <v>1760161055</v>
      </c>
      <c r="D357" t="s">
        <v>20</v>
      </c>
      <c r="E357" t="s">
        <v>21</v>
      </c>
      <c r="F357" t="s">
        <v>145</v>
      </c>
      <c r="G357" s="8">
        <v>2.7391999999999999</v>
      </c>
      <c r="H357" s="25">
        <v>1.77</v>
      </c>
    </row>
    <row r="358" spans="1:8" x14ac:dyDescent="0.25">
      <c r="A358">
        <v>202605</v>
      </c>
      <c r="B358" t="s">
        <v>41</v>
      </c>
      <c r="C358">
        <v>1760292877</v>
      </c>
      <c r="D358" t="s">
        <v>25</v>
      </c>
      <c r="E358" t="s">
        <v>37</v>
      </c>
      <c r="F358" t="s">
        <v>148</v>
      </c>
      <c r="G358" s="8">
        <v>0.27646425000000002</v>
      </c>
      <c r="H358" s="25">
        <v>6.6</v>
      </c>
    </row>
    <row r="359" spans="1:8" x14ac:dyDescent="0.25">
      <c r="A359">
        <v>202605</v>
      </c>
      <c r="B359" t="s">
        <v>41</v>
      </c>
      <c r="C359">
        <v>1760293016</v>
      </c>
      <c r="D359" t="s">
        <v>25</v>
      </c>
      <c r="E359" t="s">
        <v>37</v>
      </c>
      <c r="F359" t="s">
        <v>148</v>
      </c>
      <c r="G359" s="8">
        <v>0.39344145000000003</v>
      </c>
      <c r="H359" s="25">
        <v>6.55</v>
      </c>
    </row>
    <row r="360" spans="1:8" x14ac:dyDescent="0.25">
      <c r="A360">
        <v>202605</v>
      </c>
      <c r="B360" t="s">
        <v>43</v>
      </c>
      <c r="C360">
        <v>1760170127</v>
      </c>
      <c r="D360" t="s">
        <v>20</v>
      </c>
      <c r="E360" t="s">
        <v>21</v>
      </c>
      <c r="F360" t="s">
        <v>149</v>
      </c>
      <c r="G360" s="8">
        <v>0.68320000000000003</v>
      </c>
      <c r="H360" s="25">
        <v>3.9</v>
      </c>
    </row>
    <row r="361" spans="1:8" x14ac:dyDescent="0.25">
      <c r="A361">
        <v>202605</v>
      </c>
      <c r="B361" t="s">
        <v>43</v>
      </c>
      <c r="C361">
        <v>1760182974</v>
      </c>
      <c r="D361" t="s">
        <v>20</v>
      </c>
      <c r="E361" t="s">
        <v>66</v>
      </c>
      <c r="F361" t="s">
        <v>210</v>
      </c>
      <c r="G361" s="8">
        <v>7.7175000000000002</v>
      </c>
      <c r="H361" s="25">
        <v>1.7</v>
      </c>
    </row>
    <row r="362" spans="1:8" x14ac:dyDescent="0.25">
      <c r="A362">
        <v>202605</v>
      </c>
      <c r="B362" t="s">
        <v>43</v>
      </c>
      <c r="C362">
        <v>1760183393</v>
      </c>
      <c r="D362" t="s">
        <v>20</v>
      </c>
      <c r="E362" t="s">
        <v>66</v>
      </c>
      <c r="F362" t="s">
        <v>210</v>
      </c>
      <c r="G362" s="8">
        <v>7.7175000000000002</v>
      </c>
      <c r="H362" s="25">
        <v>0</v>
      </c>
    </row>
    <row r="363" spans="1:8" x14ac:dyDescent="0.25">
      <c r="A363">
        <v>202605</v>
      </c>
      <c r="B363" t="s">
        <v>43</v>
      </c>
      <c r="C363">
        <v>1760223867</v>
      </c>
      <c r="D363" t="s">
        <v>20</v>
      </c>
      <c r="E363" t="s">
        <v>26</v>
      </c>
      <c r="F363" t="s">
        <v>237</v>
      </c>
      <c r="G363" s="8">
        <v>0.51165000000000005</v>
      </c>
      <c r="H363" s="25">
        <v>4.9000000000000004</v>
      </c>
    </row>
    <row r="364" spans="1:8" x14ac:dyDescent="0.25">
      <c r="A364">
        <v>202605</v>
      </c>
      <c r="B364" t="s">
        <v>43</v>
      </c>
      <c r="C364">
        <v>1760240443</v>
      </c>
      <c r="D364" t="s">
        <v>20</v>
      </c>
      <c r="E364" t="s">
        <v>26</v>
      </c>
      <c r="F364" t="s">
        <v>238</v>
      </c>
      <c r="G364" s="8">
        <v>3.415</v>
      </c>
      <c r="H364" s="25">
        <v>0.55000000000000004</v>
      </c>
    </row>
    <row r="365" spans="1:8" x14ac:dyDescent="0.25">
      <c r="A365">
        <v>202605</v>
      </c>
      <c r="B365" t="s">
        <v>43</v>
      </c>
      <c r="C365">
        <v>1760292109</v>
      </c>
      <c r="D365" t="s">
        <v>20</v>
      </c>
      <c r="E365" t="s">
        <v>21</v>
      </c>
      <c r="F365" t="s">
        <v>210</v>
      </c>
      <c r="G365" s="8">
        <v>8.5449999999999999</v>
      </c>
      <c r="H365" s="25">
        <v>0.95</v>
      </c>
    </row>
    <row r="366" spans="1:8" x14ac:dyDescent="0.25">
      <c r="A366">
        <v>202605</v>
      </c>
      <c r="B366" t="s">
        <v>35</v>
      </c>
      <c r="C366">
        <v>1755948913</v>
      </c>
      <c r="D366" t="s">
        <v>25</v>
      </c>
      <c r="E366" t="s">
        <v>21</v>
      </c>
      <c r="F366" t="s">
        <v>211</v>
      </c>
      <c r="G366" s="8">
        <v>1</v>
      </c>
      <c r="H366" s="25">
        <v>0.8</v>
      </c>
    </row>
    <row r="367" spans="1:8" x14ac:dyDescent="0.25">
      <c r="A367">
        <v>202605</v>
      </c>
      <c r="B367" t="s">
        <v>35</v>
      </c>
      <c r="C367">
        <v>1760135496</v>
      </c>
      <c r="D367" t="s">
        <v>20</v>
      </c>
      <c r="E367" t="s">
        <v>26</v>
      </c>
      <c r="F367" t="s">
        <v>212</v>
      </c>
      <c r="G367" s="8">
        <v>6.8680000000000003</v>
      </c>
      <c r="H367" s="25">
        <v>0.4</v>
      </c>
    </row>
    <row r="368" spans="1:8" x14ac:dyDescent="0.25">
      <c r="A368">
        <v>202605</v>
      </c>
      <c r="B368" t="s">
        <v>35</v>
      </c>
      <c r="C368">
        <v>1760142565</v>
      </c>
      <c r="D368" t="s">
        <v>25</v>
      </c>
      <c r="E368" t="s">
        <v>21</v>
      </c>
      <c r="F368" t="s">
        <v>213</v>
      </c>
      <c r="G368" s="8">
        <v>0.3458</v>
      </c>
      <c r="H368" s="25">
        <v>9.75</v>
      </c>
    </row>
    <row r="369" spans="1:8" x14ac:dyDescent="0.25">
      <c r="A369">
        <v>202605</v>
      </c>
      <c r="B369" t="s">
        <v>35</v>
      </c>
      <c r="C369">
        <v>1760148288</v>
      </c>
      <c r="D369" t="s">
        <v>20</v>
      </c>
      <c r="E369" t="s">
        <v>26</v>
      </c>
      <c r="F369" t="s">
        <v>154</v>
      </c>
      <c r="G369" s="8">
        <v>1.7155</v>
      </c>
      <c r="H369" s="25">
        <v>2.4500000000000002</v>
      </c>
    </row>
    <row r="370" spans="1:8" x14ac:dyDescent="0.25">
      <c r="A370">
        <v>202605</v>
      </c>
      <c r="B370" t="s">
        <v>35</v>
      </c>
      <c r="C370">
        <v>1760171573</v>
      </c>
      <c r="D370" t="s">
        <v>20</v>
      </c>
      <c r="E370" t="s">
        <v>66</v>
      </c>
      <c r="F370" t="s">
        <v>214</v>
      </c>
      <c r="G370" s="8">
        <v>1.708</v>
      </c>
      <c r="H370" s="25">
        <v>2.7</v>
      </c>
    </row>
    <row r="371" spans="1:8" x14ac:dyDescent="0.25">
      <c r="A371">
        <v>202605</v>
      </c>
      <c r="B371" t="s">
        <v>35</v>
      </c>
      <c r="C371">
        <v>1760266167</v>
      </c>
      <c r="D371" t="s">
        <v>20</v>
      </c>
      <c r="E371" t="s">
        <v>21</v>
      </c>
      <c r="F371" t="s">
        <v>153</v>
      </c>
      <c r="G371" s="8">
        <v>3.0726</v>
      </c>
      <c r="H371" s="25">
        <v>2.5</v>
      </c>
    </row>
    <row r="372" spans="1:8" x14ac:dyDescent="0.25">
      <c r="A372">
        <v>202605</v>
      </c>
      <c r="B372" t="s">
        <v>35</v>
      </c>
      <c r="C372">
        <v>1760274542</v>
      </c>
      <c r="D372" t="s">
        <v>20</v>
      </c>
      <c r="E372" t="s">
        <v>26</v>
      </c>
      <c r="F372" t="s">
        <v>154</v>
      </c>
      <c r="G372" s="8">
        <v>1.0247999999999999</v>
      </c>
      <c r="H372" s="25">
        <v>2.4500000000000002</v>
      </c>
    </row>
    <row r="373" spans="1:8" x14ac:dyDescent="0.25">
      <c r="A373">
        <v>202605</v>
      </c>
      <c r="B373" t="s">
        <v>35</v>
      </c>
      <c r="C373">
        <v>1760348988</v>
      </c>
      <c r="D373" t="s">
        <v>20</v>
      </c>
      <c r="E373" t="s">
        <v>21</v>
      </c>
      <c r="F373" t="s">
        <v>258</v>
      </c>
      <c r="G373" s="8">
        <v>1.3655999999999999</v>
      </c>
      <c r="H373" s="25">
        <v>6.2</v>
      </c>
    </row>
    <row r="374" spans="1:8" x14ac:dyDescent="0.25">
      <c r="A374">
        <v>202605</v>
      </c>
      <c r="B374" t="s">
        <v>36</v>
      </c>
      <c r="C374">
        <v>1755949553</v>
      </c>
      <c r="D374" t="s">
        <v>25</v>
      </c>
      <c r="E374" t="s">
        <v>21</v>
      </c>
      <c r="F374" t="s">
        <v>215</v>
      </c>
      <c r="G374" s="8">
        <v>1.0366291000000001</v>
      </c>
      <c r="H374" s="25">
        <v>5.2</v>
      </c>
    </row>
    <row r="375" spans="1:8" x14ac:dyDescent="0.25">
      <c r="A375">
        <v>202605</v>
      </c>
      <c r="B375" t="s">
        <v>36</v>
      </c>
      <c r="C375">
        <v>1755952546</v>
      </c>
      <c r="D375" t="s">
        <v>20</v>
      </c>
      <c r="E375" t="s">
        <v>26</v>
      </c>
      <c r="F375" t="s">
        <v>163</v>
      </c>
      <c r="G375" s="8">
        <v>0.41508</v>
      </c>
      <c r="H375" s="25">
        <v>3.5</v>
      </c>
    </row>
    <row r="376" spans="1:8" x14ac:dyDescent="0.25">
      <c r="A376">
        <v>202605</v>
      </c>
      <c r="B376" t="s">
        <v>36</v>
      </c>
      <c r="C376">
        <v>1760113182</v>
      </c>
      <c r="D376" t="s">
        <v>25</v>
      </c>
      <c r="E376" t="s">
        <v>21</v>
      </c>
      <c r="F376" t="s">
        <v>167</v>
      </c>
      <c r="G376" s="8">
        <v>0.35</v>
      </c>
      <c r="H376" s="25">
        <v>1.55</v>
      </c>
    </row>
    <row r="377" spans="1:8" x14ac:dyDescent="0.25">
      <c r="A377">
        <v>202605</v>
      </c>
      <c r="B377" t="s">
        <v>36</v>
      </c>
      <c r="C377">
        <v>1760113298</v>
      </c>
      <c r="D377" t="s">
        <v>25</v>
      </c>
      <c r="E377" t="s">
        <v>21</v>
      </c>
      <c r="F377" t="s">
        <v>167</v>
      </c>
      <c r="G377" s="8">
        <v>0.35</v>
      </c>
      <c r="H377" s="25">
        <v>1.55</v>
      </c>
    </row>
    <row r="378" spans="1:8" x14ac:dyDescent="0.25">
      <c r="A378">
        <v>202605</v>
      </c>
      <c r="B378" t="s">
        <v>36</v>
      </c>
      <c r="C378">
        <v>1760165506</v>
      </c>
      <c r="D378" t="s">
        <v>20</v>
      </c>
      <c r="E378" t="s">
        <v>66</v>
      </c>
      <c r="F378" t="s">
        <v>216</v>
      </c>
      <c r="G378" s="8">
        <v>2.0495999999999999</v>
      </c>
      <c r="H378" s="25">
        <v>1.3</v>
      </c>
    </row>
    <row r="379" spans="1:8" x14ac:dyDescent="0.25">
      <c r="A379">
        <v>202605</v>
      </c>
      <c r="B379" t="s">
        <v>36</v>
      </c>
      <c r="C379">
        <v>1760195766</v>
      </c>
      <c r="D379" t="s">
        <v>20</v>
      </c>
      <c r="E379" t="s">
        <v>21</v>
      </c>
      <c r="F379" t="s">
        <v>167</v>
      </c>
      <c r="G379" s="8">
        <v>0.34329999999999999</v>
      </c>
      <c r="H379" s="25">
        <v>1.8</v>
      </c>
    </row>
    <row r="380" spans="1:8" x14ac:dyDescent="0.25">
      <c r="A380">
        <v>202605</v>
      </c>
      <c r="B380" t="s">
        <v>36</v>
      </c>
      <c r="C380">
        <v>1760195847</v>
      </c>
      <c r="D380" t="s">
        <v>20</v>
      </c>
      <c r="E380" t="s">
        <v>21</v>
      </c>
      <c r="F380" t="s">
        <v>167</v>
      </c>
      <c r="G380" s="8">
        <v>0.34329999999999999</v>
      </c>
      <c r="H380" s="25">
        <v>1.8</v>
      </c>
    </row>
    <row r="381" spans="1:8" x14ac:dyDescent="0.25">
      <c r="A381">
        <v>202605</v>
      </c>
      <c r="B381" t="s">
        <v>36</v>
      </c>
      <c r="C381">
        <v>1760196096</v>
      </c>
      <c r="D381" t="s">
        <v>20</v>
      </c>
      <c r="E381" t="s">
        <v>21</v>
      </c>
      <c r="F381" t="s">
        <v>167</v>
      </c>
      <c r="G381" s="8">
        <v>0.34329999999999999</v>
      </c>
      <c r="H381" s="25">
        <v>1.8</v>
      </c>
    </row>
    <row r="382" spans="1:8" x14ac:dyDescent="0.25">
      <c r="A382">
        <v>202605</v>
      </c>
      <c r="B382" t="s">
        <v>36</v>
      </c>
      <c r="C382">
        <v>1760196185</v>
      </c>
      <c r="D382" t="s">
        <v>20</v>
      </c>
      <c r="E382" t="s">
        <v>21</v>
      </c>
      <c r="F382" t="s">
        <v>167</v>
      </c>
      <c r="G382" s="8">
        <v>0.34329999999999999</v>
      </c>
      <c r="H382" s="25">
        <v>1.8</v>
      </c>
    </row>
    <row r="383" spans="1:8" x14ac:dyDescent="0.25">
      <c r="A383">
        <v>202605</v>
      </c>
      <c r="B383" t="s">
        <v>36</v>
      </c>
      <c r="C383">
        <v>1760217816</v>
      </c>
      <c r="D383" t="s">
        <v>25</v>
      </c>
      <c r="E383" t="s">
        <v>21</v>
      </c>
      <c r="F383" t="s">
        <v>167</v>
      </c>
      <c r="G383" s="8">
        <v>0.35</v>
      </c>
      <c r="H383" s="25">
        <v>1.5</v>
      </c>
    </row>
    <row r="384" spans="1:8" x14ac:dyDescent="0.25">
      <c r="A384">
        <v>202605</v>
      </c>
      <c r="B384" t="s">
        <v>36</v>
      </c>
      <c r="C384">
        <v>1760223750</v>
      </c>
      <c r="D384" t="s">
        <v>25</v>
      </c>
      <c r="E384" t="s">
        <v>21</v>
      </c>
      <c r="F384" t="s">
        <v>167</v>
      </c>
      <c r="G384" s="8">
        <v>0.35</v>
      </c>
      <c r="H384" s="25">
        <v>1.5</v>
      </c>
    </row>
    <row r="385" spans="1:8" x14ac:dyDescent="0.25">
      <c r="A385">
        <v>202605</v>
      </c>
      <c r="B385" t="s">
        <v>36</v>
      </c>
      <c r="C385">
        <v>1760225916</v>
      </c>
      <c r="D385" t="s">
        <v>25</v>
      </c>
      <c r="E385" t="s">
        <v>21</v>
      </c>
      <c r="F385" t="s">
        <v>239</v>
      </c>
      <c r="G385" s="8">
        <v>0.91</v>
      </c>
      <c r="H385" s="25">
        <v>1.1200000000000001</v>
      </c>
    </row>
    <row r="386" spans="1:8" x14ac:dyDescent="0.25">
      <c r="A386">
        <v>202605</v>
      </c>
      <c r="B386" t="s">
        <v>36</v>
      </c>
      <c r="C386">
        <v>1760226040</v>
      </c>
      <c r="D386" t="s">
        <v>25</v>
      </c>
      <c r="E386" t="s">
        <v>21</v>
      </c>
      <c r="F386" t="s">
        <v>239</v>
      </c>
      <c r="G386" s="8">
        <v>0.91400000000000003</v>
      </c>
      <c r="H386" s="25">
        <v>1.1200000000000001</v>
      </c>
    </row>
    <row r="387" spans="1:8" x14ac:dyDescent="0.25">
      <c r="A387">
        <v>202605</v>
      </c>
      <c r="B387" t="s">
        <v>36</v>
      </c>
      <c r="C387">
        <v>1760226050</v>
      </c>
      <c r="D387" t="s">
        <v>25</v>
      </c>
      <c r="E387" t="s">
        <v>21</v>
      </c>
      <c r="F387" t="s">
        <v>239</v>
      </c>
      <c r="G387" s="8">
        <v>0.91800000000000004</v>
      </c>
      <c r="H387" s="25">
        <v>1.1200000000000001</v>
      </c>
    </row>
    <row r="388" spans="1:8" x14ac:dyDescent="0.25">
      <c r="A388">
        <v>202605</v>
      </c>
      <c r="B388" t="s">
        <v>36</v>
      </c>
      <c r="C388">
        <v>1760292354</v>
      </c>
      <c r="D388" t="s">
        <v>25</v>
      </c>
      <c r="E388" t="s">
        <v>21</v>
      </c>
      <c r="F388" t="s">
        <v>164</v>
      </c>
      <c r="G388" s="8">
        <v>1.3896999999999999</v>
      </c>
      <c r="H388" s="25">
        <v>0.75</v>
      </c>
    </row>
    <row r="389" spans="1:8" x14ac:dyDescent="0.25">
      <c r="A389">
        <v>202605</v>
      </c>
      <c r="B389" t="s">
        <v>290</v>
      </c>
      <c r="C389">
        <v>1755913140</v>
      </c>
      <c r="D389" t="s">
        <v>25</v>
      </c>
      <c r="E389" t="s">
        <v>21</v>
      </c>
      <c r="F389" t="s">
        <v>138</v>
      </c>
      <c r="G389" s="8">
        <v>4</v>
      </c>
      <c r="H389" s="25">
        <v>0.49</v>
      </c>
    </row>
    <row r="390" spans="1:8" x14ac:dyDescent="0.25">
      <c r="A390">
        <v>202605</v>
      </c>
      <c r="B390" t="s">
        <v>290</v>
      </c>
      <c r="C390">
        <v>1755935919</v>
      </c>
      <c r="D390" t="s">
        <v>20</v>
      </c>
      <c r="E390" t="s">
        <v>26</v>
      </c>
      <c r="F390" t="s">
        <v>193</v>
      </c>
      <c r="G390" s="8">
        <v>0.33263793647999995</v>
      </c>
      <c r="H390" s="25">
        <v>2.94</v>
      </c>
    </row>
    <row r="391" spans="1:8" x14ac:dyDescent="0.25">
      <c r="A391">
        <v>202605</v>
      </c>
      <c r="B391" t="s">
        <v>290</v>
      </c>
      <c r="C391">
        <v>1760113476</v>
      </c>
      <c r="D391" t="s">
        <v>20</v>
      </c>
      <c r="E391" t="s">
        <v>26</v>
      </c>
      <c r="F391" t="s">
        <v>118</v>
      </c>
      <c r="G391" s="8">
        <v>0.34460000000000002</v>
      </c>
      <c r="H391" s="25">
        <v>4.6900000000000004</v>
      </c>
    </row>
    <row r="392" spans="1:8" x14ac:dyDescent="0.25">
      <c r="A392">
        <v>202605</v>
      </c>
      <c r="B392" t="s">
        <v>290</v>
      </c>
      <c r="C392">
        <v>1760117072</v>
      </c>
      <c r="D392" t="s">
        <v>20</v>
      </c>
      <c r="E392" t="s">
        <v>21</v>
      </c>
      <c r="F392" t="s">
        <v>194</v>
      </c>
      <c r="G392" s="8">
        <v>0.55135999999999996</v>
      </c>
      <c r="H392" s="25">
        <v>3.7</v>
      </c>
    </row>
    <row r="393" spans="1:8" x14ac:dyDescent="0.25">
      <c r="A393">
        <v>202605</v>
      </c>
      <c r="B393" t="s">
        <v>290</v>
      </c>
      <c r="C393">
        <v>1760117080</v>
      </c>
      <c r="D393" t="s">
        <v>20</v>
      </c>
      <c r="E393" t="s">
        <v>26</v>
      </c>
      <c r="F393" t="s">
        <v>118</v>
      </c>
      <c r="G393" s="8">
        <v>0.34460000000000002</v>
      </c>
      <c r="H393" s="25">
        <v>4.6900000000000004</v>
      </c>
    </row>
    <row r="394" spans="1:8" x14ac:dyDescent="0.25">
      <c r="A394">
        <v>202605</v>
      </c>
      <c r="B394" t="s">
        <v>290</v>
      </c>
      <c r="C394">
        <v>1760120138</v>
      </c>
      <c r="D394" t="s">
        <v>20</v>
      </c>
      <c r="E394" t="s">
        <v>21</v>
      </c>
      <c r="F394" t="s">
        <v>194</v>
      </c>
      <c r="G394" s="8">
        <v>0.83393200000000001</v>
      </c>
      <c r="H394" s="25">
        <v>3.7</v>
      </c>
    </row>
    <row r="395" spans="1:8" x14ac:dyDescent="0.25">
      <c r="A395">
        <v>202605</v>
      </c>
      <c r="B395" t="s">
        <v>290</v>
      </c>
      <c r="C395">
        <v>1760120367</v>
      </c>
      <c r="D395" t="s">
        <v>20</v>
      </c>
      <c r="E395" t="s">
        <v>26</v>
      </c>
      <c r="F395" t="s">
        <v>195</v>
      </c>
      <c r="G395" s="8">
        <v>2.5809893875000003</v>
      </c>
      <c r="H395" s="25">
        <v>18.649999999999999</v>
      </c>
    </row>
    <row r="396" spans="1:8" x14ac:dyDescent="0.25">
      <c r="A396">
        <v>202605</v>
      </c>
      <c r="B396" t="s">
        <v>290</v>
      </c>
      <c r="C396">
        <v>1760167584</v>
      </c>
      <c r="D396" t="s">
        <v>25</v>
      </c>
      <c r="E396" t="s">
        <v>26</v>
      </c>
      <c r="F396" t="s">
        <v>206</v>
      </c>
      <c r="G396" s="8">
        <v>1.4</v>
      </c>
      <c r="H396" s="25">
        <v>0.9</v>
      </c>
    </row>
    <row r="397" spans="1:8" x14ac:dyDescent="0.25">
      <c r="A397">
        <v>202605</v>
      </c>
      <c r="B397" t="s">
        <v>290</v>
      </c>
      <c r="C397">
        <v>1760183350</v>
      </c>
      <c r="D397" t="s">
        <v>20</v>
      </c>
      <c r="E397" t="s">
        <v>26</v>
      </c>
      <c r="F397" t="s">
        <v>200</v>
      </c>
      <c r="G397" s="8">
        <v>0.11263091</v>
      </c>
      <c r="H397" s="25">
        <v>4.84</v>
      </c>
    </row>
    <row r="398" spans="1:8" x14ac:dyDescent="0.25">
      <c r="A398">
        <v>202605</v>
      </c>
      <c r="B398" t="s">
        <v>290</v>
      </c>
      <c r="C398">
        <v>1760183440</v>
      </c>
      <c r="D398" t="s">
        <v>25</v>
      </c>
      <c r="E398" t="s">
        <v>26</v>
      </c>
      <c r="F398" t="s">
        <v>207</v>
      </c>
      <c r="G398" s="8">
        <v>0.6</v>
      </c>
      <c r="H398" s="25">
        <v>1.1299999999999999</v>
      </c>
    </row>
    <row r="399" spans="1:8" x14ac:dyDescent="0.25">
      <c r="A399">
        <v>202605</v>
      </c>
      <c r="B399" t="s">
        <v>290</v>
      </c>
      <c r="C399">
        <v>1760239470</v>
      </c>
      <c r="D399" t="s">
        <v>20</v>
      </c>
      <c r="E399" t="s">
        <v>26</v>
      </c>
      <c r="F399" t="s">
        <v>206</v>
      </c>
      <c r="G399" s="8">
        <v>1.499185</v>
      </c>
      <c r="H399" s="25">
        <v>1</v>
      </c>
    </row>
    <row r="400" spans="1:8" x14ac:dyDescent="0.25">
      <c r="A400">
        <v>202605</v>
      </c>
      <c r="B400" t="s">
        <v>290</v>
      </c>
      <c r="C400">
        <v>1760273767</v>
      </c>
      <c r="D400" t="s">
        <v>25</v>
      </c>
      <c r="E400" t="s">
        <v>26</v>
      </c>
      <c r="F400" t="s">
        <v>137</v>
      </c>
      <c r="G400" s="8">
        <v>0.94</v>
      </c>
      <c r="H400" s="25">
        <v>1.1499999999999999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217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217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218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218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218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66</v>
      </c>
      <c r="F406" t="s">
        <v>172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219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220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220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179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174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240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241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248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248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248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248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248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248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248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248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248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248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66</v>
      </c>
      <c r="F424" t="s">
        <v>172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170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80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80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75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96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230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231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80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242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242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68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250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80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75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231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73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73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73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73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78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94</v>
      </c>
      <c r="C445">
        <v>1755938012</v>
      </c>
      <c r="D445" t="s">
        <v>20</v>
      </c>
      <c r="E445" t="s">
        <v>26</v>
      </c>
      <c r="F445" t="s">
        <v>221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94</v>
      </c>
      <c r="C446">
        <v>1755942877</v>
      </c>
      <c r="D446" t="s">
        <v>20</v>
      </c>
      <c r="E446" t="s">
        <v>26</v>
      </c>
      <c r="F446" t="s">
        <v>221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94</v>
      </c>
      <c r="C447">
        <v>1760217719</v>
      </c>
      <c r="D447" t="s">
        <v>20</v>
      </c>
      <c r="E447" t="s">
        <v>26</v>
      </c>
      <c r="F447" t="s">
        <v>232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94</v>
      </c>
      <c r="C448">
        <v>1760218642</v>
      </c>
      <c r="D448" t="s">
        <v>20</v>
      </c>
      <c r="E448" t="s">
        <v>26</v>
      </c>
      <c r="F448" t="s">
        <v>183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94</v>
      </c>
      <c r="C449">
        <v>1760231118</v>
      </c>
      <c r="D449" t="s">
        <v>20</v>
      </c>
      <c r="E449" t="s">
        <v>26</v>
      </c>
      <c r="F449" t="s">
        <v>232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94</v>
      </c>
      <c r="C450">
        <v>1760236179</v>
      </c>
      <c r="D450" t="s">
        <v>20</v>
      </c>
      <c r="E450" t="s">
        <v>21</v>
      </c>
      <c r="F450" t="s">
        <v>243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94</v>
      </c>
      <c r="C451">
        <v>1760236209</v>
      </c>
      <c r="D451" t="s">
        <v>20</v>
      </c>
      <c r="E451" t="s">
        <v>21</v>
      </c>
      <c r="F451" t="s">
        <v>243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253</v>
      </c>
      <c r="C452">
        <v>1755954840</v>
      </c>
      <c r="D452" t="s">
        <v>20</v>
      </c>
      <c r="E452" t="s">
        <v>37</v>
      </c>
      <c r="F452" t="s">
        <v>222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253</v>
      </c>
      <c r="C453">
        <v>1760176834</v>
      </c>
      <c r="D453" t="s">
        <v>25</v>
      </c>
      <c r="E453" t="s">
        <v>37</v>
      </c>
      <c r="F453" t="s">
        <v>223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253</v>
      </c>
      <c r="C454">
        <v>1760223824</v>
      </c>
      <c r="D454" t="s">
        <v>25</v>
      </c>
      <c r="E454" t="s">
        <v>37</v>
      </c>
      <c r="F454" t="s">
        <v>244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253</v>
      </c>
      <c r="C455">
        <v>1760349968</v>
      </c>
      <c r="D455" t="s">
        <v>25</v>
      </c>
      <c r="E455" t="s">
        <v>37</v>
      </c>
      <c r="F455" t="s">
        <v>259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97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245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260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87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224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225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225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226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226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226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189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246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226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189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98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98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275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19</v>
      </c>
      <c r="C473">
        <v>1764570430</v>
      </c>
      <c r="D473" t="s">
        <v>25</v>
      </c>
      <c r="E473" t="s">
        <v>21</v>
      </c>
      <c r="F473" t="s">
        <v>279</v>
      </c>
      <c r="G473" s="8">
        <v>0.67200000000000004</v>
      </c>
      <c r="H473" s="25">
        <v>3.25</v>
      </c>
    </row>
    <row r="474" spans="1:8" x14ac:dyDescent="0.25">
      <c r="A474">
        <v>202606</v>
      </c>
      <c r="B474" t="s">
        <v>19</v>
      </c>
      <c r="C474">
        <v>1764583825</v>
      </c>
      <c r="D474" t="s">
        <v>25</v>
      </c>
      <c r="E474" t="s">
        <v>21</v>
      </c>
      <c r="F474" t="s">
        <v>280</v>
      </c>
      <c r="G474" s="8">
        <v>0.33600000000000002</v>
      </c>
      <c r="H474" s="25">
        <v>3.25</v>
      </c>
    </row>
    <row r="475" spans="1:8" x14ac:dyDescent="0.25">
      <c r="A475">
        <v>202606</v>
      </c>
      <c r="B475" t="s">
        <v>19</v>
      </c>
      <c r="C475">
        <v>1764603760</v>
      </c>
      <c r="D475" t="s">
        <v>20</v>
      </c>
      <c r="E475" t="s">
        <v>21</v>
      </c>
      <c r="F475" t="s">
        <v>102</v>
      </c>
      <c r="G475" s="8">
        <v>7.1000999999999995E-2</v>
      </c>
      <c r="H475" s="25">
        <v>4.2</v>
      </c>
    </row>
    <row r="476" spans="1:8" x14ac:dyDescent="0.25">
      <c r="A476">
        <v>202606</v>
      </c>
      <c r="B476" t="s">
        <v>19</v>
      </c>
      <c r="C476">
        <v>1764619412</v>
      </c>
      <c r="D476" t="s">
        <v>20</v>
      </c>
      <c r="E476" t="s">
        <v>21</v>
      </c>
      <c r="F476" t="s">
        <v>102</v>
      </c>
      <c r="G476" s="8">
        <v>7.7762999999999999E-2</v>
      </c>
      <c r="H476" s="25">
        <v>4.0999999999999996</v>
      </c>
    </row>
    <row r="477" spans="1:8" x14ac:dyDescent="0.25">
      <c r="A477">
        <v>202606</v>
      </c>
      <c r="B477" t="s">
        <v>28</v>
      </c>
      <c r="C477">
        <v>1760402656</v>
      </c>
      <c r="D477" t="s">
        <v>20</v>
      </c>
      <c r="E477" t="s">
        <v>21</v>
      </c>
      <c r="F477" t="s">
        <v>107</v>
      </c>
      <c r="G477" s="8">
        <v>0.85375000000000001</v>
      </c>
      <c r="H477" s="25">
        <v>0.6</v>
      </c>
    </row>
    <row r="478" spans="1:8" x14ac:dyDescent="0.25">
      <c r="A478">
        <v>202606</v>
      </c>
      <c r="B478" t="s">
        <v>28</v>
      </c>
      <c r="C478">
        <v>1764569253</v>
      </c>
      <c r="D478" t="s">
        <v>20</v>
      </c>
      <c r="E478" t="s">
        <v>26</v>
      </c>
      <c r="F478" t="s">
        <v>112</v>
      </c>
      <c r="G478" s="8">
        <v>2.3702000000000001</v>
      </c>
      <c r="H478" s="25">
        <v>0.3</v>
      </c>
    </row>
    <row r="479" spans="1:8" x14ac:dyDescent="0.25">
      <c r="A479">
        <v>202606</v>
      </c>
      <c r="B479" t="s">
        <v>28</v>
      </c>
      <c r="C479">
        <v>1764607790</v>
      </c>
      <c r="D479" t="s">
        <v>20</v>
      </c>
      <c r="E479" t="s">
        <v>21</v>
      </c>
      <c r="F479" t="s">
        <v>191</v>
      </c>
      <c r="G479" s="8">
        <v>0.44005</v>
      </c>
      <c r="H479" s="25">
        <v>1.75</v>
      </c>
    </row>
    <row r="480" spans="1:8" x14ac:dyDescent="0.25">
      <c r="A480">
        <v>202606</v>
      </c>
      <c r="B480" t="s">
        <v>28</v>
      </c>
      <c r="C480">
        <v>1764609697</v>
      </c>
      <c r="D480" t="s">
        <v>20</v>
      </c>
      <c r="E480" t="s">
        <v>26</v>
      </c>
      <c r="F480" t="s">
        <v>287</v>
      </c>
      <c r="G480" s="8">
        <v>0.31066176000000001</v>
      </c>
      <c r="H480" s="25">
        <v>3.4</v>
      </c>
    </row>
    <row r="481" spans="1:8" x14ac:dyDescent="0.25">
      <c r="A481">
        <v>202606</v>
      </c>
      <c r="B481" t="s">
        <v>28</v>
      </c>
      <c r="C481">
        <v>1764618238</v>
      </c>
      <c r="D481" t="s">
        <v>20</v>
      </c>
      <c r="E481" t="s">
        <v>21</v>
      </c>
      <c r="F481" t="s">
        <v>107</v>
      </c>
      <c r="G481" s="8">
        <v>0.72015300000000004</v>
      </c>
      <c r="H481" s="25">
        <v>0.55000000000000004</v>
      </c>
    </row>
    <row r="482" spans="1:8" x14ac:dyDescent="0.25">
      <c r="A482">
        <v>202606</v>
      </c>
      <c r="B482" t="s">
        <v>28</v>
      </c>
      <c r="C482">
        <v>1764645723</v>
      </c>
      <c r="D482" t="s">
        <v>25</v>
      </c>
      <c r="E482" t="s">
        <v>26</v>
      </c>
      <c r="F482" t="s">
        <v>105</v>
      </c>
      <c r="G482" s="8">
        <v>0.1164</v>
      </c>
      <c r="H482" s="25">
        <v>2.5099999999999998</v>
      </c>
    </row>
    <row r="483" spans="1:8" x14ac:dyDescent="0.25">
      <c r="A483">
        <v>202606</v>
      </c>
      <c r="B483" t="s">
        <v>28</v>
      </c>
      <c r="C483">
        <v>1764649010</v>
      </c>
      <c r="D483" t="s">
        <v>20</v>
      </c>
      <c r="E483" t="s">
        <v>26</v>
      </c>
      <c r="F483" t="s">
        <v>247</v>
      </c>
      <c r="G483" s="8">
        <v>0.85150000000000003</v>
      </c>
      <c r="H483" s="25">
        <v>1.0900000000000001</v>
      </c>
    </row>
    <row r="484" spans="1:8" x14ac:dyDescent="0.25">
      <c r="A484">
        <v>202606</v>
      </c>
      <c r="B484" t="s">
        <v>28</v>
      </c>
      <c r="C484">
        <v>1764649788</v>
      </c>
      <c r="D484" t="s">
        <v>20</v>
      </c>
      <c r="E484" t="s">
        <v>21</v>
      </c>
      <c r="F484" t="s">
        <v>247</v>
      </c>
      <c r="G484" s="8">
        <v>1.7030000000000001</v>
      </c>
      <c r="H484" s="25">
        <v>1.0900000000000001</v>
      </c>
    </row>
    <row r="485" spans="1:8" x14ac:dyDescent="0.25">
      <c r="A485">
        <v>202606</v>
      </c>
      <c r="B485" t="s">
        <v>28</v>
      </c>
      <c r="C485">
        <v>1764654706</v>
      </c>
      <c r="D485" t="s">
        <v>20</v>
      </c>
      <c r="E485" t="s">
        <v>26</v>
      </c>
      <c r="F485" t="s">
        <v>192</v>
      </c>
      <c r="G485" s="8">
        <v>1.0266</v>
      </c>
      <c r="H485" s="25">
        <v>0.9</v>
      </c>
    </row>
    <row r="486" spans="1:8" x14ac:dyDescent="0.25">
      <c r="A486">
        <v>202606</v>
      </c>
      <c r="B486" t="s">
        <v>28</v>
      </c>
      <c r="C486">
        <v>1764674383</v>
      </c>
      <c r="D486" t="s">
        <v>20</v>
      </c>
      <c r="E486" t="s">
        <v>26</v>
      </c>
      <c r="F486" t="s">
        <v>291</v>
      </c>
      <c r="G486" s="8">
        <v>1.1634800000000001</v>
      </c>
      <c r="H486" s="25">
        <v>3.15</v>
      </c>
    </row>
    <row r="487" spans="1:8" x14ac:dyDescent="0.25">
      <c r="A487">
        <v>202606</v>
      </c>
      <c r="B487" t="s">
        <v>28</v>
      </c>
      <c r="C487">
        <v>1764677889</v>
      </c>
      <c r="D487" t="s">
        <v>20</v>
      </c>
      <c r="E487" t="s">
        <v>26</v>
      </c>
      <c r="F487" t="s">
        <v>112</v>
      </c>
      <c r="G487" s="8">
        <v>1.3648</v>
      </c>
      <c r="H487" s="25">
        <v>0.3</v>
      </c>
    </row>
    <row r="488" spans="1:8" x14ac:dyDescent="0.25">
      <c r="A488">
        <v>202606</v>
      </c>
      <c r="B488" t="s">
        <v>28</v>
      </c>
      <c r="C488">
        <v>1764682688</v>
      </c>
      <c r="D488" t="s">
        <v>20</v>
      </c>
      <c r="E488" t="s">
        <v>26</v>
      </c>
      <c r="F488" t="s">
        <v>112</v>
      </c>
      <c r="G488" s="8">
        <v>5.1180000000000003</v>
      </c>
      <c r="H488" s="25">
        <v>0.3</v>
      </c>
    </row>
    <row r="489" spans="1:8" x14ac:dyDescent="0.25">
      <c r="A489">
        <v>202606</v>
      </c>
      <c r="B489" t="s">
        <v>93</v>
      </c>
      <c r="C489">
        <v>1760379450</v>
      </c>
      <c r="D489" t="s">
        <v>20</v>
      </c>
      <c r="E489" t="s">
        <v>26</v>
      </c>
      <c r="F489" t="s">
        <v>116</v>
      </c>
      <c r="G489" s="8">
        <v>0.12014203733999999</v>
      </c>
      <c r="H489" s="25">
        <v>2.94</v>
      </c>
    </row>
    <row r="490" spans="1:8" x14ac:dyDescent="0.25">
      <c r="A490">
        <v>202606</v>
      </c>
      <c r="B490" t="s">
        <v>93</v>
      </c>
      <c r="C490">
        <v>1760409448</v>
      </c>
      <c r="D490" t="s">
        <v>20</v>
      </c>
      <c r="E490" t="s">
        <v>26</v>
      </c>
      <c r="F490" t="s">
        <v>116</v>
      </c>
      <c r="G490" s="8">
        <v>0.10516167058000001</v>
      </c>
      <c r="H490" s="25">
        <v>2.94</v>
      </c>
    </row>
    <row r="491" spans="1:8" x14ac:dyDescent="0.25">
      <c r="A491">
        <v>202606</v>
      </c>
      <c r="B491" t="s">
        <v>93</v>
      </c>
      <c r="C491">
        <v>1764564715</v>
      </c>
      <c r="D491" t="s">
        <v>20</v>
      </c>
      <c r="E491" t="s">
        <v>21</v>
      </c>
      <c r="F491" t="s">
        <v>114</v>
      </c>
      <c r="G491" s="8">
        <v>0.67720000000000002</v>
      </c>
      <c r="H491" s="25">
        <v>1</v>
      </c>
    </row>
    <row r="492" spans="1:8" x14ac:dyDescent="0.25">
      <c r="A492">
        <v>202606</v>
      </c>
      <c r="B492" t="s">
        <v>93</v>
      </c>
      <c r="C492">
        <v>1764584813</v>
      </c>
      <c r="D492" t="s">
        <v>20</v>
      </c>
      <c r="E492" t="s">
        <v>26</v>
      </c>
      <c r="F492" t="s">
        <v>196</v>
      </c>
      <c r="G492" s="8">
        <v>3.3809999999999998</v>
      </c>
      <c r="H492" s="25">
        <v>1.5</v>
      </c>
    </row>
    <row r="493" spans="1:8" x14ac:dyDescent="0.25">
      <c r="A493">
        <v>202606</v>
      </c>
      <c r="B493" t="s">
        <v>93</v>
      </c>
      <c r="C493">
        <v>1764619358</v>
      </c>
      <c r="D493" t="s">
        <v>20</v>
      </c>
      <c r="E493" t="s">
        <v>26</v>
      </c>
      <c r="F493" t="s">
        <v>116</v>
      </c>
      <c r="G493" s="8">
        <v>0.17066784231000001</v>
      </c>
      <c r="H493" s="25">
        <v>2.74</v>
      </c>
    </row>
    <row r="494" spans="1:8" x14ac:dyDescent="0.25">
      <c r="A494">
        <v>202606</v>
      </c>
      <c r="B494" t="s">
        <v>93</v>
      </c>
      <c r="C494">
        <v>1764645227</v>
      </c>
      <c r="D494" t="s">
        <v>20</v>
      </c>
      <c r="E494" t="s">
        <v>26</v>
      </c>
      <c r="F494" t="s">
        <v>116</v>
      </c>
      <c r="G494" s="8">
        <v>0.20672972450000002</v>
      </c>
      <c r="H494" s="25">
        <v>2.74</v>
      </c>
    </row>
    <row r="495" spans="1:8" x14ac:dyDescent="0.25">
      <c r="A495">
        <v>202606</v>
      </c>
      <c r="B495" t="s">
        <v>93</v>
      </c>
      <c r="C495">
        <v>1764672348</v>
      </c>
      <c r="D495" t="s">
        <v>20</v>
      </c>
      <c r="E495" t="s">
        <v>26</v>
      </c>
      <c r="F495" t="s">
        <v>116</v>
      </c>
      <c r="G495" s="8">
        <v>5.2550319419999998E-2</v>
      </c>
      <c r="H495" s="25">
        <v>2.74</v>
      </c>
    </row>
    <row r="496" spans="1:8" x14ac:dyDescent="0.25">
      <c r="A496">
        <v>202606</v>
      </c>
      <c r="B496" t="s">
        <v>32</v>
      </c>
      <c r="C496">
        <v>1760358990</v>
      </c>
      <c r="D496" t="s">
        <v>25</v>
      </c>
      <c r="E496" t="s">
        <v>37</v>
      </c>
      <c r="F496" t="s">
        <v>124</v>
      </c>
      <c r="G496" s="8">
        <v>1.54617194</v>
      </c>
      <c r="H496" s="25">
        <v>0.85</v>
      </c>
    </row>
    <row r="497" spans="1:8" x14ac:dyDescent="0.25">
      <c r="A497">
        <v>202606</v>
      </c>
      <c r="B497" t="s">
        <v>32</v>
      </c>
      <c r="C497">
        <v>1760379352</v>
      </c>
      <c r="D497" t="s">
        <v>20</v>
      </c>
      <c r="E497" t="s">
        <v>26</v>
      </c>
      <c r="F497" t="s">
        <v>262</v>
      </c>
      <c r="G497" s="8">
        <v>0.68220000000000003</v>
      </c>
      <c r="H497" s="25">
        <v>0.98</v>
      </c>
    </row>
    <row r="498" spans="1:8" x14ac:dyDescent="0.25">
      <c r="A498">
        <v>202606</v>
      </c>
      <c r="B498" t="s">
        <v>32</v>
      </c>
      <c r="C498">
        <v>1764536126</v>
      </c>
      <c r="D498" t="s">
        <v>25</v>
      </c>
      <c r="E498" t="s">
        <v>37</v>
      </c>
      <c r="F498" t="s">
        <v>122</v>
      </c>
      <c r="G498" s="8">
        <v>0.35023462</v>
      </c>
      <c r="H498" s="25">
        <v>4.3</v>
      </c>
    </row>
    <row r="499" spans="1:8" x14ac:dyDescent="0.25">
      <c r="A499">
        <v>202606</v>
      </c>
      <c r="B499" t="s">
        <v>32</v>
      </c>
      <c r="C499">
        <v>1764541103</v>
      </c>
      <c r="D499" t="s">
        <v>25</v>
      </c>
      <c r="E499" t="s">
        <v>26</v>
      </c>
      <c r="F499" t="s">
        <v>125</v>
      </c>
      <c r="G499" s="8">
        <v>0.26800000000000002</v>
      </c>
      <c r="H499" s="25">
        <v>2.75</v>
      </c>
    </row>
    <row r="500" spans="1:8" x14ac:dyDescent="0.25">
      <c r="A500">
        <v>202606</v>
      </c>
      <c r="B500" t="s">
        <v>32</v>
      </c>
      <c r="C500">
        <v>1764541928</v>
      </c>
      <c r="D500" t="s">
        <v>25</v>
      </c>
      <c r="E500" t="s">
        <v>21</v>
      </c>
      <c r="F500" t="s">
        <v>271</v>
      </c>
      <c r="G500" s="8">
        <v>1.37</v>
      </c>
      <c r="H500" s="25">
        <v>3.78</v>
      </c>
    </row>
    <row r="501" spans="1:8" x14ac:dyDescent="0.25">
      <c r="A501">
        <v>202606</v>
      </c>
      <c r="B501" t="s">
        <v>32</v>
      </c>
      <c r="C501">
        <v>1764563263</v>
      </c>
      <c r="D501" t="s">
        <v>20</v>
      </c>
      <c r="E501" t="s">
        <v>21</v>
      </c>
      <c r="F501" t="s">
        <v>281</v>
      </c>
      <c r="G501" s="8">
        <v>0.33860000000000001</v>
      </c>
      <c r="H501" s="25">
        <v>2</v>
      </c>
    </row>
    <row r="502" spans="1:8" x14ac:dyDescent="0.25">
      <c r="A502">
        <v>202606</v>
      </c>
      <c r="B502" t="s">
        <v>32</v>
      </c>
      <c r="C502">
        <v>1764594320</v>
      </c>
      <c r="D502" t="s">
        <v>20</v>
      </c>
      <c r="E502" t="s">
        <v>26</v>
      </c>
      <c r="F502" t="s">
        <v>126</v>
      </c>
      <c r="G502" s="8">
        <v>0.16894999999999999</v>
      </c>
      <c r="H502" s="25">
        <v>5.45</v>
      </c>
    </row>
    <row r="503" spans="1:8" x14ac:dyDescent="0.25">
      <c r="A503">
        <v>202606</v>
      </c>
      <c r="B503" t="s">
        <v>32</v>
      </c>
      <c r="C503">
        <v>1764653520</v>
      </c>
      <c r="D503" t="s">
        <v>25</v>
      </c>
      <c r="E503" t="s">
        <v>37</v>
      </c>
      <c r="F503" t="s">
        <v>124</v>
      </c>
      <c r="G503" s="8">
        <v>0.52874874999999999</v>
      </c>
      <c r="H503" s="25">
        <v>0.75</v>
      </c>
    </row>
    <row r="504" spans="1:8" x14ac:dyDescent="0.25">
      <c r="A504">
        <v>202606</v>
      </c>
      <c r="B504" t="s">
        <v>32</v>
      </c>
      <c r="C504">
        <v>1764682670</v>
      </c>
      <c r="D504" t="s">
        <v>25</v>
      </c>
      <c r="E504" t="s">
        <v>37</v>
      </c>
      <c r="F504" t="s">
        <v>124</v>
      </c>
      <c r="G504" s="8">
        <v>0.95698775999999997</v>
      </c>
      <c r="H504" s="25">
        <v>0.75</v>
      </c>
    </row>
    <row r="505" spans="1:8" x14ac:dyDescent="0.25">
      <c r="A505">
        <v>202606</v>
      </c>
      <c r="B505" t="s">
        <v>32</v>
      </c>
      <c r="C505">
        <v>1764684230</v>
      </c>
      <c r="D505" t="s">
        <v>25</v>
      </c>
      <c r="E505" t="s">
        <v>21</v>
      </c>
      <c r="F505" t="s">
        <v>139</v>
      </c>
      <c r="G505" s="8">
        <v>20</v>
      </c>
      <c r="H505" s="25">
        <v>0.3</v>
      </c>
    </row>
    <row r="506" spans="1:8" x14ac:dyDescent="0.25">
      <c r="A506">
        <v>202606</v>
      </c>
      <c r="B506" t="s">
        <v>252</v>
      </c>
      <c r="C506">
        <v>1764560280</v>
      </c>
      <c r="D506" t="s">
        <v>20</v>
      </c>
      <c r="E506" t="s">
        <v>37</v>
      </c>
      <c r="F506" t="s">
        <v>204</v>
      </c>
      <c r="G506" s="8">
        <v>5.7150179839999996E-2</v>
      </c>
      <c r="H506" s="25">
        <v>5.15</v>
      </c>
    </row>
    <row r="507" spans="1:8" x14ac:dyDescent="0.25">
      <c r="A507">
        <v>202606</v>
      </c>
      <c r="B507" t="s">
        <v>252</v>
      </c>
      <c r="C507">
        <v>1764570456</v>
      </c>
      <c r="D507" t="s">
        <v>20</v>
      </c>
      <c r="E507" t="s">
        <v>37</v>
      </c>
      <c r="F507" t="s">
        <v>204</v>
      </c>
      <c r="G507" s="8">
        <v>6.3618233460000007E-2</v>
      </c>
      <c r="H507" s="25">
        <v>5.15</v>
      </c>
    </row>
    <row r="508" spans="1:8" x14ac:dyDescent="0.25">
      <c r="A508">
        <v>202606</v>
      </c>
      <c r="B508" t="s">
        <v>289</v>
      </c>
      <c r="C508">
        <v>1764530420</v>
      </c>
      <c r="D508" t="s">
        <v>20</v>
      </c>
      <c r="E508" t="s">
        <v>26</v>
      </c>
      <c r="F508" t="s">
        <v>274</v>
      </c>
      <c r="G508" s="8">
        <v>1.2047000000000001</v>
      </c>
      <c r="H508" s="25">
        <v>2.85</v>
      </c>
    </row>
    <row r="509" spans="1:8" x14ac:dyDescent="0.25">
      <c r="A509">
        <v>202606</v>
      </c>
      <c r="B509" t="s">
        <v>289</v>
      </c>
      <c r="C509">
        <v>1764678280</v>
      </c>
      <c r="D509" t="s">
        <v>25</v>
      </c>
      <c r="E509" t="s">
        <v>21</v>
      </c>
      <c r="F509" t="s">
        <v>292</v>
      </c>
      <c r="G509" s="8">
        <v>1</v>
      </c>
      <c r="H509" s="25">
        <v>1.05</v>
      </c>
    </row>
    <row r="510" spans="1:8" x14ac:dyDescent="0.25">
      <c r="A510">
        <v>202606</v>
      </c>
      <c r="B510" t="s">
        <v>34</v>
      </c>
      <c r="C510">
        <v>1764561040</v>
      </c>
      <c r="D510" t="s">
        <v>25</v>
      </c>
      <c r="E510" t="s">
        <v>26</v>
      </c>
      <c r="F510" t="s">
        <v>276</v>
      </c>
      <c r="G510" s="8">
        <v>0.68</v>
      </c>
      <c r="H510" s="25">
        <v>2.7</v>
      </c>
    </row>
    <row r="511" spans="1:8" x14ac:dyDescent="0.25">
      <c r="A511">
        <v>202606</v>
      </c>
      <c r="B511" t="s">
        <v>34</v>
      </c>
      <c r="C511">
        <v>1764564600</v>
      </c>
      <c r="D511" t="s">
        <v>25</v>
      </c>
      <c r="E511" t="s">
        <v>37</v>
      </c>
      <c r="F511" t="s">
        <v>134</v>
      </c>
      <c r="G511" s="8">
        <v>0.18000404</v>
      </c>
      <c r="H511" s="25">
        <v>10.08</v>
      </c>
    </row>
    <row r="512" spans="1:8" x14ac:dyDescent="0.25">
      <c r="A512">
        <v>202606</v>
      </c>
      <c r="B512" t="s">
        <v>34</v>
      </c>
      <c r="C512">
        <v>1764570553</v>
      </c>
      <c r="D512" t="s">
        <v>25</v>
      </c>
      <c r="E512" t="s">
        <v>37</v>
      </c>
      <c r="F512" t="s">
        <v>282</v>
      </c>
      <c r="G512" s="8">
        <v>0.25000000999999999</v>
      </c>
      <c r="H512" s="25">
        <v>2.86</v>
      </c>
    </row>
    <row r="513" spans="1:8" x14ac:dyDescent="0.25">
      <c r="A513">
        <v>202606</v>
      </c>
      <c r="B513" t="s">
        <v>34</v>
      </c>
      <c r="C513">
        <v>1764649443</v>
      </c>
      <c r="D513" t="s">
        <v>25</v>
      </c>
      <c r="E513" t="s">
        <v>21</v>
      </c>
      <c r="F513" t="s">
        <v>293</v>
      </c>
      <c r="G513" s="8">
        <v>0.16750000000000001</v>
      </c>
      <c r="H513" s="25">
        <v>2.7</v>
      </c>
    </row>
    <row r="514" spans="1:8" x14ac:dyDescent="0.25">
      <c r="A514">
        <v>202606</v>
      </c>
      <c r="B514" t="s">
        <v>34</v>
      </c>
      <c r="C514">
        <v>1764655052</v>
      </c>
      <c r="D514" t="s">
        <v>25</v>
      </c>
      <c r="E514" t="s">
        <v>37</v>
      </c>
      <c r="F514" t="s">
        <v>134</v>
      </c>
      <c r="G514" s="8">
        <v>0.25000004000000003</v>
      </c>
      <c r="H514" s="25">
        <v>10.08</v>
      </c>
    </row>
    <row r="515" spans="1:8" x14ac:dyDescent="0.25">
      <c r="A515">
        <v>202606</v>
      </c>
      <c r="B515" t="s">
        <v>27</v>
      </c>
      <c r="C515">
        <v>1760362840</v>
      </c>
      <c r="D515" t="s">
        <v>25</v>
      </c>
      <c r="E515" t="s">
        <v>21</v>
      </c>
      <c r="F515" t="s">
        <v>263</v>
      </c>
      <c r="G515" s="8">
        <v>4.5</v>
      </c>
      <c r="H515" s="25">
        <v>0.4</v>
      </c>
    </row>
    <row r="516" spans="1:8" x14ac:dyDescent="0.25">
      <c r="A516">
        <v>202606</v>
      </c>
      <c r="B516" t="s">
        <v>27</v>
      </c>
      <c r="C516">
        <v>1760402150</v>
      </c>
      <c r="D516" t="s">
        <v>20</v>
      </c>
      <c r="E516" t="s">
        <v>26</v>
      </c>
      <c r="F516" t="s">
        <v>140</v>
      </c>
      <c r="G516" s="8">
        <v>2.7320000000000002</v>
      </c>
      <c r="H516" s="25">
        <v>4</v>
      </c>
    </row>
    <row r="517" spans="1:8" x14ac:dyDescent="0.25">
      <c r="A517">
        <v>202606</v>
      </c>
      <c r="B517" t="s">
        <v>27</v>
      </c>
      <c r="C517">
        <v>1760411582</v>
      </c>
      <c r="D517" t="s">
        <v>20</v>
      </c>
      <c r="E517" t="s">
        <v>26</v>
      </c>
      <c r="F517" t="s">
        <v>142</v>
      </c>
      <c r="G517" s="8">
        <v>0.12807733629999998</v>
      </c>
      <c r="H517" s="25">
        <v>2.95</v>
      </c>
    </row>
    <row r="518" spans="1:8" x14ac:dyDescent="0.25">
      <c r="A518">
        <v>202606</v>
      </c>
      <c r="B518" t="s">
        <v>27</v>
      </c>
      <c r="C518">
        <v>1764555775</v>
      </c>
      <c r="D518" t="s">
        <v>20</v>
      </c>
      <c r="E518" t="s">
        <v>26</v>
      </c>
      <c r="F518" t="s">
        <v>142</v>
      </c>
      <c r="G518" s="8">
        <v>0.11495243776</v>
      </c>
      <c r="H518" s="25">
        <v>2.95</v>
      </c>
    </row>
    <row r="519" spans="1:8" x14ac:dyDescent="0.25">
      <c r="A519">
        <v>202606</v>
      </c>
      <c r="B519" t="s">
        <v>27</v>
      </c>
      <c r="C519">
        <v>1764579879</v>
      </c>
      <c r="D519" t="s">
        <v>20</v>
      </c>
      <c r="E519" t="s">
        <v>26</v>
      </c>
      <c r="F519" t="s">
        <v>140</v>
      </c>
      <c r="G519" s="8">
        <v>2.7048000000000001</v>
      </c>
      <c r="H519" s="25">
        <v>3.85</v>
      </c>
    </row>
    <row r="520" spans="1:8" x14ac:dyDescent="0.25">
      <c r="A520">
        <v>202606</v>
      </c>
      <c r="B520" t="s">
        <v>27</v>
      </c>
      <c r="C520">
        <v>1764602500</v>
      </c>
      <c r="D520" t="s">
        <v>20</v>
      </c>
      <c r="E520" t="s">
        <v>21</v>
      </c>
      <c r="F520" t="s">
        <v>285</v>
      </c>
      <c r="G520" s="8">
        <v>1.6904999999999999</v>
      </c>
      <c r="H520" s="25">
        <v>0.5</v>
      </c>
    </row>
    <row r="521" spans="1:8" x14ac:dyDescent="0.25">
      <c r="A521">
        <v>202606</v>
      </c>
      <c r="B521" t="s">
        <v>27</v>
      </c>
      <c r="C521">
        <v>1764654730</v>
      </c>
      <c r="D521" t="s">
        <v>20</v>
      </c>
      <c r="E521" t="s">
        <v>26</v>
      </c>
      <c r="F521" t="s">
        <v>140</v>
      </c>
      <c r="G521" s="8">
        <v>3.4220000000000002</v>
      </c>
      <c r="H521" s="25">
        <v>3.85</v>
      </c>
    </row>
    <row r="522" spans="1:8" x14ac:dyDescent="0.25">
      <c r="A522">
        <v>202606</v>
      </c>
      <c r="B522" t="s">
        <v>27</v>
      </c>
      <c r="C522">
        <v>1764683382</v>
      </c>
      <c r="D522" t="s">
        <v>20</v>
      </c>
      <c r="E522" t="s">
        <v>26</v>
      </c>
      <c r="F522" t="s">
        <v>142</v>
      </c>
      <c r="G522" s="8">
        <v>0.3710444228</v>
      </c>
      <c r="H522" s="25">
        <v>2.9</v>
      </c>
    </row>
    <row r="523" spans="1:8" x14ac:dyDescent="0.25">
      <c r="A523">
        <v>202606</v>
      </c>
      <c r="B523" t="s">
        <v>39</v>
      </c>
      <c r="C523">
        <v>1764531523</v>
      </c>
      <c r="D523" t="s">
        <v>25</v>
      </c>
      <c r="E523" t="s">
        <v>37</v>
      </c>
      <c r="F523" t="s">
        <v>49</v>
      </c>
      <c r="G523" s="8">
        <v>0.16433161999999998</v>
      </c>
      <c r="H523" s="25">
        <v>2.0499999999999998</v>
      </c>
    </row>
    <row r="524" spans="1:8" x14ac:dyDescent="0.25">
      <c r="A524">
        <v>202606</v>
      </c>
      <c r="B524" t="s">
        <v>39</v>
      </c>
      <c r="C524">
        <v>1764560370</v>
      </c>
      <c r="D524" t="s">
        <v>20</v>
      </c>
      <c r="E524" t="s">
        <v>37</v>
      </c>
      <c r="F524" t="s">
        <v>49</v>
      </c>
      <c r="G524" s="8">
        <v>0.30447511232000002</v>
      </c>
      <c r="H524" s="25">
        <v>2.6</v>
      </c>
    </row>
    <row r="525" spans="1:8" x14ac:dyDescent="0.25">
      <c r="A525">
        <v>202606</v>
      </c>
      <c r="B525" t="s">
        <v>39</v>
      </c>
      <c r="C525">
        <v>1764619307</v>
      </c>
      <c r="D525" t="s">
        <v>25</v>
      </c>
      <c r="E525" t="s">
        <v>21</v>
      </c>
      <c r="F525" t="s">
        <v>50</v>
      </c>
      <c r="G525" s="8">
        <v>1</v>
      </c>
      <c r="H525" s="25">
        <v>1</v>
      </c>
    </row>
    <row r="526" spans="1:8" x14ac:dyDescent="0.25">
      <c r="A526">
        <v>202606</v>
      </c>
      <c r="B526" t="s">
        <v>39</v>
      </c>
      <c r="C526">
        <v>1764643836</v>
      </c>
      <c r="D526" t="s">
        <v>25</v>
      </c>
      <c r="E526" t="s">
        <v>37</v>
      </c>
      <c r="F526" t="s">
        <v>49</v>
      </c>
      <c r="G526" s="8">
        <v>0.27388570000000001</v>
      </c>
      <c r="H526" s="25">
        <v>2.0499999999999998</v>
      </c>
    </row>
    <row r="527" spans="1:8" x14ac:dyDescent="0.25">
      <c r="A527">
        <v>202606</v>
      </c>
      <c r="B527" t="s">
        <v>39</v>
      </c>
      <c r="C527">
        <v>1764653130</v>
      </c>
      <c r="D527" t="s">
        <v>20</v>
      </c>
      <c r="E527" t="s">
        <v>21</v>
      </c>
      <c r="F527" t="s">
        <v>294</v>
      </c>
      <c r="G527" s="8">
        <v>1.0266</v>
      </c>
      <c r="H527" s="25">
        <v>2.65</v>
      </c>
    </row>
    <row r="528" spans="1:8" x14ac:dyDescent="0.25">
      <c r="A528">
        <v>202606</v>
      </c>
      <c r="B528" t="s">
        <v>39</v>
      </c>
      <c r="C528">
        <v>1764674090</v>
      </c>
      <c r="D528" t="s">
        <v>20</v>
      </c>
      <c r="E528" t="s">
        <v>26</v>
      </c>
      <c r="F528" t="s">
        <v>295</v>
      </c>
      <c r="G528" s="8">
        <v>0.68440000000000001</v>
      </c>
      <c r="H528" s="25">
        <v>1.85</v>
      </c>
    </row>
    <row r="529" spans="1:8" x14ac:dyDescent="0.25">
      <c r="A529">
        <v>202606</v>
      </c>
      <c r="B529" t="s">
        <v>39</v>
      </c>
      <c r="C529">
        <v>1764680014</v>
      </c>
      <c r="D529" t="s">
        <v>20</v>
      </c>
      <c r="E529" t="s">
        <v>37</v>
      </c>
      <c r="F529" t="s">
        <v>49</v>
      </c>
      <c r="G529" s="8">
        <v>0.32409714528</v>
      </c>
      <c r="H529" s="25">
        <v>2.38</v>
      </c>
    </row>
    <row r="530" spans="1:8" x14ac:dyDescent="0.25">
      <c r="A530">
        <v>202606</v>
      </c>
      <c r="B530" t="s">
        <v>40</v>
      </c>
      <c r="C530">
        <v>1760375764</v>
      </c>
      <c r="D530" t="s">
        <v>20</v>
      </c>
      <c r="E530" t="s">
        <v>21</v>
      </c>
      <c r="F530" t="s">
        <v>65</v>
      </c>
      <c r="G530" s="8">
        <v>0.13644000000000001</v>
      </c>
      <c r="H530" s="25">
        <v>5.75</v>
      </c>
    </row>
    <row r="531" spans="1:8" x14ac:dyDescent="0.25">
      <c r="A531">
        <v>202606</v>
      </c>
      <c r="B531" t="s">
        <v>40</v>
      </c>
      <c r="C531">
        <v>1760376220</v>
      </c>
      <c r="D531" t="s">
        <v>20</v>
      </c>
      <c r="E531" t="s">
        <v>26</v>
      </c>
      <c r="F531" t="s">
        <v>61</v>
      </c>
      <c r="G531" s="8">
        <v>0.80158499999999999</v>
      </c>
      <c r="H531" s="25">
        <v>2.35</v>
      </c>
    </row>
    <row r="532" spans="1:8" x14ac:dyDescent="0.25">
      <c r="A532">
        <v>202606</v>
      </c>
      <c r="B532" t="s">
        <v>40</v>
      </c>
      <c r="C532">
        <v>1760397008</v>
      </c>
      <c r="D532" t="s">
        <v>20</v>
      </c>
      <c r="E532" t="s">
        <v>26</v>
      </c>
      <c r="F532" t="s">
        <v>55</v>
      </c>
      <c r="G532" s="8">
        <v>0.2732</v>
      </c>
      <c r="H532" s="25">
        <v>5.55</v>
      </c>
    </row>
    <row r="533" spans="1:8" x14ac:dyDescent="0.25">
      <c r="A533">
        <v>202606</v>
      </c>
      <c r="B533" t="s">
        <v>40</v>
      </c>
      <c r="C533">
        <v>1760409090</v>
      </c>
      <c r="D533" t="s">
        <v>25</v>
      </c>
      <c r="E533" t="s">
        <v>37</v>
      </c>
      <c r="F533" t="s">
        <v>63</v>
      </c>
      <c r="G533" s="8">
        <v>0.14740560999999999</v>
      </c>
      <c r="H533" s="25">
        <v>2.5499999999999998</v>
      </c>
    </row>
    <row r="534" spans="1:8" x14ac:dyDescent="0.25">
      <c r="A534">
        <v>202606</v>
      </c>
      <c r="B534" t="s">
        <v>40</v>
      </c>
      <c r="C534">
        <v>1760412066</v>
      </c>
      <c r="D534" t="s">
        <v>25</v>
      </c>
      <c r="E534" t="s">
        <v>37</v>
      </c>
      <c r="F534" t="s">
        <v>63</v>
      </c>
      <c r="G534" s="8">
        <v>0.48440138999999999</v>
      </c>
      <c r="H534" s="25">
        <v>2.5499999999999998</v>
      </c>
    </row>
    <row r="535" spans="1:8" x14ac:dyDescent="0.25">
      <c r="A535">
        <v>202606</v>
      </c>
      <c r="B535" t="s">
        <v>40</v>
      </c>
      <c r="C535">
        <v>1764541390</v>
      </c>
      <c r="D535" t="s">
        <v>25</v>
      </c>
      <c r="E535" t="s">
        <v>26</v>
      </c>
      <c r="F535" t="s">
        <v>60</v>
      </c>
      <c r="G535" s="8">
        <v>6.83E-2</v>
      </c>
      <c r="H535" s="25">
        <v>5</v>
      </c>
    </row>
    <row r="536" spans="1:8" x14ac:dyDescent="0.25">
      <c r="A536">
        <v>202606</v>
      </c>
      <c r="B536" t="s">
        <v>40</v>
      </c>
      <c r="C536">
        <v>1764541588</v>
      </c>
      <c r="D536" t="s">
        <v>20</v>
      </c>
      <c r="E536" t="s">
        <v>21</v>
      </c>
      <c r="F536" t="s">
        <v>272</v>
      </c>
      <c r="G536" s="8">
        <v>1.0122</v>
      </c>
      <c r="H536" s="25">
        <v>3.68</v>
      </c>
    </row>
    <row r="537" spans="1:8" x14ac:dyDescent="0.25">
      <c r="A537">
        <v>202606</v>
      </c>
      <c r="B537" t="s">
        <v>40</v>
      </c>
      <c r="C537">
        <v>1764552407</v>
      </c>
      <c r="D537" t="s">
        <v>20</v>
      </c>
      <c r="E537" t="s">
        <v>21</v>
      </c>
      <c r="F537" t="s">
        <v>65</v>
      </c>
      <c r="G537" s="8">
        <v>0.10203</v>
      </c>
      <c r="H537" s="25">
        <v>6.5</v>
      </c>
    </row>
    <row r="538" spans="1:8" x14ac:dyDescent="0.25">
      <c r="A538">
        <v>202606</v>
      </c>
      <c r="B538" t="s">
        <v>40</v>
      </c>
      <c r="C538">
        <v>1764552415</v>
      </c>
      <c r="D538" t="s">
        <v>20</v>
      </c>
      <c r="E538" t="s">
        <v>21</v>
      </c>
      <c r="F538" t="s">
        <v>65</v>
      </c>
      <c r="G538" s="8">
        <v>0.10203</v>
      </c>
      <c r="H538" s="25">
        <v>6.5</v>
      </c>
    </row>
    <row r="539" spans="1:8" x14ac:dyDescent="0.25">
      <c r="A539">
        <v>202606</v>
      </c>
      <c r="B539" t="s">
        <v>40</v>
      </c>
      <c r="C539">
        <v>1764594266</v>
      </c>
      <c r="D539" t="s">
        <v>25</v>
      </c>
      <c r="E539" t="s">
        <v>26</v>
      </c>
      <c r="F539" t="s">
        <v>60</v>
      </c>
      <c r="G539" s="8">
        <v>0.27260000000000001</v>
      </c>
      <c r="H539" s="25">
        <v>5</v>
      </c>
    </row>
    <row r="540" spans="1:8" x14ac:dyDescent="0.25">
      <c r="A540">
        <v>202606</v>
      </c>
      <c r="B540" t="s">
        <v>40</v>
      </c>
      <c r="C540">
        <v>1764603168</v>
      </c>
      <c r="D540" t="s">
        <v>20</v>
      </c>
      <c r="E540" t="s">
        <v>21</v>
      </c>
      <c r="F540" t="s">
        <v>65</v>
      </c>
      <c r="G540" s="8">
        <v>0.10143000000000001</v>
      </c>
      <c r="H540" s="25">
        <v>6.5</v>
      </c>
    </row>
    <row r="541" spans="1:8" x14ac:dyDescent="0.25">
      <c r="A541">
        <v>202606</v>
      </c>
      <c r="B541" t="s">
        <v>40</v>
      </c>
      <c r="C541">
        <v>1764603214</v>
      </c>
      <c r="D541" t="s">
        <v>20</v>
      </c>
      <c r="E541" t="s">
        <v>21</v>
      </c>
      <c r="F541" t="s">
        <v>65</v>
      </c>
      <c r="G541" s="8">
        <v>3.381E-2</v>
      </c>
      <c r="H541" s="25">
        <v>6.5</v>
      </c>
    </row>
    <row r="542" spans="1:8" x14ac:dyDescent="0.25">
      <c r="A542">
        <v>202606</v>
      </c>
      <c r="B542" t="s">
        <v>40</v>
      </c>
      <c r="C542">
        <v>1764606116</v>
      </c>
      <c r="D542" t="s">
        <v>20</v>
      </c>
      <c r="E542" t="s">
        <v>37</v>
      </c>
      <c r="F542" t="s">
        <v>63</v>
      </c>
      <c r="G542" s="8">
        <v>1.6237704522500001</v>
      </c>
      <c r="H542" s="25">
        <v>2.35</v>
      </c>
    </row>
    <row r="543" spans="1:8" x14ac:dyDescent="0.25">
      <c r="A543">
        <v>202606</v>
      </c>
      <c r="B543" t="s">
        <v>40</v>
      </c>
      <c r="C543">
        <v>1764609824</v>
      </c>
      <c r="D543" t="s">
        <v>25</v>
      </c>
      <c r="E543" t="s">
        <v>21</v>
      </c>
      <c r="F543" t="s">
        <v>60</v>
      </c>
      <c r="G543" s="8">
        <v>0.247</v>
      </c>
      <c r="H543" s="25">
        <v>4.75</v>
      </c>
    </row>
    <row r="544" spans="1:8" x14ac:dyDescent="0.25">
      <c r="A544">
        <v>202606</v>
      </c>
      <c r="B544" t="s">
        <v>40</v>
      </c>
      <c r="C544">
        <v>1764623126</v>
      </c>
      <c r="D544" t="s">
        <v>20</v>
      </c>
      <c r="E544" t="s">
        <v>21</v>
      </c>
      <c r="F544" t="s">
        <v>257</v>
      </c>
      <c r="G544" s="8">
        <v>0.28062300000000001</v>
      </c>
      <c r="H544" s="25">
        <v>2.65</v>
      </c>
    </row>
    <row r="545" spans="1:8" x14ac:dyDescent="0.25">
      <c r="A545">
        <v>202606</v>
      </c>
      <c r="B545" t="s">
        <v>40</v>
      </c>
      <c r="C545">
        <v>1764626877</v>
      </c>
      <c r="D545" t="s">
        <v>20</v>
      </c>
      <c r="E545" t="s">
        <v>37</v>
      </c>
      <c r="F545" t="s">
        <v>59</v>
      </c>
      <c r="G545" s="8">
        <v>0.44418627938999999</v>
      </c>
      <c r="H545" s="25">
        <v>0.51</v>
      </c>
    </row>
    <row r="546" spans="1:8" x14ac:dyDescent="0.25">
      <c r="A546">
        <v>202606</v>
      </c>
      <c r="B546" t="s">
        <v>40</v>
      </c>
      <c r="C546">
        <v>1764636279</v>
      </c>
      <c r="D546" t="s">
        <v>25</v>
      </c>
      <c r="E546" t="s">
        <v>26</v>
      </c>
      <c r="F546" t="s">
        <v>56</v>
      </c>
      <c r="G546" s="8">
        <v>4.4999999999999998E-2</v>
      </c>
      <c r="H546" s="25">
        <v>4.3</v>
      </c>
    </row>
    <row r="547" spans="1:8" x14ac:dyDescent="0.25">
      <c r="A547">
        <v>202606</v>
      </c>
      <c r="B547" t="s">
        <v>40</v>
      </c>
      <c r="C547">
        <v>1764638964</v>
      </c>
      <c r="D547" t="s">
        <v>25</v>
      </c>
      <c r="E547" t="s">
        <v>26</v>
      </c>
      <c r="F547" t="s">
        <v>56</v>
      </c>
      <c r="G547" s="8">
        <v>0.05</v>
      </c>
      <c r="H547" s="25">
        <v>4.3</v>
      </c>
    </row>
    <row r="548" spans="1:8" x14ac:dyDescent="0.25">
      <c r="A548">
        <v>202606</v>
      </c>
      <c r="B548" t="s">
        <v>40</v>
      </c>
      <c r="C548">
        <v>1764639073</v>
      </c>
      <c r="D548" t="s">
        <v>25</v>
      </c>
      <c r="E548" t="s">
        <v>26</v>
      </c>
      <c r="F548" t="s">
        <v>56</v>
      </c>
      <c r="G548" s="8">
        <v>5.0999999999999997E-2</v>
      </c>
      <c r="H548" s="25">
        <v>4.3</v>
      </c>
    </row>
    <row r="549" spans="1:8" x14ac:dyDescent="0.25">
      <c r="A549">
        <v>202606</v>
      </c>
      <c r="B549" t="s">
        <v>40</v>
      </c>
      <c r="C549">
        <v>1764640144</v>
      </c>
      <c r="D549" t="s">
        <v>20</v>
      </c>
      <c r="E549" t="s">
        <v>37</v>
      </c>
      <c r="F549" t="s">
        <v>59</v>
      </c>
      <c r="G549" s="8">
        <v>0.23375159716000002</v>
      </c>
      <c r="H549" s="25">
        <v>0.51</v>
      </c>
    </row>
    <row r="550" spans="1:8" x14ac:dyDescent="0.25">
      <c r="A550">
        <v>202606</v>
      </c>
      <c r="B550" t="s">
        <v>40</v>
      </c>
      <c r="C550">
        <v>1764653190</v>
      </c>
      <c r="D550" t="s">
        <v>25</v>
      </c>
      <c r="E550" t="s">
        <v>26</v>
      </c>
      <c r="F550" t="s">
        <v>56</v>
      </c>
      <c r="G550" s="8">
        <v>2.8000000000000001E-2</v>
      </c>
      <c r="H550" s="25">
        <v>4.3</v>
      </c>
    </row>
    <row r="551" spans="1:8" x14ac:dyDescent="0.25">
      <c r="A551">
        <v>202606</v>
      </c>
      <c r="B551" t="s">
        <v>40</v>
      </c>
      <c r="C551">
        <v>1764653394</v>
      </c>
      <c r="D551" t="s">
        <v>25</v>
      </c>
      <c r="E551" t="s">
        <v>26</v>
      </c>
      <c r="F551" t="s">
        <v>56</v>
      </c>
      <c r="G551" s="8">
        <v>0.03</v>
      </c>
      <c r="H551" s="25">
        <v>4.3</v>
      </c>
    </row>
    <row r="552" spans="1:8" x14ac:dyDescent="0.25">
      <c r="A552">
        <v>202606</v>
      </c>
      <c r="B552" t="s">
        <v>40</v>
      </c>
      <c r="C552">
        <v>1764653416</v>
      </c>
      <c r="D552" t="s">
        <v>25</v>
      </c>
      <c r="E552" t="s">
        <v>26</v>
      </c>
      <c r="F552" t="s">
        <v>56</v>
      </c>
      <c r="G552" s="8">
        <v>3.2000000000000001E-2</v>
      </c>
      <c r="H552" s="25">
        <v>4.3</v>
      </c>
    </row>
    <row r="553" spans="1:8" x14ac:dyDescent="0.25">
      <c r="A553">
        <v>202606</v>
      </c>
      <c r="B553" t="s">
        <v>40</v>
      </c>
      <c r="C553">
        <v>1764674316</v>
      </c>
      <c r="D553" t="s">
        <v>20</v>
      </c>
      <c r="E553" t="s">
        <v>21</v>
      </c>
      <c r="F553" t="s">
        <v>65</v>
      </c>
      <c r="G553" s="8">
        <v>0.10266</v>
      </c>
      <c r="H553" s="25">
        <v>6.75</v>
      </c>
    </row>
    <row r="554" spans="1:8" x14ac:dyDescent="0.25">
      <c r="A554">
        <v>202606</v>
      </c>
      <c r="B554" t="s">
        <v>40</v>
      </c>
      <c r="C554">
        <v>1764674359</v>
      </c>
      <c r="D554" t="s">
        <v>20</v>
      </c>
      <c r="E554" t="s">
        <v>21</v>
      </c>
      <c r="F554" t="s">
        <v>65</v>
      </c>
      <c r="G554" s="8">
        <v>0.10266</v>
      </c>
      <c r="H554" s="25">
        <v>6.75</v>
      </c>
    </row>
    <row r="555" spans="1:8" x14ac:dyDescent="0.25">
      <c r="A555">
        <v>202606</v>
      </c>
      <c r="B555" t="s">
        <v>40</v>
      </c>
      <c r="C555">
        <v>1764680537</v>
      </c>
      <c r="D555" t="s">
        <v>20</v>
      </c>
      <c r="E555" t="s">
        <v>26</v>
      </c>
      <c r="F555" t="s">
        <v>59</v>
      </c>
      <c r="G555" s="8">
        <v>0.31920965999999995</v>
      </c>
      <c r="H555" s="25">
        <v>0.7</v>
      </c>
    </row>
    <row r="556" spans="1:8" x14ac:dyDescent="0.25">
      <c r="A556">
        <v>202606</v>
      </c>
      <c r="B556" t="s">
        <v>41</v>
      </c>
      <c r="C556">
        <v>1760409723</v>
      </c>
      <c r="D556" t="s">
        <v>25</v>
      </c>
      <c r="E556" t="s">
        <v>26</v>
      </c>
      <c r="F556" t="s">
        <v>264</v>
      </c>
      <c r="G556" s="8">
        <v>1.3</v>
      </c>
      <c r="H556" s="25">
        <v>0.9</v>
      </c>
    </row>
    <row r="557" spans="1:8" x14ac:dyDescent="0.25">
      <c r="A557">
        <v>202606</v>
      </c>
      <c r="B557" t="s">
        <v>41</v>
      </c>
      <c r="C557">
        <v>1760411183</v>
      </c>
      <c r="D557" t="s">
        <v>25</v>
      </c>
      <c r="E557" t="s">
        <v>21</v>
      </c>
      <c r="F557" t="s">
        <v>265</v>
      </c>
      <c r="G557" s="8">
        <v>0.8</v>
      </c>
      <c r="H557" s="25">
        <v>1.79</v>
      </c>
    </row>
    <row r="558" spans="1:8" x14ac:dyDescent="0.25">
      <c r="A558">
        <v>202606</v>
      </c>
      <c r="B558" t="s">
        <v>43</v>
      </c>
      <c r="C558">
        <v>1760363227</v>
      </c>
      <c r="D558" t="s">
        <v>20</v>
      </c>
      <c r="E558" t="s">
        <v>26</v>
      </c>
      <c r="F558" t="s">
        <v>238</v>
      </c>
      <c r="G558" s="8">
        <v>3.4169999999999998</v>
      </c>
      <c r="H558" s="25">
        <v>0.55000000000000004</v>
      </c>
    </row>
    <row r="559" spans="1:8" x14ac:dyDescent="0.25">
      <c r="A559">
        <v>202606</v>
      </c>
      <c r="B559" t="s">
        <v>43</v>
      </c>
      <c r="C559">
        <v>1760380040</v>
      </c>
      <c r="D559" t="s">
        <v>25</v>
      </c>
      <c r="E559" t="s">
        <v>21</v>
      </c>
      <c r="F559" t="s">
        <v>266</v>
      </c>
      <c r="G559" s="8">
        <v>0.35</v>
      </c>
      <c r="H559" s="25">
        <v>2.5499999999999998</v>
      </c>
    </row>
    <row r="560" spans="1:8" x14ac:dyDescent="0.25">
      <c r="A560">
        <v>202606</v>
      </c>
      <c r="B560" t="s">
        <v>43</v>
      </c>
      <c r="C560">
        <v>1764650034</v>
      </c>
      <c r="D560" t="s">
        <v>20</v>
      </c>
      <c r="E560" t="s">
        <v>21</v>
      </c>
      <c r="F560" t="s">
        <v>296</v>
      </c>
      <c r="G560" s="8">
        <v>0.85150000000000003</v>
      </c>
      <c r="H560" s="25">
        <v>1.5</v>
      </c>
    </row>
    <row r="561" spans="1:8" x14ac:dyDescent="0.25">
      <c r="A561">
        <v>202606</v>
      </c>
      <c r="B561" t="s">
        <v>43</v>
      </c>
      <c r="C561">
        <v>1764650123</v>
      </c>
      <c r="D561" t="s">
        <v>20</v>
      </c>
      <c r="E561" t="s">
        <v>21</v>
      </c>
      <c r="F561" t="s">
        <v>296</v>
      </c>
      <c r="G561" s="8">
        <v>0.85150000000000003</v>
      </c>
      <c r="H561" s="25">
        <v>1.5</v>
      </c>
    </row>
    <row r="562" spans="1:8" x14ac:dyDescent="0.25">
      <c r="A562">
        <v>202606</v>
      </c>
      <c r="B562" t="s">
        <v>35</v>
      </c>
      <c r="C562">
        <v>1760385450</v>
      </c>
      <c r="D562" t="s">
        <v>20</v>
      </c>
      <c r="E562" t="s">
        <v>26</v>
      </c>
      <c r="F562" t="s">
        <v>151</v>
      </c>
      <c r="G562" s="8">
        <v>0.30762</v>
      </c>
      <c r="H562" s="25">
        <v>5</v>
      </c>
    </row>
    <row r="563" spans="1:8" x14ac:dyDescent="0.25">
      <c r="A563">
        <v>202606</v>
      </c>
      <c r="B563" t="s">
        <v>35</v>
      </c>
      <c r="C563">
        <v>1760385522</v>
      </c>
      <c r="D563" t="s">
        <v>20</v>
      </c>
      <c r="E563" t="s">
        <v>26</v>
      </c>
      <c r="F563" t="s">
        <v>151</v>
      </c>
      <c r="G563" s="8">
        <v>0.372562</v>
      </c>
      <c r="H563" s="25">
        <v>5</v>
      </c>
    </row>
    <row r="564" spans="1:8" x14ac:dyDescent="0.25">
      <c r="A564">
        <v>202606</v>
      </c>
      <c r="B564" t="s">
        <v>35</v>
      </c>
      <c r="C564">
        <v>1764644999</v>
      </c>
      <c r="D564" t="s">
        <v>20</v>
      </c>
      <c r="E564" t="s">
        <v>26</v>
      </c>
      <c r="F564" t="s">
        <v>154</v>
      </c>
      <c r="G564" s="8">
        <v>1.8733</v>
      </c>
      <c r="H564" s="25">
        <v>2.4300000000000002</v>
      </c>
    </row>
    <row r="565" spans="1:8" x14ac:dyDescent="0.25">
      <c r="A565">
        <v>202606</v>
      </c>
      <c r="B565" t="s">
        <v>35</v>
      </c>
      <c r="C565">
        <v>1764678095</v>
      </c>
      <c r="D565" t="s">
        <v>20</v>
      </c>
      <c r="E565" t="s">
        <v>21</v>
      </c>
      <c r="F565" t="s">
        <v>152</v>
      </c>
      <c r="G565" s="8">
        <v>1.706</v>
      </c>
      <c r="H565" s="25">
        <v>3.8</v>
      </c>
    </row>
    <row r="566" spans="1:8" x14ac:dyDescent="0.25">
      <c r="A566">
        <v>202606</v>
      </c>
      <c r="B566" t="s">
        <v>35</v>
      </c>
      <c r="C566">
        <v>1764684117</v>
      </c>
      <c r="D566" t="s">
        <v>20</v>
      </c>
      <c r="E566" t="s">
        <v>21</v>
      </c>
      <c r="F566" t="s">
        <v>258</v>
      </c>
      <c r="G566" s="8">
        <v>0.3412</v>
      </c>
      <c r="H566" s="25">
        <v>6.05</v>
      </c>
    </row>
    <row r="567" spans="1:8" x14ac:dyDescent="0.25">
      <c r="A567">
        <v>202606</v>
      </c>
      <c r="B567" t="s">
        <v>36</v>
      </c>
      <c r="C567">
        <v>1760376604</v>
      </c>
      <c r="D567" t="s">
        <v>20</v>
      </c>
      <c r="E567" t="s">
        <v>26</v>
      </c>
      <c r="F567" t="s">
        <v>267</v>
      </c>
      <c r="G567" s="8">
        <v>0.50428223999999999</v>
      </c>
      <c r="H567" s="25">
        <v>1.1100000000000001</v>
      </c>
    </row>
    <row r="568" spans="1:8" x14ac:dyDescent="0.25">
      <c r="A568">
        <v>202606</v>
      </c>
      <c r="B568" t="s">
        <v>36</v>
      </c>
      <c r="C568">
        <v>1760397199</v>
      </c>
      <c r="D568" t="s">
        <v>20</v>
      </c>
      <c r="E568" t="s">
        <v>26</v>
      </c>
      <c r="F568" t="s">
        <v>267</v>
      </c>
      <c r="G568" s="8">
        <v>0.836760375</v>
      </c>
      <c r="H568" s="25">
        <v>1.1100000000000001</v>
      </c>
    </row>
    <row r="569" spans="1:8" x14ac:dyDescent="0.25">
      <c r="A569">
        <v>202606</v>
      </c>
      <c r="B569" t="s">
        <v>36</v>
      </c>
      <c r="C569">
        <v>1764541880</v>
      </c>
      <c r="D569" t="s">
        <v>20</v>
      </c>
      <c r="E569" t="s">
        <v>26</v>
      </c>
      <c r="F569" t="s">
        <v>163</v>
      </c>
      <c r="G569" s="8">
        <v>0.40488000000000002</v>
      </c>
      <c r="H569" s="25">
        <v>3.5</v>
      </c>
    </row>
    <row r="570" spans="1:8" x14ac:dyDescent="0.25">
      <c r="A570">
        <v>202606</v>
      </c>
      <c r="B570" t="s">
        <v>36</v>
      </c>
      <c r="C570">
        <v>1764557719</v>
      </c>
      <c r="D570" t="s">
        <v>25</v>
      </c>
      <c r="E570" t="s">
        <v>21</v>
      </c>
      <c r="F570" t="s">
        <v>277</v>
      </c>
      <c r="G570" s="8">
        <v>1.1599999999999999</v>
      </c>
      <c r="H570" s="25">
        <v>0.85</v>
      </c>
    </row>
    <row r="571" spans="1:8" x14ac:dyDescent="0.25">
      <c r="A571">
        <v>202606</v>
      </c>
      <c r="B571" t="s">
        <v>36</v>
      </c>
      <c r="C571">
        <v>1764560060</v>
      </c>
      <c r="D571" t="s">
        <v>25</v>
      </c>
      <c r="E571" t="s">
        <v>21</v>
      </c>
      <c r="F571" t="s">
        <v>159</v>
      </c>
      <c r="G571" s="8">
        <v>0.17</v>
      </c>
      <c r="H571" s="25">
        <v>4.55</v>
      </c>
    </row>
    <row r="572" spans="1:8" x14ac:dyDescent="0.25">
      <c r="A572">
        <v>202606</v>
      </c>
      <c r="B572" t="s">
        <v>36</v>
      </c>
      <c r="C572">
        <v>1764560760</v>
      </c>
      <c r="D572" t="s">
        <v>25</v>
      </c>
      <c r="E572" t="s">
        <v>21</v>
      </c>
      <c r="F572" t="s">
        <v>165</v>
      </c>
      <c r="G572" s="8">
        <v>0.19</v>
      </c>
      <c r="H572" s="25">
        <v>8.58</v>
      </c>
    </row>
    <row r="573" spans="1:8" x14ac:dyDescent="0.25">
      <c r="A573">
        <v>202606</v>
      </c>
      <c r="B573" t="s">
        <v>36</v>
      </c>
      <c r="C573">
        <v>1764560973</v>
      </c>
      <c r="D573" t="s">
        <v>20</v>
      </c>
      <c r="E573" t="s">
        <v>21</v>
      </c>
      <c r="F573" t="s">
        <v>156</v>
      </c>
      <c r="G573" s="8">
        <v>0.61055999999999999</v>
      </c>
      <c r="H573" s="25">
        <v>4.95</v>
      </c>
    </row>
    <row r="574" spans="1:8" x14ac:dyDescent="0.25">
      <c r="A574">
        <v>202606</v>
      </c>
      <c r="B574" t="s">
        <v>36</v>
      </c>
      <c r="C574">
        <v>1764561155</v>
      </c>
      <c r="D574" t="s">
        <v>20</v>
      </c>
      <c r="E574" t="s">
        <v>26</v>
      </c>
      <c r="F574" t="s">
        <v>278</v>
      </c>
      <c r="G574" s="8">
        <v>2.1714905600000001</v>
      </c>
      <c r="H574" s="25">
        <v>0.7</v>
      </c>
    </row>
    <row r="575" spans="1:8" x14ac:dyDescent="0.25">
      <c r="A575">
        <v>202606</v>
      </c>
      <c r="B575" t="s">
        <v>36</v>
      </c>
      <c r="C575">
        <v>1764585100</v>
      </c>
      <c r="D575" t="s">
        <v>20</v>
      </c>
      <c r="E575" t="s">
        <v>26</v>
      </c>
      <c r="F575" t="s">
        <v>278</v>
      </c>
      <c r="G575" s="8">
        <v>2.239087536</v>
      </c>
      <c r="H575" s="25">
        <v>0.7</v>
      </c>
    </row>
    <row r="576" spans="1:8" x14ac:dyDescent="0.25">
      <c r="A576">
        <v>202606</v>
      </c>
      <c r="B576" t="s">
        <v>36</v>
      </c>
      <c r="C576">
        <v>1764609875</v>
      </c>
      <c r="D576" t="s">
        <v>20</v>
      </c>
      <c r="E576" t="s">
        <v>26</v>
      </c>
      <c r="F576" t="s">
        <v>163</v>
      </c>
      <c r="G576" s="8">
        <v>0.39604499999999998</v>
      </c>
      <c r="H576" s="25">
        <v>3.35</v>
      </c>
    </row>
    <row r="577" spans="1:8" x14ac:dyDescent="0.25">
      <c r="A577">
        <v>202606</v>
      </c>
      <c r="B577" t="s">
        <v>36</v>
      </c>
      <c r="C577">
        <v>1764633946</v>
      </c>
      <c r="D577" t="s">
        <v>20</v>
      </c>
      <c r="E577" t="s">
        <v>21</v>
      </c>
      <c r="F577" t="s">
        <v>156</v>
      </c>
      <c r="G577" s="8">
        <v>0.50729999999999997</v>
      </c>
      <c r="H577" s="25">
        <v>4.95</v>
      </c>
    </row>
    <row r="578" spans="1:8" x14ac:dyDescent="0.25">
      <c r="A578">
        <v>202606</v>
      </c>
      <c r="B578" t="s">
        <v>290</v>
      </c>
      <c r="C578">
        <v>1764549783</v>
      </c>
      <c r="D578" t="s">
        <v>20</v>
      </c>
      <c r="E578" t="s">
        <v>26</v>
      </c>
      <c r="F578" t="s">
        <v>200</v>
      </c>
      <c r="G578" s="8">
        <v>1.0773177309900002</v>
      </c>
      <c r="H578" s="25">
        <v>4.8499999999999996</v>
      </c>
    </row>
    <row r="579" spans="1:8" x14ac:dyDescent="0.25">
      <c r="A579">
        <v>202606</v>
      </c>
      <c r="B579" t="s">
        <v>290</v>
      </c>
      <c r="C579">
        <v>1764568893</v>
      </c>
      <c r="D579" t="s">
        <v>20</v>
      </c>
      <c r="E579" t="s">
        <v>26</v>
      </c>
      <c r="F579" t="s">
        <v>283</v>
      </c>
      <c r="G579" s="8">
        <v>0.33860000000000001</v>
      </c>
      <c r="H579" s="25">
        <v>1.99</v>
      </c>
    </row>
    <row r="580" spans="1:8" x14ac:dyDescent="0.25">
      <c r="A580">
        <v>202606</v>
      </c>
      <c r="B580" t="s">
        <v>290</v>
      </c>
      <c r="C580">
        <v>1764619242</v>
      </c>
      <c r="D580" t="s">
        <v>25</v>
      </c>
      <c r="E580" t="s">
        <v>26</v>
      </c>
      <c r="F580" t="s">
        <v>137</v>
      </c>
      <c r="G580" s="8">
        <v>2</v>
      </c>
      <c r="H580" s="25">
        <v>1</v>
      </c>
    </row>
    <row r="581" spans="1:8" x14ac:dyDescent="0.25">
      <c r="A581">
        <v>202606</v>
      </c>
      <c r="B581" t="s">
        <v>290</v>
      </c>
      <c r="C581">
        <v>1764626303</v>
      </c>
      <c r="D581" t="s">
        <v>20</v>
      </c>
      <c r="E581" t="s">
        <v>21</v>
      </c>
      <c r="F581" t="s">
        <v>288</v>
      </c>
      <c r="G581" s="8">
        <v>0.67620000000000002</v>
      </c>
      <c r="H581" s="25">
        <v>0.65</v>
      </c>
    </row>
    <row r="582" spans="1:8" x14ac:dyDescent="0.25">
      <c r="A582">
        <v>202606</v>
      </c>
      <c r="B582" t="s">
        <v>290</v>
      </c>
      <c r="C582">
        <v>1764626362</v>
      </c>
      <c r="D582" t="s">
        <v>20</v>
      </c>
      <c r="E582" t="s">
        <v>26</v>
      </c>
      <c r="F582" t="s">
        <v>118</v>
      </c>
      <c r="G582" s="8">
        <v>1.0143</v>
      </c>
      <c r="H582" s="25">
        <v>5.14</v>
      </c>
    </row>
    <row r="583" spans="1:8" x14ac:dyDescent="0.25">
      <c r="A583">
        <v>202606</v>
      </c>
      <c r="B583" t="s">
        <v>290</v>
      </c>
      <c r="C583">
        <v>1764657853</v>
      </c>
      <c r="D583" t="s">
        <v>20</v>
      </c>
      <c r="E583" t="s">
        <v>21</v>
      </c>
      <c r="F583" t="s">
        <v>297</v>
      </c>
      <c r="G583" s="8">
        <v>0.68440000000000001</v>
      </c>
      <c r="H583" s="25">
        <v>1.75</v>
      </c>
    </row>
    <row r="584" spans="1:8" x14ac:dyDescent="0.25">
      <c r="A584">
        <v>202606</v>
      </c>
      <c r="B584" t="s">
        <v>45</v>
      </c>
      <c r="C584">
        <v>1764678699</v>
      </c>
      <c r="D584" t="s">
        <v>20</v>
      </c>
      <c r="E584" t="s">
        <v>66</v>
      </c>
      <c r="F584" t="s">
        <v>298</v>
      </c>
      <c r="G584" s="8">
        <v>1.02264464</v>
      </c>
      <c r="H584" s="25">
        <v>1.3</v>
      </c>
    </row>
    <row r="585" spans="1:8" x14ac:dyDescent="0.25">
      <c r="A585">
        <v>202606</v>
      </c>
      <c r="B585" t="s">
        <v>29</v>
      </c>
      <c r="C585">
        <v>1760380423</v>
      </c>
      <c r="D585" t="s">
        <v>20</v>
      </c>
      <c r="E585" t="s">
        <v>26</v>
      </c>
      <c r="F585" t="s">
        <v>268</v>
      </c>
      <c r="G585" s="8">
        <v>5.1165000000000003</v>
      </c>
      <c r="H585" s="25">
        <v>2.4</v>
      </c>
    </row>
    <row r="586" spans="1:8" x14ac:dyDescent="0.25">
      <c r="A586">
        <v>202606</v>
      </c>
      <c r="B586" t="s">
        <v>29</v>
      </c>
      <c r="C586">
        <v>1760398853</v>
      </c>
      <c r="D586" t="s">
        <v>20</v>
      </c>
      <c r="E586" t="s">
        <v>26</v>
      </c>
      <c r="F586" t="s">
        <v>219</v>
      </c>
      <c r="G586" s="8">
        <v>4.4394999999999998</v>
      </c>
      <c r="H586" s="25">
        <v>0.3</v>
      </c>
    </row>
    <row r="587" spans="1:8" x14ac:dyDescent="0.25">
      <c r="A587">
        <v>202606</v>
      </c>
      <c r="B587" t="s">
        <v>29</v>
      </c>
      <c r="C587">
        <v>1764578350</v>
      </c>
      <c r="D587" t="s">
        <v>20</v>
      </c>
      <c r="E587" t="s">
        <v>21</v>
      </c>
      <c r="F587" t="s">
        <v>179</v>
      </c>
      <c r="G587" s="8">
        <v>2.3666999999999998</v>
      </c>
      <c r="H587" s="25">
        <v>0.3</v>
      </c>
    </row>
    <row r="588" spans="1:8" x14ac:dyDescent="0.25">
      <c r="A588">
        <v>202606</v>
      </c>
      <c r="B588" t="s">
        <v>29</v>
      </c>
      <c r="C588">
        <v>1764619340</v>
      </c>
      <c r="D588" t="s">
        <v>25</v>
      </c>
      <c r="E588" t="s">
        <v>21</v>
      </c>
      <c r="F588" t="s">
        <v>170</v>
      </c>
      <c r="G588" s="8">
        <v>0.6</v>
      </c>
      <c r="H588" s="25">
        <v>4.45</v>
      </c>
    </row>
    <row r="589" spans="1:8" x14ac:dyDescent="0.25">
      <c r="A589">
        <v>202606</v>
      </c>
      <c r="B589" t="s">
        <v>29</v>
      </c>
      <c r="C589">
        <v>1764634314</v>
      </c>
      <c r="D589" t="s">
        <v>20</v>
      </c>
      <c r="E589" t="s">
        <v>26</v>
      </c>
      <c r="F589" t="s">
        <v>174</v>
      </c>
      <c r="G589" s="8">
        <v>8.2081140000000001</v>
      </c>
      <c r="H589" s="25">
        <v>0.6</v>
      </c>
    </row>
    <row r="590" spans="1:8" x14ac:dyDescent="0.25">
      <c r="A590">
        <v>202606</v>
      </c>
      <c r="B590" t="s">
        <v>29</v>
      </c>
      <c r="C590">
        <v>1764643150</v>
      </c>
      <c r="D590" t="s">
        <v>20</v>
      </c>
      <c r="E590" t="s">
        <v>66</v>
      </c>
      <c r="F590" t="s">
        <v>172</v>
      </c>
      <c r="G590" s="8">
        <v>0.65395199999999998</v>
      </c>
      <c r="H590" s="25">
        <v>0.9</v>
      </c>
    </row>
    <row r="591" spans="1:8" x14ac:dyDescent="0.25">
      <c r="A591">
        <v>202606</v>
      </c>
      <c r="B591" t="s">
        <v>42</v>
      </c>
      <c r="C591">
        <v>1764536053</v>
      </c>
      <c r="D591" t="s">
        <v>20</v>
      </c>
      <c r="E591" t="s">
        <v>26</v>
      </c>
      <c r="F591" t="s">
        <v>273</v>
      </c>
      <c r="G591" s="8">
        <v>0.50609999999999999</v>
      </c>
      <c r="H591" s="25">
        <v>3.05</v>
      </c>
    </row>
    <row r="592" spans="1:8" x14ac:dyDescent="0.25">
      <c r="A592">
        <v>202606</v>
      </c>
      <c r="B592" t="s">
        <v>42</v>
      </c>
      <c r="C592">
        <v>1764566970</v>
      </c>
      <c r="D592" t="s">
        <v>25</v>
      </c>
      <c r="E592" t="s">
        <v>26</v>
      </c>
      <c r="F592" t="s">
        <v>75</v>
      </c>
      <c r="G592" s="8">
        <v>0.72</v>
      </c>
      <c r="H592" s="25">
        <v>2.0499999999999998</v>
      </c>
    </row>
    <row r="593" spans="1:8" x14ac:dyDescent="0.25">
      <c r="A593">
        <v>202606</v>
      </c>
      <c r="B593" t="s">
        <v>42</v>
      </c>
      <c r="C593">
        <v>1764590058</v>
      </c>
      <c r="D593" t="s">
        <v>25</v>
      </c>
      <c r="E593" t="s">
        <v>26</v>
      </c>
      <c r="F593" t="s">
        <v>68</v>
      </c>
      <c r="G593" s="8">
        <v>0.82079999999999997</v>
      </c>
      <c r="H593" s="25">
        <v>0.5</v>
      </c>
    </row>
    <row r="594" spans="1:8" x14ac:dyDescent="0.25">
      <c r="A594">
        <v>202606</v>
      </c>
      <c r="B594" t="s">
        <v>42</v>
      </c>
      <c r="C594">
        <v>1764617843</v>
      </c>
      <c r="D594" t="s">
        <v>20</v>
      </c>
      <c r="E594" t="s">
        <v>21</v>
      </c>
      <c r="F594" t="s">
        <v>250</v>
      </c>
      <c r="G594" s="8">
        <v>0.33810000000000001</v>
      </c>
      <c r="H594" s="25">
        <v>2.33</v>
      </c>
    </row>
    <row r="595" spans="1:8" x14ac:dyDescent="0.25">
      <c r="A595">
        <v>202606</v>
      </c>
      <c r="B595" t="s">
        <v>42</v>
      </c>
      <c r="C595">
        <v>1764645928</v>
      </c>
      <c r="D595" t="s">
        <v>20</v>
      </c>
      <c r="E595" t="s">
        <v>26</v>
      </c>
      <c r="F595" t="s">
        <v>80</v>
      </c>
      <c r="G595" s="8">
        <v>0.20436000000000001</v>
      </c>
      <c r="H595" s="25">
        <v>3.9</v>
      </c>
    </row>
    <row r="596" spans="1:8" x14ac:dyDescent="0.25">
      <c r="A596">
        <v>202606</v>
      </c>
      <c r="B596" t="s">
        <v>42</v>
      </c>
      <c r="C596">
        <v>1764655036</v>
      </c>
      <c r="D596" t="s">
        <v>20</v>
      </c>
      <c r="E596" t="s">
        <v>21</v>
      </c>
      <c r="F596" t="s">
        <v>72</v>
      </c>
      <c r="G596" s="8">
        <v>0.68440000000000001</v>
      </c>
      <c r="H596" s="25">
        <v>1.28</v>
      </c>
    </row>
    <row r="597" spans="1:8" x14ac:dyDescent="0.25">
      <c r="A597">
        <v>202606</v>
      </c>
      <c r="B597" t="s">
        <v>42</v>
      </c>
      <c r="C597">
        <v>1764657020</v>
      </c>
      <c r="D597" t="s">
        <v>20</v>
      </c>
      <c r="E597" t="s">
        <v>26</v>
      </c>
      <c r="F597" t="s">
        <v>80</v>
      </c>
      <c r="G597" s="8">
        <v>0.51329999999999998</v>
      </c>
      <c r="H597" s="25">
        <v>3.9</v>
      </c>
    </row>
    <row r="598" spans="1:8" x14ac:dyDescent="0.25">
      <c r="A598">
        <v>202606</v>
      </c>
      <c r="B598" t="s">
        <v>42</v>
      </c>
      <c r="C598">
        <v>1764680375</v>
      </c>
      <c r="D598" t="s">
        <v>20</v>
      </c>
      <c r="E598" t="s">
        <v>26</v>
      </c>
      <c r="F598" t="s">
        <v>299</v>
      </c>
      <c r="G598" s="8">
        <v>0.3412</v>
      </c>
      <c r="H598" s="25">
        <v>0.75</v>
      </c>
    </row>
    <row r="599" spans="1:8" x14ac:dyDescent="0.25">
      <c r="A599">
        <v>202606</v>
      </c>
      <c r="B599" t="s">
        <v>42</v>
      </c>
      <c r="C599">
        <v>1764684079</v>
      </c>
      <c r="D599" t="s">
        <v>20</v>
      </c>
      <c r="E599" t="s">
        <v>26</v>
      </c>
      <c r="F599" t="s">
        <v>242</v>
      </c>
      <c r="G599" s="8">
        <v>0.58498740000000005</v>
      </c>
      <c r="H599" s="25">
        <v>0.75</v>
      </c>
    </row>
    <row r="600" spans="1:8" x14ac:dyDescent="0.25">
      <c r="A600">
        <v>202606</v>
      </c>
      <c r="B600" t="s">
        <v>94</v>
      </c>
      <c r="C600">
        <v>1764537882</v>
      </c>
      <c r="D600" t="s">
        <v>20</v>
      </c>
      <c r="E600" t="s">
        <v>26</v>
      </c>
      <c r="F600" t="s">
        <v>183</v>
      </c>
      <c r="G600" s="8">
        <v>5.80557435374</v>
      </c>
      <c r="H600" s="25">
        <v>0.3</v>
      </c>
    </row>
    <row r="601" spans="1:8" x14ac:dyDescent="0.25">
      <c r="A601">
        <v>202606</v>
      </c>
      <c r="B601" t="s">
        <v>94</v>
      </c>
      <c r="C601">
        <v>1764590953</v>
      </c>
      <c r="D601" t="s">
        <v>25</v>
      </c>
      <c r="E601" t="s">
        <v>21</v>
      </c>
      <c r="F601" t="s">
        <v>284</v>
      </c>
      <c r="G601" s="8">
        <v>3</v>
      </c>
      <c r="H601" s="25">
        <v>0.25</v>
      </c>
    </row>
    <row r="602" spans="1:8" x14ac:dyDescent="0.25">
      <c r="A602">
        <v>202606</v>
      </c>
      <c r="B602" t="s">
        <v>94</v>
      </c>
      <c r="C602">
        <v>1764603109</v>
      </c>
      <c r="D602" t="s">
        <v>20</v>
      </c>
      <c r="E602" t="s">
        <v>26</v>
      </c>
      <c r="F602" t="s">
        <v>286</v>
      </c>
      <c r="G602" s="8">
        <v>5.8292328150000001</v>
      </c>
      <c r="H602" s="25">
        <v>0.45</v>
      </c>
    </row>
    <row r="603" spans="1:8" x14ac:dyDescent="0.25">
      <c r="A603">
        <v>202606</v>
      </c>
      <c r="B603" t="s">
        <v>94</v>
      </c>
      <c r="C603">
        <v>1764608313</v>
      </c>
      <c r="D603" t="s">
        <v>20</v>
      </c>
      <c r="E603" t="s">
        <v>26</v>
      </c>
      <c r="F603" t="s">
        <v>185</v>
      </c>
      <c r="G603" s="8">
        <v>0.55735426389999998</v>
      </c>
      <c r="H603" s="25">
        <v>1.1000000000000001</v>
      </c>
    </row>
    <row r="604" spans="1:8" x14ac:dyDescent="0.25">
      <c r="A604">
        <v>202606</v>
      </c>
      <c r="B604" t="s">
        <v>94</v>
      </c>
      <c r="C604">
        <v>1764635728</v>
      </c>
      <c r="D604" t="s">
        <v>20</v>
      </c>
      <c r="E604" t="s">
        <v>21</v>
      </c>
      <c r="F604" t="s">
        <v>243</v>
      </c>
      <c r="G604" s="8">
        <v>5.0730000000000004</v>
      </c>
      <c r="H604" s="25">
        <v>1.6</v>
      </c>
    </row>
    <row r="605" spans="1:8" x14ac:dyDescent="0.25">
      <c r="A605">
        <v>202606</v>
      </c>
      <c r="B605" t="s">
        <v>94</v>
      </c>
      <c r="C605">
        <v>1764635779</v>
      </c>
      <c r="D605" t="s">
        <v>20</v>
      </c>
      <c r="E605" t="s">
        <v>21</v>
      </c>
      <c r="F605" t="s">
        <v>243</v>
      </c>
      <c r="G605" s="8">
        <v>5.0730000000000004</v>
      </c>
      <c r="H605" s="25">
        <v>1.6</v>
      </c>
    </row>
    <row r="606" spans="1:8" x14ac:dyDescent="0.25">
      <c r="A606">
        <v>202606</v>
      </c>
      <c r="B606" t="s">
        <v>94</v>
      </c>
      <c r="C606">
        <v>1764646894</v>
      </c>
      <c r="D606" t="s">
        <v>20</v>
      </c>
      <c r="E606" t="s">
        <v>26</v>
      </c>
      <c r="F606" t="s">
        <v>286</v>
      </c>
      <c r="G606" s="8">
        <v>4.213892982</v>
      </c>
      <c r="H606" s="25">
        <v>0.45</v>
      </c>
    </row>
    <row r="607" spans="1:8" x14ac:dyDescent="0.25">
      <c r="A607">
        <v>202606</v>
      </c>
      <c r="B607" t="s">
        <v>94</v>
      </c>
      <c r="C607">
        <v>1764679660</v>
      </c>
      <c r="D607" t="s">
        <v>20</v>
      </c>
      <c r="E607" t="s">
        <v>26</v>
      </c>
      <c r="F607" t="s">
        <v>185</v>
      </c>
      <c r="G607" s="8">
        <v>0.83167500000000005</v>
      </c>
      <c r="H607" s="25">
        <v>1.1000000000000001</v>
      </c>
    </row>
    <row r="608" spans="1:8" x14ac:dyDescent="0.25">
      <c r="A608">
        <v>202606</v>
      </c>
      <c r="B608" t="s">
        <v>253</v>
      </c>
      <c r="C608">
        <v>1760361356</v>
      </c>
      <c r="D608" t="s">
        <v>20</v>
      </c>
      <c r="E608" t="s">
        <v>37</v>
      </c>
      <c r="F608" t="s">
        <v>269</v>
      </c>
      <c r="G608" s="8">
        <v>2.581324812E-2</v>
      </c>
      <c r="H608" s="25">
        <v>5.2</v>
      </c>
    </row>
    <row r="609" spans="1:8" x14ac:dyDescent="0.25">
      <c r="A609">
        <v>202606</v>
      </c>
      <c r="B609" t="s">
        <v>253</v>
      </c>
      <c r="C609">
        <v>1760379832</v>
      </c>
      <c r="D609" t="s">
        <v>25</v>
      </c>
      <c r="E609" t="s">
        <v>37</v>
      </c>
      <c r="F609" t="s">
        <v>270</v>
      </c>
      <c r="G609" s="8">
        <v>0.33984283000000004</v>
      </c>
      <c r="H609" s="25">
        <v>8.65</v>
      </c>
    </row>
    <row r="610" spans="1:8" x14ac:dyDescent="0.25">
      <c r="A610">
        <v>202606</v>
      </c>
      <c r="B610" t="s">
        <v>253</v>
      </c>
      <c r="C610">
        <v>1764578058</v>
      </c>
      <c r="D610" t="s">
        <v>25</v>
      </c>
      <c r="E610" t="s">
        <v>37</v>
      </c>
      <c r="F610" t="s">
        <v>259</v>
      </c>
      <c r="G610" s="8">
        <v>0.5</v>
      </c>
      <c r="H610" s="25">
        <v>8.5</v>
      </c>
    </row>
    <row r="611" spans="1:8" x14ac:dyDescent="0.25">
      <c r="A611">
        <v>202606</v>
      </c>
      <c r="B611" t="s">
        <v>253</v>
      </c>
      <c r="C611">
        <v>1764635825</v>
      </c>
      <c r="D611" t="s">
        <v>20</v>
      </c>
      <c r="E611" t="s">
        <v>37</v>
      </c>
      <c r="F611" t="s">
        <v>269</v>
      </c>
      <c r="G611" s="8">
        <v>6.4356077999999997E-3</v>
      </c>
      <c r="H611" s="25">
        <v>5</v>
      </c>
    </row>
    <row r="612" spans="1:8" x14ac:dyDescent="0.25">
      <c r="A612">
        <v>202606</v>
      </c>
      <c r="B612" t="s">
        <v>44</v>
      </c>
      <c r="C612">
        <v>1764570570</v>
      </c>
      <c r="D612" t="s">
        <v>20</v>
      </c>
      <c r="E612" t="s">
        <v>37</v>
      </c>
      <c r="F612" t="s">
        <v>87</v>
      </c>
      <c r="G612" s="8">
        <v>2.8571741814</v>
      </c>
      <c r="H612" s="25">
        <v>2.75</v>
      </c>
    </row>
    <row r="613" spans="1:8" x14ac:dyDescent="0.25">
      <c r="A613">
        <v>202606</v>
      </c>
      <c r="B613" t="s">
        <v>44</v>
      </c>
      <c r="C613">
        <v>1764595025</v>
      </c>
      <c r="D613" t="s">
        <v>20</v>
      </c>
      <c r="E613" t="s">
        <v>37</v>
      </c>
      <c r="F613" t="s">
        <v>87</v>
      </c>
      <c r="G613" s="8">
        <v>1.1814716751200001</v>
      </c>
      <c r="H613" s="25">
        <v>2.85</v>
      </c>
    </row>
    <row r="614" spans="1:8" x14ac:dyDescent="0.25">
      <c r="A614">
        <v>202606</v>
      </c>
      <c r="B614" t="s">
        <v>44</v>
      </c>
      <c r="C614">
        <v>1764674227</v>
      </c>
      <c r="D614" t="s">
        <v>20</v>
      </c>
      <c r="E614" t="s">
        <v>37</v>
      </c>
      <c r="F614" t="s">
        <v>87</v>
      </c>
      <c r="G614" s="8">
        <v>5.9963191673400003</v>
      </c>
      <c r="H614" s="25">
        <v>2.85</v>
      </c>
    </row>
    <row r="615" spans="1:8" x14ac:dyDescent="0.25">
      <c r="A615">
        <v>202606</v>
      </c>
      <c r="B615" t="s">
        <v>46</v>
      </c>
      <c r="C615">
        <v>1764654900</v>
      </c>
      <c r="D615" t="s">
        <v>20</v>
      </c>
      <c r="E615" t="s">
        <v>21</v>
      </c>
      <c r="F615" t="s">
        <v>300</v>
      </c>
      <c r="G615" s="8">
        <v>0.85550000000000004</v>
      </c>
      <c r="H615" s="25">
        <v>0.6</v>
      </c>
    </row>
    <row r="616" spans="1:8" x14ac:dyDescent="0.25">
      <c r="A616">
        <v>202606</v>
      </c>
      <c r="B616" t="s">
        <v>46</v>
      </c>
      <c r="C616">
        <v>1764682769</v>
      </c>
      <c r="D616" t="s">
        <v>25</v>
      </c>
      <c r="E616" t="s">
        <v>37</v>
      </c>
      <c r="F616" t="s">
        <v>189</v>
      </c>
      <c r="G616" s="8">
        <v>0.66836219999999991</v>
      </c>
      <c r="H616" s="25">
        <v>0.7</v>
      </c>
    </row>
  </sheetData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2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9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0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90588FC5-8B93-411F-A96E-D4C1AEC19649}">
  <ds:schemaRefs/>
</ds:datastoreItem>
</file>

<file path=customXml/itemProps14.xml><?xml version="1.0" encoding="utf-8"?>
<ds:datastoreItem xmlns:ds="http://schemas.openxmlformats.org/officeDocument/2006/customXml" ds:itemID="{4659908D-13D6-4690-BBB8-8ACF03AC786A}">
  <ds:schemaRefs/>
</ds:datastoreItem>
</file>

<file path=customXml/itemProps15.xml><?xml version="1.0" encoding="utf-8"?>
<ds:datastoreItem xmlns:ds="http://schemas.openxmlformats.org/officeDocument/2006/customXml" ds:itemID="{1B91F112-2E72-45F8-9482-39154028D97E}">
  <ds:schemaRefs/>
</ds:datastoreItem>
</file>

<file path=customXml/itemProps16.xml><?xml version="1.0" encoding="utf-8"?>
<ds:datastoreItem xmlns:ds="http://schemas.openxmlformats.org/officeDocument/2006/customXml" ds:itemID="{7D01631E-2D7E-4F93-A4A6-81EF2F02A103}">
  <ds:schemaRefs/>
</ds:datastoreItem>
</file>

<file path=customXml/itemProps17.xml><?xml version="1.0" encoding="utf-8"?>
<ds:datastoreItem xmlns:ds="http://schemas.openxmlformats.org/officeDocument/2006/customXml" ds:itemID="{A559C5D8-F666-4029-8098-BB67A3E53C1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2026-06-26T17:00:03Z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