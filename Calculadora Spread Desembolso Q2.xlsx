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bcofinanciero-my.sharepoint.com/personal/estrategiayplanificacionbm_financiero_com_pe/Documents/Estrategia y Planificación/Planificación Comercial/6. Luis Zelada/Compartido/"/>
    </mc:Choice>
  </mc:AlternateContent>
  <xr:revisionPtr revIDLastSave="124" documentId="8_{E36DC478-9D34-4691-AA52-C22FB807C30C}" xr6:coauthVersionLast="47" xr6:coauthVersionMax="47" xr10:uidLastSave="{2D131688-0FA3-4375-84E3-71E861E3D866}"/>
  <bookViews>
    <workbookView xWindow="-120" yWindow="-120" windowWidth="29040" windowHeight="15840" xr2:uid="{BEC1CC08-7D12-4054-A6E2-49DCCE683546}"/>
  </bookViews>
  <sheets>
    <sheet name="Calculadora" sheetId="2" r:id="rId1"/>
  </sheets>
  <definedNames>
    <definedName name="DatosExternos_1" localSheetId="0" hidden="1">Calculadora!$S$11:$S$12</definedName>
    <definedName name="SegmentaciónDeDatos_Grupo">#N/A</definedName>
    <definedName name="SegmentaciónDeDatos_Lider">#N/A</definedName>
    <definedName name="SegmentaciónDeDatos_NombreFuncionario">#N/A</definedName>
  </definedNames>
  <calcPr calcId="191028"/>
  <pivotCaches>
    <pivotCache cacheId="90" r:id="rId2"/>
    <pivotCache cacheId="93" r:id="rId3"/>
  </pivotCaches>
  <extLst>
    <ext xmlns:x14="http://schemas.microsoft.com/office/spreadsheetml/2009/9/main" uri="{876F7934-8845-4945-9796-88D515C7AA90}">
      <x14:pivotCaches>
        <pivotCache cacheId="89" r:id="rId4"/>
      </x14:pivotCaches>
    </ex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esem_b1380b3c-db72-424f-adbb-d519295d1a86" name="Desem" connection="Consulta - Desem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G9" i="2"/>
  <c r="H9" i="2" a="1"/>
  <c r="H9" i="2" s="1"/>
  <c r="H8" i="2" a="1"/>
  <c r="H8" i="2" s="1"/>
  <c r="G8" i="2"/>
  <c r="H7" i="2" a="1"/>
  <c r="H7" i="2" s="1"/>
  <c r="G7" i="2"/>
  <c r="B3" i="2" a="1"/>
  <c r="B3" i="2" s="1"/>
  <c r="H11" i="2"/>
  <c r="G11" i="2"/>
  <c r="T18" i="2"/>
  <c r="H10" i="2" l="1"/>
  <c r="G10" i="2"/>
  <c r="H13" i="2"/>
  <c r="H12" i="2"/>
  <c r="G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2DF93E-A863-4685-9B34-A3217F685E2C}" name="Consulta - Desem" description="Conexión a la consulta 'Desem' en el libro." type="100" refreshedVersion="8" minRefreshableVersion="5">
    <extLst>
      <ext xmlns:x15="http://schemas.microsoft.com/office/spreadsheetml/2010/11/main" uri="{DE250136-89BD-433C-8126-D09CA5730AF9}">
        <x15:connection id="16238ebd-f7d5-437f-b034-fcea7d32cd27"/>
      </ext>
    </extLst>
  </connection>
  <connection id="2" xr16:uid="{8529ABFE-45EA-4C83-9037-CFF057C5D8A6}" keepAlive="1" name="Consulta - Hoy" description="Conexión a la consulta 'Hoy' en el libro." type="5" refreshedVersion="8" background="1" saveData="1">
    <dbPr connection="Provider=Microsoft.Mashup.OleDb.1;Data Source=$Workbook$;Location=Hoy;Extended Properties=&quot;&quot;" command="SELECT * FROM [Hoy]"/>
  </connection>
  <connection id="3" xr16:uid="{08D6A999-23BE-4C9A-B34F-1512DC4E1596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<sst xmlns="http://schemas.openxmlformats.org/spreadsheetml/2006/main" count="3450" uniqueCount="335">
  <si>
    <t>Calculadora de spread de desembolso</t>
  </si>
  <si>
    <t>Actualizado:</t>
  </si>
  <si>
    <t>Desembolsos</t>
  </si>
  <si>
    <t>Spread</t>
  </si>
  <si>
    <t>Acumulado Real</t>
  </si>
  <si>
    <t>Acumulado Simulado</t>
  </si>
  <si>
    <t>Meta Q2</t>
  </si>
  <si>
    <t>Nota. Monto en millones</t>
  </si>
  <si>
    <t>Nota. No ingresar spread como porcentaje (%).</t>
  </si>
  <si>
    <t>Periodo</t>
  </si>
  <si>
    <t>Nombre Funcionario</t>
  </si>
  <si>
    <t>Operacion</t>
  </si>
  <si>
    <t>Moneda</t>
  </si>
  <si>
    <t>Producto</t>
  </si>
  <si>
    <t>NombreCliente</t>
  </si>
  <si>
    <t>Monto Desem.</t>
  </si>
  <si>
    <t>Spread Desem.</t>
  </si>
  <si>
    <t>A.ROJAS</t>
  </si>
  <si>
    <t>USD</t>
  </si>
  <si>
    <t>PRESTAMOS</t>
  </si>
  <si>
    <t>Etiquetas de fila</t>
  </si>
  <si>
    <t>Banquero</t>
  </si>
  <si>
    <t>2026 Q2</t>
  </si>
  <si>
    <t>PEN</t>
  </si>
  <si>
    <t>COMEX</t>
  </si>
  <si>
    <t>G.BRAVO</t>
  </si>
  <si>
    <t>C.ESPINOZA</t>
  </si>
  <si>
    <t>M.LAZO</t>
  </si>
  <si>
    <t>C.MARKY</t>
  </si>
  <si>
    <t>R.HERVIAS</t>
  </si>
  <si>
    <t>C.MEJIA</t>
  </si>
  <si>
    <t>G.AGAPITO</t>
  </si>
  <si>
    <t>J.NICOLI</t>
  </si>
  <si>
    <t>J.RAFFO*14014</t>
  </si>
  <si>
    <t>DESCUENTOS</t>
  </si>
  <si>
    <t>P.OYARCE</t>
  </si>
  <si>
    <t>G.RAFFO</t>
  </si>
  <si>
    <t>J.CARRERA</t>
  </si>
  <si>
    <t>J.GRANDEZ</t>
  </si>
  <si>
    <t>M.ROA</t>
  </si>
  <si>
    <t>R.SOLIS</t>
  </si>
  <si>
    <t>M.CASTAÑEDA</t>
  </si>
  <si>
    <t>W.MACHUCA</t>
  </si>
  <si>
    <t>Total general</t>
  </si>
  <si>
    <t>ACEROS Y CONCRETOS S A C</t>
  </si>
  <si>
    <t>S &amp; M FOODS SAC</t>
  </si>
  <si>
    <t>REPRESENTACIONES TECNIMOTORS EIRL</t>
  </si>
  <si>
    <t>INDUSTRIA GRAFICA CIMAGRAF SAC</t>
  </si>
  <si>
    <t>MEDIANO PLAZO</t>
  </si>
  <si>
    <t>MOLINOS ASOCIADOS SOCIEDAD ANONIMA CERRADA</t>
  </si>
  <si>
    <t>RIPCONCIV CONSTRUCCIONES CIVILES CIA LTDA SUC</t>
  </si>
  <si>
    <t>AGROMAR INDUSTRIAL S A</t>
  </si>
  <si>
    <t>EDIFICADORA DE DISE#O Y CONSTRUCCION SAC</t>
  </si>
  <si>
    <t>IESA S A</t>
  </si>
  <si>
    <t>UNION DE TECNICOS ELECTROMECANICOS SAC</t>
  </si>
  <si>
    <t>C.MARKY*16024</t>
  </si>
  <si>
    <t>M.RODRIGUEZ*16329</t>
  </si>
  <si>
    <t>FITFLOW PERU SRL</t>
  </si>
  <si>
    <t>M &amp; CALERA SANTA SAC</t>
  </si>
  <si>
    <t>ITALTEL PERU SAC</t>
  </si>
  <si>
    <t>SIMED PERU SAC</t>
  </si>
  <si>
    <t>OPERACIONES SEPROCAL SAC</t>
  </si>
  <si>
    <t>INTEGRACION LOGISTICA INLOG SAC</t>
  </si>
  <si>
    <t>NOR AUTOS CHICLAYO SAC</t>
  </si>
  <si>
    <t>POLYROOF SOCIEDAD ANONIMA CERRADA</t>
  </si>
  <si>
    <t>MOTO REPUESTOS &amp; AB SAC</t>
  </si>
  <si>
    <t>HILANDERIA LURIN SAC</t>
  </si>
  <si>
    <t>ECO PROYEC PERU S A C</t>
  </si>
  <si>
    <t>ISEG PERU SAC</t>
  </si>
  <si>
    <t>SOUTH PACIFIC INTERNATIONAL S A C</t>
  </si>
  <si>
    <t>FERRETERIA CATALEYA SAC</t>
  </si>
  <si>
    <t>CIA INDUSTRIAL NUEVO MUNDO S A</t>
  </si>
  <si>
    <t>MINERA TITAN DEL PERU S R L</t>
  </si>
  <si>
    <t>M &amp; M REPUESTOS Y SERVICIOS</t>
  </si>
  <si>
    <t>LA CALERA S A C</t>
  </si>
  <si>
    <t>ENERCITY SAC</t>
  </si>
  <si>
    <t>EL BOSQUE EMPRESA INDIVIDUAL DE RLTDA</t>
  </si>
  <si>
    <t>DISTRIBUCIONES OLANO SAC</t>
  </si>
  <si>
    <t>SOCIEDAD DE AUTOMOTORES INKA SAC</t>
  </si>
  <si>
    <t>QUICORNAC SAC</t>
  </si>
  <si>
    <t>COMPA#IA AGROINDUSTRIAL SANTA ANA SAC</t>
  </si>
  <si>
    <t>PERALES HUANCARUNA S A PERHUSA</t>
  </si>
  <si>
    <t>REPALSA SA</t>
  </si>
  <si>
    <t>ALVAREZ LARREA EQUIPOS MEDICOS ALEM CIA LTDA</t>
  </si>
  <si>
    <t>URBANIZADORA JARDIN S A</t>
  </si>
  <si>
    <t>AEROPUERTOS DEL PERU S A</t>
  </si>
  <si>
    <t>AI INVERSIONES PALO ALTO II S A C</t>
  </si>
  <si>
    <t>TRINY RENTAL SAC</t>
  </si>
  <si>
    <t>SERVOSA COMBUSTIBLES SAC</t>
  </si>
  <si>
    <t>AGROVET MARKET SA</t>
  </si>
  <si>
    <t>IXM TRADING PERU SAC</t>
  </si>
  <si>
    <t>ESTILOS S R L</t>
  </si>
  <si>
    <t>FRUTOS TONGORRAPE SOCIEDAD ANONIMA</t>
  </si>
  <si>
    <t>OPP FILM S A</t>
  </si>
  <si>
    <t>PYMATEK AUTOMATION S R L</t>
  </si>
  <si>
    <t>AMAZONAS TRADING PERU SAC</t>
  </si>
  <si>
    <t>D.HERRERA*14796</t>
  </si>
  <si>
    <t>ESMERALDA CORP SAC</t>
  </si>
  <si>
    <t>IMBAREX SA</t>
  </si>
  <si>
    <t>EMUSA PERU SAC</t>
  </si>
  <si>
    <t>BIG ROCK S A C</t>
  </si>
  <si>
    <t>CONSORCIO GEOHIDRAULICA SAC</t>
  </si>
  <si>
    <t>SILVATEAM PERU COMERCIAL SAC</t>
  </si>
  <si>
    <t>PAPELERA NACIONAL S A</t>
  </si>
  <si>
    <t>MOTOR MUNDO SAC</t>
  </si>
  <si>
    <t>GP MOTOS SOCIEDAD ANONIMA CERRADA</t>
  </si>
  <si>
    <t>PACKPLAST ENVOLTURAS SAC</t>
  </si>
  <si>
    <t>L.PEREZ*16364</t>
  </si>
  <si>
    <t>JRC MAQUINARIAS S A C</t>
  </si>
  <si>
    <t>CARTOCOR DE PERU S A</t>
  </si>
  <si>
    <t>EUROCAPITAL SERVICIOS FINANCIEROS S A C</t>
  </si>
  <si>
    <t>ECOPACKING CLAMSHELLS SAC</t>
  </si>
  <si>
    <t>Column1</t>
  </si>
  <si>
    <t>Nota: Incluye mediana salida.</t>
  </si>
  <si>
    <t>M.ROA*14362</t>
  </si>
  <si>
    <t>M.VELASQUEZ*16395</t>
  </si>
  <si>
    <t>V.GRADOS*16365</t>
  </si>
  <si>
    <t>H.GALVEZ*16404</t>
  </si>
  <si>
    <t>ECOINTEGRITY SAC</t>
  </si>
  <si>
    <t>VSI INDUSTRIAL SAC</t>
  </si>
  <si>
    <t>IMPORTADORA GUILLEN PERU SAC</t>
  </si>
  <si>
    <t>COMPA#IA DE ABASTECIMIENTO INDUSTRIAL SAC</t>
  </si>
  <si>
    <t>SCHROTH CORPORACION PAPELERA S A C</t>
  </si>
  <si>
    <t>PROCESADORA LARAN S A C</t>
  </si>
  <si>
    <t>DIMATIC SAC</t>
  </si>
  <si>
    <t>PRIMUS CAPITAL PERU SAC</t>
  </si>
  <si>
    <t>RASH PERU SRL</t>
  </si>
  <si>
    <t>GMG COMERCIAL PERU S A</t>
  </si>
  <si>
    <t>KIA IMPORT PERU SAC</t>
  </si>
  <si>
    <t>FRIGOSA SAC</t>
  </si>
  <si>
    <t>PALCON PERU SAC</t>
  </si>
  <si>
    <t>ROBOCON SERVICIOS SAC</t>
  </si>
  <si>
    <t>CORPORACION INMOBILIARIA TULSI SAC</t>
  </si>
  <si>
    <t>ELECTRONORTE SA</t>
  </si>
  <si>
    <t>EMP REG DE SERV PUB DE ELECT ELECTRONORTE MED</t>
  </si>
  <si>
    <t>Julio</t>
  </si>
  <si>
    <t>Agosto</t>
  </si>
  <si>
    <t>Setiembre</t>
  </si>
  <si>
    <t>KSL SAC</t>
  </si>
  <si>
    <t>INCATECH S A C</t>
  </si>
  <si>
    <t>REFAX PERU SA</t>
  </si>
  <si>
    <t>CORPORACION DE INGENIERIA DE REFRIGERACION</t>
  </si>
  <si>
    <t>MEGAPACK GROUP SOCIEDAD ANONIMA CERRADA</t>
  </si>
  <si>
    <t>DRRP SOCIEDAD ANONIMA CERRADA</t>
  </si>
  <si>
    <t>J.NAVARRO</t>
  </si>
  <si>
    <t>S &amp; C SOLUCIONES INTEGRALES SAC</t>
  </si>
  <si>
    <t>SCANIA SERVICES DEL PERU</t>
  </si>
  <si>
    <t>AGRICOLA DON GUILLERMO S A C</t>
  </si>
  <si>
    <t>PULPAS Y PROCESADOS DEL AGRO SOCIEDAD ANONIMA</t>
  </si>
  <si>
    <t>TEXTILE SOURCING COMPANY SAC BIC</t>
  </si>
  <si>
    <t>OIL TRADING SAC</t>
  </si>
  <si>
    <t>PERUFARMA S A</t>
  </si>
  <si>
    <t>FIBRAS MARINAS SA</t>
  </si>
  <si>
    <t>COMPLEJO AGROINDUSTRIAL BETA S A</t>
  </si>
  <si>
    <t>AUTOMOTORES GILDEMEISTER PERU S A C</t>
  </si>
  <si>
    <t>COSTA ATLANTICA SA</t>
  </si>
  <si>
    <t>FORUM DISTRIBUIDORA DEL PERU SA</t>
  </si>
  <si>
    <t>J CH COMERCIAL S A</t>
  </si>
  <si>
    <t>INDUSTRIAS JHOMERON S A</t>
  </si>
  <si>
    <t>ELECTRONOROESTE S A</t>
  </si>
  <si>
    <t>PROTEIN PARTNERS</t>
  </si>
  <si>
    <t>TUBOPLAST SA</t>
  </si>
  <si>
    <t>CONSORCIO DE PRODUCTORES DE FRUTA SA</t>
  </si>
  <si>
    <t>DIGETEL SOLUCIONES SAC</t>
  </si>
  <si>
    <t>IMPULSA365 SAC</t>
  </si>
  <si>
    <t>CLASS COMPLEMENTS SAC</t>
  </si>
  <si>
    <t>CORPORACION PANASERVICE SAC</t>
  </si>
  <si>
    <t>GRIFO JHP EIRL LTDA</t>
  </si>
  <si>
    <t>OREGON FOODS SAC</t>
  </si>
  <si>
    <t>J &amp; V RESGUARDO S A C</t>
  </si>
  <si>
    <t>LEON AUTOS S A</t>
  </si>
  <si>
    <t>INVERSIONES FLOTEX SAC</t>
  </si>
  <si>
    <t>EMPRESAS PINTO PERU SA</t>
  </si>
  <si>
    <t>DISTRIBUIDORA COMERCIAL ALVAREZ BOHL S R L</t>
  </si>
  <si>
    <t>CORPORACION FRUTICOLA DE CHINCHA S A C</t>
  </si>
  <si>
    <t>CONTINENTAL TRAVEL SAC</t>
  </si>
  <si>
    <t>ARTECOLA PERU SA</t>
  </si>
  <si>
    <t>INVERSIONES RUBIN S SAC</t>
  </si>
  <si>
    <t>TAI LOY S A</t>
  </si>
  <si>
    <t>DELICE SAC</t>
  </si>
  <si>
    <t>GRUPO ELECTRODATA SAC</t>
  </si>
  <si>
    <t>DEUTSCHE PHARMA S A C</t>
  </si>
  <si>
    <t>HIVIMAR S A C</t>
  </si>
  <si>
    <t>LA JOYA COMERCIAL SAC</t>
  </si>
  <si>
    <t>HERMANOS NU#EZ GAONA SRL</t>
  </si>
  <si>
    <t>ANALYTICA MINERAL SERVICES SAC</t>
  </si>
  <si>
    <t>EXPORTADORA ROMEX SA</t>
  </si>
  <si>
    <t>VIAGO E I R L</t>
  </si>
  <si>
    <t>ZONA LLANTAS SAC</t>
  </si>
  <si>
    <t>COBEFAR SAC</t>
  </si>
  <si>
    <t>CRECE CAPITAL SAC</t>
  </si>
  <si>
    <t>ELITE BRANDS INTERNATIONAL PERU SRL</t>
  </si>
  <si>
    <t>ELEODORO QUIROGA RAMOS SAC</t>
  </si>
  <si>
    <t>AGROCOSTA PERU SAC</t>
  </si>
  <si>
    <t>SUNSHINE EXPORT SAC</t>
  </si>
  <si>
    <t>DIAMANTE DEL PACIFICO SA</t>
  </si>
  <si>
    <t>EMPRESA DE CREDITOS SANTANDER CONSUMO PERU SA</t>
  </si>
  <si>
    <t>CONSTRUCTORA ABA S A C</t>
  </si>
  <si>
    <t>TOTAL SERVICIOS FINANCIEROS EMPRESAS DE CREDI</t>
  </si>
  <si>
    <t>CORPORATION WITHMORY SRL</t>
  </si>
  <si>
    <t>HUMON LATIN AMERICA SA</t>
  </si>
  <si>
    <t>CREACIONES DE EXPORTACION SAC</t>
  </si>
  <si>
    <t>NATURAL GAS COMPANY S A C</t>
  </si>
  <si>
    <t>C &amp; M SERVICENTROS SOCIEDAD ANONIMA CERRADA</t>
  </si>
  <si>
    <t>CORPORACION CAYMAN SAC</t>
  </si>
  <si>
    <t>AGROINDUSTRIAS HUARAL SAC</t>
  </si>
  <si>
    <t>CONDUTO PERU SAC</t>
  </si>
  <si>
    <t>ACEROS COMERCIALES S C R L</t>
  </si>
  <si>
    <t>TRANSPORTES LINEA S A</t>
  </si>
  <si>
    <t>ZEDINA ALIMENTOS SAC</t>
  </si>
  <si>
    <t>CONSORCIO MEDITERRANEO SAC</t>
  </si>
  <si>
    <t>CENTRO COMERCIAL PLAZA NORTE SAC</t>
  </si>
  <si>
    <t>E &amp; M SRL</t>
  </si>
  <si>
    <t>LA LLAVE SA</t>
  </si>
  <si>
    <t>PROVEEDORES MINEROS SAC</t>
  </si>
  <si>
    <t>DISMAR EIR LTDA</t>
  </si>
  <si>
    <t>ESTACIONES Y SERVICIOS MHT EIRL</t>
  </si>
  <si>
    <t>COVISIAN ESPA#A SL SOC UNIP SUC EN PERU</t>
  </si>
  <si>
    <t>FLORIDABLANCA SAC</t>
  </si>
  <si>
    <t>POLIMEROS Y PLASTICOS ANDINA SAC</t>
  </si>
  <si>
    <t>P A PERU S A C</t>
  </si>
  <si>
    <t>GRUPO DELTRON S A</t>
  </si>
  <si>
    <t>SEDISA S A C</t>
  </si>
  <si>
    <t>CENTRO COMERCIAL MALL DEL SUR SAC</t>
  </si>
  <si>
    <t>CONECTA RETAIL SA</t>
  </si>
  <si>
    <t>MARCO PERUANA S A</t>
  </si>
  <si>
    <t>INKAPACKING SAC</t>
  </si>
  <si>
    <t>PREMIUM BRANDS S A C</t>
  </si>
  <si>
    <t>TRICORZO SA</t>
  </si>
  <si>
    <t>CYNARA PERU SAC</t>
  </si>
  <si>
    <t>INTERLOOM S A C</t>
  </si>
  <si>
    <t>TRAUMA SOLUTIONS SAC</t>
  </si>
  <si>
    <t>POLIMASTER SAC</t>
  </si>
  <si>
    <t>CORPORACION MOLIENDA ZUR SAC</t>
  </si>
  <si>
    <t>INVERMIN PAITITI SOCIEDAD ANONIMA CERRADA</t>
  </si>
  <si>
    <t>INDURAMA PERU SAC</t>
  </si>
  <si>
    <t>AMBACAR S A C</t>
  </si>
  <si>
    <t>D.ROSADO*16377</t>
  </si>
  <si>
    <t>INVERSIONES PUCARA S A C</t>
  </si>
  <si>
    <t>ECOPACKING CARTONES SAC</t>
  </si>
  <si>
    <t>INVERSIONES MUYA SAC</t>
  </si>
  <si>
    <t>CLASIFICADORA DE LANAS MACEDO SAC</t>
  </si>
  <si>
    <t>TIENDAS PERUANAS SA</t>
  </si>
  <si>
    <t>TS NET S A</t>
  </si>
  <si>
    <t>J R STEEL COMPANY</t>
  </si>
  <si>
    <t>PENTATECH CONSTRUCCION S A C</t>
  </si>
  <si>
    <t>OVOSUR S A</t>
  </si>
  <si>
    <t>ED&amp;F MAN VOLCAFE PERU SA</t>
  </si>
  <si>
    <t>RELIPER PERU SAC</t>
  </si>
  <si>
    <t>COREPTEC SAC</t>
  </si>
  <si>
    <t>WAN XIN GROUP EIRL</t>
  </si>
  <si>
    <t>TERMINALES PORTUARIOS PERUANOS</t>
  </si>
  <si>
    <t>SALESLAND PACIFICO SA</t>
  </si>
  <si>
    <t>GRUPO QTC S A C</t>
  </si>
  <si>
    <t>BIOCON DEL PERU S A C</t>
  </si>
  <si>
    <t>A.GARCIA*11791</t>
  </si>
  <si>
    <t>KIMSA FRESH SAC</t>
  </si>
  <si>
    <t>FERNANDEZ SAC</t>
  </si>
  <si>
    <t>AQU ANQA II SAC</t>
  </si>
  <si>
    <t>GRUPO AMERICANO DE COMERCIO S A C</t>
  </si>
  <si>
    <t>FABRICA DE ENVASES SA</t>
  </si>
  <si>
    <t>PERULAB EXPRESS SAC</t>
  </si>
  <si>
    <t>CUPRICA S A C</t>
  </si>
  <si>
    <t>ELECTRO FERRO CENTRO SAC EFC SAC</t>
  </si>
  <si>
    <t>BEAGLE AGENTES DE ADUANA SA</t>
  </si>
  <si>
    <t>INVERSIONES JOCEMA SAC</t>
  </si>
  <si>
    <t>MAREAUTO PERU SA</t>
  </si>
  <si>
    <t>LOS OLIVOS DE VILLACURI SAC</t>
  </si>
  <si>
    <t>M &amp; H GROUP SAC</t>
  </si>
  <si>
    <t>AGRO SAN GERARDO SAC</t>
  </si>
  <si>
    <t>MINERIA CORPORATIVA SAC</t>
  </si>
  <si>
    <t>EUROVA SAC</t>
  </si>
  <si>
    <t>VIRU S A</t>
  </si>
  <si>
    <t>CORPORACION ACEROS AREQUIPA S A</t>
  </si>
  <si>
    <t>ERGOMATIC SAC</t>
  </si>
  <si>
    <t>PROYECTOS EJECUCION Y MONTAJES INDST S A</t>
  </si>
  <si>
    <t>SOCIEDAD AGRICOLA 3P SAC</t>
  </si>
  <si>
    <t>A I D INGENIEROS SAC</t>
  </si>
  <si>
    <t>REPRESENTACIONES CASTILLO SA</t>
  </si>
  <si>
    <t>DISERNIC SAC</t>
  </si>
  <si>
    <t>COMPRA Y VENTA DE MATERIALES METALICOS S A C</t>
  </si>
  <si>
    <t>CORPORACION AGROLATINA S A C</t>
  </si>
  <si>
    <t>ROTAPEL SA</t>
  </si>
  <si>
    <t>JM LUDAFA SAC</t>
  </si>
  <si>
    <t>CORPORACION BJR IMPORT SUR S A C</t>
  </si>
  <si>
    <t>EXANDAL SA</t>
  </si>
  <si>
    <t>COLOREXA SOCIEDAD ANONIMA CERRADA</t>
  </si>
  <si>
    <t>FACTOTAL PERU SA</t>
  </si>
  <si>
    <t>LA GENOVESA SAC</t>
  </si>
  <si>
    <t>LA GENOVESA DISTRIBUCIONES SAC</t>
  </si>
  <si>
    <t>RIVULIS PERU SAC</t>
  </si>
  <si>
    <t>OTOYA MH SAC</t>
  </si>
  <si>
    <t>INTEROC S A</t>
  </si>
  <si>
    <t>GLOBAL LINE SERVICE SAC</t>
  </si>
  <si>
    <t>INDUSTRIAS PSB SAC</t>
  </si>
  <si>
    <t>INVERSIONES &amp; NEGOCIACIONES FERRE SAC</t>
  </si>
  <si>
    <t>AGROEXPORTACIONES NATHANAEL SAC</t>
  </si>
  <si>
    <t>SURPACK S A</t>
  </si>
  <si>
    <t>OLPA GROUP SOLUTION SAC</t>
  </si>
  <si>
    <t>Q MEDICAL SAC</t>
  </si>
  <si>
    <t>LCN PERU SAC</t>
  </si>
  <si>
    <t>DISTRIB FARMACEUTICA LA LIBERTAD SAC</t>
  </si>
  <si>
    <t>TAMBOS PERU SAC</t>
  </si>
  <si>
    <t>FORZAMAT SAC</t>
  </si>
  <si>
    <t>SISTEMAS ANALITICOS SRL</t>
  </si>
  <si>
    <t>TECNICA AVICOLA S A</t>
  </si>
  <si>
    <t>RAINFOREST TRADING SAC</t>
  </si>
  <si>
    <t>EFDS S A C</t>
  </si>
  <si>
    <t>NEGRISA S A C</t>
  </si>
  <si>
    <t>AZAFRE PERU S A C</t>
  </si>
  <si>
    <t>PROTECCION Y RESGUARDO SA</t>
  </si>
  <si>
    <t>UNION DE NEGOCIOS CORPORATIVOS SAC</t>
  </si>
  <si>
    <t>EXPORTADORA FRUTICOLA DEL SUR S A</t>
  </si>
  <si>
    <t>INVERSIONES PECUARIAS LURIN S A</t>
  </si>
  <si>
    <t>IMPORTACION EXPORTACION ALBA SAC</t>
  </si>
  <si>
    <t>ESTACION DE SERVICIOS SAN JOSE S A C</t>
  </si>
  <si>
    <t>INDUSTRIAL SUPPLY CM SAC</t>
  </si>
  <si>
    <t>TECNOFIL S A</t>
  </si>
  <si>
    <t>INDUAMERICA COMERCIAL SAC</t>
  </si>
  <si>
    <t>R &amp; R CORPORACION SAC</t>
  </si>
  <si>
    <t>HOMECENTERS PERUANOS SA</t>
  </si>
  <si>
    <t>LABORATORIOS LANSIER SAC</t>
  </si>
  <si>
    <t>MARINE INDUSTRIAL CORPORATION SAC</t>
  </si>
  <si>
    <t>TIENDAS POR DEPARTAMENTO RIPLEY SAC</t>
  </si>
  <si>
    <t>CAMPOS DEL SUR SA</t>
  </si>
  <si>
    <t>PRECISION PERU SA</t>
  </si>
  <si>
    <t>KRIPTO PAYMENT SOLUTIONS SAC</t>
  </si>
  <si>
    <t>SOLUCIONES ELECTRICAS Y SANITARIAS PERU SAC</t>
  </si>
  <si>
    <t>MAQUINARIAS Y EQUIPOS DEL PERU S A</t>
  </si>
  <si>
    <t>PERULAB S A</t>
  </si>
  <si>
    <t>ANYERO INVERSIONES SAC</t>
  </si>
  <si>
    <t>CAYMAN SAC</t>
  </si>
  <si>
    <t>ANDECORP GROUP SAC</t>
  </si>
  <si>
    <t>PACIFICO INTERNATIONAL TRADING COMPANY S A C</t>
  </si>
  <si>
    <t>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</si>
</sst>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26"/>
      <color theme="4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darkGray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2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2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wrapText="1"/>
    </xf>
    <xf numFmtId="0" fontId="0" fillId="5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5" borderId="0" xfId="0" applyFill="1"/>
    <xf numFmtId="0" fontId="6" fillId="0" borderId="0" xfId="0" applyFont="1" applyAlignment="1">
      <alignment horizontal="left" wrapText="1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78"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7.xml"/><Relationship Id="rId7" Type="http://schemas.microsoft.com/office/2007/relationships/slicerCache" Target="slicerCaches/slicerCache3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5" Type="http://schemas.microsoft.com/office/2007/relationships/slicerCache" Target="slicerCaches/slicerCache1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pivotCacheDefinition" Target="pivotCache/pivotCacheDefinition3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207009</xdr:colOff>
      <xdr:row>3</xdr:row>
      <xdr:rowOff>100966</xdr:rowOff>
    </xdr:from>
    <xdr:to>
      <xdr:col>4</xdr:col>
      <xdr:colOff>1063307</xdr:colOff>
      <xdr:row>14</xdr:row>
      <xdr:rowOff>17145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NombreFuncionario">
              <a:extLst>
                <a:ext uri="{FF2B5EF4-FFF2-40B4-BE49-F238E27FC236}">
                  <a16:creationId xmlns:a16="http://schemas.microsoft.com/office/drawing/2014/main" id="{062203D1-6606-0C38-6B62-508984CF5A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Funciona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96819" y="710069"/>
              <a:ext cx="2475300" cy="18380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36197</xdr:colOff>
      <xdr:row>3</xdr:row>
      <xdr:rowOff>99379</xdr:rowOff>
    </xdr:from>
    <xdr:to>
      <xdr:col>2</xdr:col>
      <xdr:colOff>18195</xdr:colOff>
      <xdr:row>7</xdr:row>
      <xdr:rowOff>73025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Lider">
              <a:extLst>
                <a:ext uri="{FF2B5EF4-FFF2-40B4-BE49-F238E27FC236}">
                  <a16:creationId xmlns:a16="http://schemas.microsoft.com/office/drawing/2014/main" id="{D02E82D1-0586-D780-CFB8-85FF4D0EC4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97" y="708482"/>
              <a:ext cx="2306098" cy="6929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15240</xdr:colOff>
      <xdr:row>7</xdr:row>
      <xdr:rowOff>177165</xdr:rowOff>
    </xdr:from>
    <xdr:to>
      <xdr:col>2</xdr:col>
      <xdr:colOff>1049</xdr:colOff>
      <xdr:row>14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rupo">
              <a:extLst>
                <a:ext uri="{FF2B5EF4-FFF2-40B4-BE49-F238E27FC236}">
                  <a16:creationId xmlns:a16="http://schemas.microsoft.com/office/drawing/2014/main" id="{E67165A9-A777-3BFB-34FC-3D225156F2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1515139"/>
              <a:ext cx="2285144" cy="9796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 Zelada" refreshedDate="46296.895082870367" createdVersion="5" refreshedVersion="8" minRefreshableVersion="3" recordCount="0" supportSubquery="1" supportAdvancedDrill="1" xr:uid="{91FC5B72-2F0F-4E4B-AC75-F8DC5A46E310}">
  <cacheSource type="external" connectionId="3"/>
  <cacheFields count="1">
    <cacheField name="[Desem].[NombreFuncionario].[NombreFuncionario]" caption="NombreFuncionario" numFmtId="0" hierarchy="9" level="1">
      <sharedItems count="22">
        <s v="A.GARCIA*11791"/>
        <s v="A.ROJAS"/>
        <s v="C.MARKY*16024"/>
        <s v="C.MEJIA"/>
        <s v="D.HERRERA*14796"/>
        <s v="D.ROSADO*16377"/>
        <s v="G.BRAVO"/>
        <s v="G.RAFFO"/>
        <s v="H.GALVEZ*16404"/>
        <s v="J.CARRERA"/>
        <s v="J.NAVARRO"/>
        <s v="J.NICOLI"/>
        <s v="J.RAFFO*14014"/>
        <s v="L.PEREZ*16364"/>
        <s v="M.CASTAÑEDA"/>
        <s v="M.LAZO"/>
        <s v="M.ROA*14362"/>
        <s v="M.RODRIGUEZ*16329"/>
        <s v="M.VELASQUEZ*16395"/>
        <s v="R.SOLIS"/>
        <s v="V.GRADOS*16365"/>
        <s v="W.MACHUCA"/>
      </sharedItems>
    </cacheField>
  </cacheFields>
  <cacheHierarchies count="17">
    <cacheHierarchy uniqueName="[Desem].[Periodo]" caption="Periodo" attribute="1" defaultMemberUniqueName="[Desem].[Periodo].[All]" allUniqueName="[Desem].[Periodo].[All]" dimensionUniqueName="[Desem]" displayFolder="" count="0" memberValueDatatype="20" unbalanced="0"/>
    <cacheHierarchy uniqueName="[Desem].[Operacion]" caption="Operacion" attribute="1" defaultMemberUniqueName="[Desem].[Operacion].[All]" allUniqueName="[Desem].[Operacion].[All]" dimensionUniqueName="[Desem]" displayFolder="" count="0" memberValueDatatype="5" unbalanced="0"/>
    <cacheHierarchy uniqueName="[Desem].[Cod]" caption="Cod" attribute="1" defaultMemberUniqueName="[Desem].[Cod].[All]" allUniqueName="[Desem].[Cod].[All]" dimensionUniqueName="[Desem]" displayFolder="" count="0" memberValueDatatype="5" unbalanced="0"/>
    <cacheHierarchy uniqueName="[Desem].[Producto]" caption="Producto" attribute="1" defaultMemberUniqueName="[Desem].[Producto].[All]" allUniqueName="[Desem].[Producto].[All]" dimensionUniqueName="[Desem]" displayFolder="" count="0" memberValueDatatype="130" unbalanced="0"/>
    <cacheHierarchy uniqueName="[Desem].[Moneda]" caption="Moneda" attribute="1" defaultMemberUniqueName="[Desem].[Moneda].[All]" allUniqueName="[Desem].[Moneda].[All]" dimensionUniqueName="[Desem]" displayFolder="" count="0" memberValueDatatype="130" unbalanced="0"/>
    <cacheHierarchy uniqueName="[Desem].[Monto Desem.]" caption="Monto Desem." attribute="1" defaultMemberUniqueName="[Desem].[Monto Desem.].[All]" allUniqueName="[Desem].[Monto Desem.].[All]" dimensionUniqueName="[Desem]" displayFolder="" count="0" memberValueDatatype="5" unbalanced="0"/>
    <cacheHierarchy uniqueName="[Desem].[Spread Desem.]" caption="Spread Desem." attribute="1" defaultMemberUniqueName="[Desem].[Spread Desem.].[All]" allUniqueName="[Desem].[Spread Desem.].[All]" dimensionUniqueName="[Desem]" displayFolder="" count="0" memberValueDatatype="5" unbalanced="0"/>
    <cacheHierarchy uniqueName="[Desem].[Lider]" caption="Lider" attribute="1" defaultMemberUniqueName="[Desem].[Lider].[All]" allUniqueName="[Desem].[Lider].[All]" dimensionUniqueName="[Desem]" displayFolder="" count="0" memberValueDatatype="130" unbalanced="0"/>
    <cacheHierarchy uniqueName="[Desem].[Grupo]" caption="Grupo" attribute="1" defaultMemberUniqueName="[Desem].[Grupo].[All]" allUniqueName="[Desem].[Grupo].[All]" dimensionUniqueName="[Desem]" displayFolder="" count="0" memberValueDatatype="130" unbalanced="0"/>
    <cacheHierarchy uniqueName="[Desem].[NombreFuncionario]" caption="NombreFuncionario" attribute="1" defaultMemberUniqueName="[Desem].[NombreFuncionario].[All]" allUniqueName="[Desem].[NombreFuncionario].[All]" dimensionUniqueName="[Desem]" displayFolder="" count="2" memberValueDatatype="130" unbalanced="0">
      <fieldsUsage count="2">
        <fieldUsage x="-1"/>
        <fieldUsage x="0"/>
      </fieldsUsage>
    </cacheHierarchy>
    <cacheHierarchy uniqueName="[Desem].[NombreCliente]" caption="NombreCliente" attribute="1" defaultMemberUniqueName="[Desem].[NombreCliente].[All]" allUniqueName="[Desem].[NombreCliente].[All]" dimensionUniqueName="[Desem]" displayFolder="" count="0" memberValueDatatype="130" unbalanced="0"/>
    <cacheHierarchy uniqueName="[Desem].[Monto Desem. M]" caption="Monto Desem. M" attribute="1" defaultMemberUniqueName="[Desem].[Monto Desem. M].[All]" allUniqueName="[Desem].[Monto Desem. M].[All]" dimensionUniqueName="[Desem]" displayFolder="" count="0" memberValueDatatype="5" unbalanced="0"/>
    <cacheHierarchy uniqueName="[Measures].[__XL_Count Desem]" caption="__XL_Count Desem" measure="1" displayFolder="" measureGroup="Desem" count="0" hidden="1"/>
    <cacheHierarchy uniqueName="[Measures].[__No measures defined]" caption="__No measures defined" measure="1" displayFolder="" count="0" hidden="1"/>
    <cacheHierarchy uniqueName="[Measures].[Suma de Monto Desem.]" caption="Suma de Monto Desem." measure="1" displayFolder="" measureGroup="Desem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Monto Desem. M]" caption="Suma de Monto Desem. M" measure="1" displayFolder="" measureGroup="Desem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Spread Desem.]" caption="Suma de Spread Desem." measure="1" displayFolder="" measureGroup="Desem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name="Desem" uniqueName="[Desem]" caption="Desem"/>
    <dimension measure="1" name="Measures" uniqueName="[Measures]" caption="Measures"/>
  </dimensions>
  <measureGroups count="1">
    <measureGroup name="Desem" caption="Desem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 Zelada" refreshedDate="46296.895085995369" createdVersion="5" refreshedVersion="8" minRefreshableVersion="3" recordCount="0" supportSubquery="1" supportAdvancedDrill="1" xr:uid="{E16E5F9E-3107-4537-AFA8-91AABA175D0D}">
  <cacheSource type="external" connectionId="3"/>
  <cacheFields count="11">
    <cacheField name="[Desem].[Periodo].[Periodo]" caption="Periodo" numFmtId="0" level="1">
      <sharedItems containsSemiMixedTypes="0" containsString="0" containsNumber="1" containsInteger="1" minValue="202607" maxValue="202609" count="3">
        <n v="202607"/>
        <n v="202608"/>
        <n v="202609"/>
      </sharedItems>
      <extLst>
        <ext xmlns:x15="http://schemas.microsoft.com/office/spreadsheetml/2010/11/main" uri="{4F2E5C28-24EA-4eb8-9CBF-B6C8F9C3D259}">
          <x15:cachedUniqueNames>
            <x15:cachedUniqueName index="0" name="[Desem].[Periodo].&amp;[202607]"/>
            <x15:cachedUniqueName index="1" name="[Desem].[Periodo].&amp;[202608]"/>
            <x15:cachedUniqueName index="2" name="[Desem].[Periodo].&amp;[202609]"/>
          </x15:cachedUniqueNames>
        </ext>
      </extLst>
    </cacheField>
    <cacheField name="[Desem].[Operacion].[Operacion]" caption="Operacion" numFmtId="0" hierarchy="1" level="1">
      <sharedItems containsSemiMixedTypes="0" containsString="0" containsNumber="1" containsInteger="1" minValue="1741972175" maxValue="1777716659" count="846">
        <n v="1764767195"/>
        <n v="1768924422"/>
        <n v="1768950113"/>
        <n v="1768950962"/>
        <n v="1768959366"/>
        <n v="1768985847"/>
        <n v="1768891699"/>
        <n v="1768941660"/>
        <n v="1768950350"/>
        <n v="1768959277"/>
        <n v="1769028315"/>
        <n v="1764780050"/>
        <n v="1768856150"/>
        <n v="1768937893"/>
        <n v="1768957975"/>
        <n v="1768963649"/>
        <n v="1768999490"/>
        <n v="1769040510"/>
        <n v="1769041419"/>
        <n v="1769041524"/>
        <n v="1769042385"/>
        <n v="1769048383"/>
        <n v="1764742540"/>
        <n v="1768858497"/>
        <n v="1768866295"/>
        <n v="1768867003"/>
        <n v="1768882370"/>
        <n v="1768888612"/>
        <n v="1768905282"/>
        <n v="1768905363"/>
        <n v="1768926247"/>
        <n v="1768940983"/>
        <n v="1768949204"/>
        <n v="1768950385"/>
        <n v="1768950407"/>
        <n v="1768958084"/>
        <n v="1768966214"/>
        <n v="1768984239"/>
        <n v="1768984344"/>
        <n v="1768984646"/>
        <n v="1769049045"/>
        <n v="1769049193"/>
        <n v="1764734360"/>
        <n v="1764736656"/>
        <n v="1768850534"/>
        <n v="1768854017"/>
        <n v="1768914826"/>
        <n v="1768916160"/>
        <n v="1768917280"/>
        <n v="1768917299"/>
        <n v="1768941220"/>
        <n v="1768950008"/>
        <n v="1768959234"/>
        <n v="1768959323"/>
        <n v="1768959447"/>
        <n v="1764737318"/>
        <n v="1764777610"/>
        <n v="1764777646"/>
        <n v="1768832994"/>
        <n v="1768833095"/>
        <n v="1768843970"/>
        <n v="1768844062"/>
        <n v="1768854327"/>
        <n v="1768855366"/>
        <n v="1768855463"/>
        <n v="1768856370"/>
        <n v="1768858720"/>
        <n v="1768869677"/>
        <n v="1768892903"/>
        <n v="1768892910"/>
        <n v="1768903743"/>
        <n v="1768924937"/>
        <n v="1768924945"/>
        <n v="1768938750"/>
        <n v="1768949484"/>
        <n v="1768949506"/>
        <n v="1768953775"/>
        <n v="1768958637"/>
        <n v="1768965790"/>
        <n v="1769027920"/>
        <n v="1769028242"/>
        <n v="1769030190"/>
        <n v="1769033610"/>
        <n v="1769034838"/>
        <n v="1769038700"/>
        <n v="1769038809"/>
        <n v="1764734475"/>
        <n v="1764757939"/>
        <n v="1768826730"/>
        <n v="1768833257"/>
        <n v="1768850585"/>
        <n v="1768911002"/>
        <n v="1768965463"/>
        <n v="1764741510"/>
        <n v="1764757238"/>
        <n v="1764761952"/>
        <n v="1769038050"/>
        <n v="1769040862"/>
        <n v="1746819650"/>
        <n v="1751088367"/>
        <n v="1751099296"/>
        <n v="1751124860"/>
        <n v="1751190900"/>
        <n v="1751251550"/>
        <n v="1751358488"/>
        <n v="1764747917"/>
        <n v="1764760972"/>
        <n v="1764764528"/>
        <n v="1768838135"/>
        <n v="1768844150"/>
        <n v="1768855447"/>
        <n v="1768857547"/>
        <n v="1768881464"/>
        <n v="1768900124"/>
        <n v="1768900760"/>
        <n v="1768900990"/>
        <n v="1768901040"/>
        <n v="1768904928"/>
        <n v="1768915120"/>
        <n v="1768915814"/>
        <n v="1768916047"/>
        <n v="1768921458"/>
        <n v="1768921555"/>
        <n v="1768922276"/>
        <n v="1768923442"/>
        <n v="1768923507"/>
        <n v="1768923922"/>
        <n v="1768924066"/>
        <n v="1768940185"/>
        <n v="1768940428"/>
        <n v="1768945233"/>
        <n v="1768949352"/>
        <n v="1768950430"/>
        <n v="1768953430"/>
        <n v="1768953457"/>
        <n v="1768954020"/>
        <n v="1768954097"/>
        <n v="1768954283"/>
        <n v="1768957738"/>
        <n v="1768957850"/>
        <n v="1768957894"/>
        <n v="1768982643"/>
        <n v="1769001514"/>
        <n v="1769033114"/>
        <n v="1769033130"/>
        <n v="1768915245"/>
        <n v="1768915695"/>
        <n v="1768922896"/>
        <n v="1768895694"/>
        <n v="1768897425"/>
        <n v="1768940738"/>
        <n v="1768949760"/>
        <n v="1768984140"/>
        <n v="1764757459"/>
        <n v="1764764269"/>
        <n v="1764777379"/>
        <n v="1764780728"/>
        <n v="1764781430"/>
        <n v="1768844320"/>
        <n v="1768845557"/>
        <n v="1768863490"/>
        <n v="1768865639"/>
        <n v="1768891400"/>
        <n v="1768895783"/>
        <n v="1768896127"/>
        <n v="1768896577"/>
        <n v="1768896704"/>
        <n v="1768901023"/>
        <n v="1768901155"/>
        <n v="1768903670"/>
        <n v="1768903719"/>
        <n v="1768905312"/>
        <n v="1768906483"/>
        <n v="1768915474"/>
        <n v="1768915504"/>
        <n v="1768915733"/>
        <n v="1768915849"/>
        <n v="1768915910"/>
        <n v="1768924686"/>
        <n v="1768924716"/>
        <n v="1768939217"/>
        <n v="1768939330"/>
        <n v="1768945314"/>
        <n v="1768954208"/>
        <n v="1768965676"/>
        <n v="1768965986"/>
        <n v="1768966125"/>
        <n v="1768983950"/>
        <n v="1769022805"/>
        <n v="1769023267"/>
        <n v="1769023305"/>
        <n v="1769023429"/>
        <n v="1769023550"/>
        <n v="1769027033"/>
        <n v="1769027106"/>
        <n v="1764759907"/>
        <n v="1768838720"/>
        <n v="1768844534"/>
        <n v="1768845468"/>
        <n v="1768868727"/>
        <n v="1768870004"/>
        <n v="1768895899"/>
        <n v="1768896046"/>
        <n v="1768907234"/>
        <n v="1768933790"/>
        <n v="1768939560"/>
        <n v="1768941718"/>
        <n v="1768956812"/>
        <n v="1768969124"/>
        <n v="1768984450"/>
        <n v="1769001166"/>
        <n v="1769049185"/>
        <n v="1764761472"/>
        <n v="1764761529"/>
        <n v="1764761553"/>
        <n v="1768835349"/>
        <n v="1768835489"/>
        <n v="1768838062"/>
        <n v="1768838097"/>
        <n v="1768839557"/>
        <n v="1742102409"/>
        <n v="1764739124"/>
        <n v="1768831610"/>
        <n v="1768855749"/>
        <n v="1768880387"/>
        <n v="1768882010"/>
        <n v="1768898677"/>
        <n v="1768903336"/>
        <n v="1768921105"/>
        <n v="1768922314"/>
        <n v="1768926182"/>
        <n v="1768934002"/>
        <n v="1768944792"/>
        <n v="1768945276"/>
        <n v="1768957843"/>
        <n v="1764752333"/>
        <n v="1768883106"/>
        <n v="1768905230"/>
        <n v="1768959129"/>
        <n v="1769001557"/>
        <n v="1769029028"/>
        <n v="1769041516"/>
        <n v="1764761286"/>
        <n v="1768850208"/>
        <n v="1768911819"/>
        <n v="1768911843"/>
        <n v="1768916195"/>
        <n v="1768917256"/>
        <n v="1768918627"/>
        <n v="1768922470"/>
        <n v="1768947953"/>
        <n v="1768959420"/>
        <n v="1769028960"/>
        <n v="1769048420"/>
        <n v="1742173543"/>
        <n v="1764780670"/>
        <n v="1768842035"/>
        <n v="1768849668"/>
        <n v="1768850542"/>
        <n v="1768862508"/>
        <n v="1768881057"/>
        <n v="1768881723"/>
        <n v="1768921385"/>
        <n v="1768922233"/>
        <n v="1768933626"/>
        <n v="1768958769"/>
        <n v="1768958840"/>
        <n v="1764767160"/>
        <n v="1768834120"/>
        <n v="1768854904"/>
        <n v="1768874050"/>
        <n v="1768882827"/>
        <n v="1768985626"/>
        <n v="1768985723"/>
        <n v="1768985740"/>
        <n v="1769028722"/>
        <n v="1769042423"/>
        <n v="1764762479"/>
        <n v="1768839522"/>
        <n v="1768839603"/>
        <n v="1768855617"/>
        <n v="1768882169"/>
        <n v="1768897440"/>
        <n v="1768950970"/>
        <n v="1768963410"/>
        <n v="1769022392"/>
        <n v="1769033866"/>
        <n v="1769042440"/>
        <n v="1764781392"/>
        <n v="1768838712"/>
        <n v="1768845689"/>
        <n v="1768857512"/>
        <n v="1768869189"/>
        <n v="1768869900"/>
        <n v="1768888604"/>
        <n v="1768896160"/>
        <n v="1768896275"/>
        <n v="1768907790"/>
        <n v="1768909865"/>
        <n v="1768922160"/>
        <n v="1768924210"/>
        <n v="1768939497"/>
        <n v="1768985677"/>
        <n v="1769095012"/>
        <n v="1769110186"/>
        <n v="1773281534"/>
        <n v="1773321927"/>
        <n v="1760142573"/>
        <n v="1764584813"/>
        <n v="1769112870"/>
        <n v="1773154796"/>
        <n v="1773157515"/>
        <n v="1773166140"/>
        <n v="1773175580"/>
        <n v="1773186400"/>
        <n v="1773230115"/>
        <n v="1773269194"/>
        <n v="1773297340"/>
        <n v="1773304320"/>
        <n v="1773344330"/>
        <n v="1773362445"/>
        <n v="1773368620"/>
        <n v="1773372335"/>
        <n v="1769078703"/>
        <n v="1769086730"/>
        <n v="1769094260"/>
        <n v="1773149148"/>
        <n v="1773149260"/>
        <n v="1773155164"/>
        <n v="1773172069"/>
        <n v="1773249606"/>
        <n v="1773272136"/>
        <n v="1773333658"/>
        <n v="1773217712"/>
        <n v="1773218360"/>
        <n v="1773248545"/>
        <n v="1773248618"/>
        <n v="1773269216"/>
        <n v="1773322176"/>
        <n v="1773343696"/>
        <n v="1773241620"/>
        <n v="1773280570"/>
        <n v="1741972175"/>
        <n v="1742079997"/>
        <n v="1769063340"/>
        <n v="1769065768"/>
        <n v="1769099514"/>
        <n v="1769099522"/>
        <n v="1769100695"/>
        <n v="1769117474"/>
        <n v="1773163760"/>
        <n v="1773164899"/>
        <n v="1773192574"/>
        <n v="1773214410"/>
        <n v="1773229362"/>
        <n v="1773230735"/>
        <n v="1773237357"/>
        <n v="1773237390"/>
        <n v="1773237403"/>
        <n v="1773237500"/>
        <n v="1773237550"/>
        <n v="1773237586"/>
        <n v="1773240145"/>
        <n v="1773246089"/>
        <n v="1773246240"/>
        <n v="1773260090"/>
        <n v="1773270613"/>
        <n v="1773270656"/>
        <n v="1773277855"/>
        <n v="1773302922"/>
        <n v="1773303340"/>
        <n v="1773303805"/>
        <n v="1773332317"/>
        <n v="1773342550"/>
        <n v="1773346075"/>
        <n v="1773370049"/>
        <n v="1773370057"/>
        <n v="1773370464"/>
        <n v="1773370472"/>
        <n v="1773370480"/>
        <n v="1769063935"/>
        <n v="1769094750"/>
        <n v="1773218336"/>
        <n v="1773219375"/>
        <n v="1773231987"/>
        <n v="1773248936"/>
        <n v="1773269630"/>
        <n v="1773270478"/>
        <n v="1773305859"/>
        <n v="1773337520"/>
        <n v="1773204700"/>
        <n v="1773246852"/>
        <n v="1773258834"/>
        <n v="1773258923"/>
        <n v="1773259156"/>
        <n v="1773260006"/>
        <n v="1773347276"/>
        <n v="1769110290"/>
        <n v="1773149245"/>
        <n v="1773168738"/>
        <n v="1773168886"/>
        <n v="1773184504"/>
        <n v="1773192840"/>
        <n v="1773245813"/>
        <n v="1773247905"/>
        <n v="1773247999"/>
        <n v="1773269003"/>
        <n v="1773277596"/>
        <n v="1773304402"/>
        <n v="1773331353"/>
        <n v="1773335367"/>
        <n v="1773341170"/>
        <n v="1773341227"/>
        <n v="1773344226"/>
        <n v="1773347110"/>
        <n v="1773364626"/>
        <n v="1773192205"/>
        <n v="1773220969"/>
        <n v="1773271202"/>
        <n v="1773271903"/>
        <n v="1773370782"/>
        <n v="1769072322"/>
        <n v="1769086617"/>
        <n v="1769094229"/>
        <n v="1773186515"/>
        <n v="1773230638"/>
        <n v="1773276379"/>
        <n v="1773297333"/>
        <n v="1773307584"/>
        <n v="1773331965"/>
        <n v="1773341162"/>
        <n v="1769063722"/>
        <n v="1769063820"/>
        <n v="1769072560"/>
        <n v="1769084428"/>
        <n v="1769095527"/>
        <n v="1769111603"/>
        <n v="1769114475"/>
        <n v="1773145060"/>
        <n v="1773169440"/>
        <n v="1773176315"/>
        <n v="1773176919"/>
        <n v="1773181092"/>
        <n v="1773181777"/>
        <n v="1773210270"/>
        <n v="1773220853"/>
        <n v="1773245929"/>
        <n v="1773249126"/>
        <n v="1773280650"/>
        <n v="1773300032"/>
        <n v="1773332030"/>
        <n v="1773341900"/>
        <n v="1773369890"/>
        <n v="1769106316"/>
        <n v="1769113495"/>
        <n v="1773160575"/>
        <n v="1773181386"/>
        <n v="1773181882"/>
        <n v="1773182640"/>
        <n v="1773205706"/>
        <n v="1773214489"/>
        <n v="1773217879"/>
        <n v="1773240110"/>
        <n v="1773270338"/>
        <n v="1773276549"/>
        <n v="1773305433"/>
        <n v="1773343432"/>
        <n v="1773343513"/>
        <n v="1773346989"/>
        <n v="1773363549"/>
        <n v="1773370677"/>
        <n v="1773370880"/>
        <n v="1773370910"/>
        <n v="1773370944"/>
        <n v="1769086757"/>
        <n v="1769100090"/>
        <n v="1769102370"/>
        <n v="1773158627"/>
        <n v="1773172123"/>
        <n v="1773240560"/>
        <n v="1773305522"/>
        <n v="1773305964"/>
        <n v="1769087672"/>
        <n v="1769099506"/>
        <n v="1773163159"/>
        <n v="1773163230"/>
        <n v="1773180126"/>
        <n v="1773186639"/>
        <n v="1773192248"/>
        <n v="1773220349"/>
        <n v="1773220373"/>
        <n v="1773224379"/>
        <n v="1773228170"/>
        <n v="1773269240"/>
        <n v="1773300253"/>
        <n v="1773305913"/>
        <n v="1773311867"/>
        <n v="1773337408"/>
        <n v="1773370227"/>
        <n v="1773181912"/>
        <n v="1773307657"/>
        <n v="1773341669"/>
        <n v="1773344463"/>
        <n v="1746666579"/>
        <n v="1746666986"/>
        <n v="1769102388"/>
        <n v="1769110178"/>
        <n v="1773180819"/>
        <n v="1773205803"/>
        <n v="1773225260"/>
        <n v="1773229699"/>
        <n v="1773245414"/>
        <n v="1773248870"/>
        <n v="1773304518"/>
        <n v="1773305580"/>
        <n v="1773341730"/>
        <n v="1773364154"/>
        <n v="1769073990"/>
        <n v="1769093930"/>
        <n v="1769100377"/>
        <n v="1769109129"/>
        <n v="1769114520"/>
        <n v="1769114548"/>
        <n v="1773146963"/>
        <n v="1773174400"/>
        <n v="1773190415"/>
        <n v="1773193090"/>
        <n v="1773205200"/>
        <n v="1773222783"/>
        <n v="1773240064"/>
        <n v="1773246003"/>
        <n v="1773249576"/>
        <n v="1773270400"/>
        <n v="1773271059"/>
        <n v="1773271997"/>
        <n v="1773272020"/>
        <n v="1773307592"/>
        <n v="1773337459"/>
        <n v="1773343203"/>
        <n v="1773346113"/>
        <n v="1773368125"/>
        <n v="1773370235"/>
        <n v="1773370243"/>
        <n v="1769116362"/>
        <n v="1773241680"/>
        <n v="1773276484"/>
        <n v="1773305239"/>
        <n v="1773306006"/>
        <n v="1773337505"/>
        <n v="1773370103"/>
        <n v="1773129627"/>
        <n v="1773158856"/>
        <n v="1773210289"/>
        <n v="1773210297"/>
        <n v="1773210394"/>
        <n v="1773210572"/>
        <n v="1773225375"/>
        <n v="1773249088"/>
        <n v="1773271938"/>
        <n v="1773332562"/>
        <n v="1773334760"/>
        <n v="1773344625"/>
        <n v="1773357344"/>
        <n v="1773365096"/>
        <n v="1773370928"/>
        <n v="1769078193"/>
        <n v="1769094865"/>
        <n v="1773147706"/>
        <n v="1773154559"/>
        <n v="1773164200"/>
        <n v="1773180540"/>
        <n v="1773182595"/>
        <n v="1773182617"/>
        <n v="1773214860"/>
        <n v="1773222708"/>
        <n v="1773369920"/>
        <n v="1777562112"/>
        <n v="1777591074"/>
        <n v="1777591554"/>
        <n v="1777654220"/>
        <n v="1777676835"/>
        <n v="1777703530"/>
        <n v="1773413708"/>
        <n v="1777482356"/>
        <n v="1777489350"/>
        <n v="1777497906"/>
        <n v="1777505267"/>
        <n v="1777519934"/>
        <n v="1777535417"/>
        <n v="1777552958"/>
        <n v="1777560977"/>
        <n v="1777598478"/>
        <n v="1777684927"/>
        <n v="1773401130"/>
        <n v="1777501059"/>
        <n v="1777523338"/>
        <n v="1777542560"/>
        <n v="1777551005"/>
        <n v="1777577055"/>
        <n v="1777593107"/>
        <n v="1777596572"/>
        <n v="1777616310"/>
        <n v="1777616344"/>
        <n v="1777625904"/>
        <n v="1777666775"/>
        <n v="1777703980"/>
        <n v="1773398120"/>
        <n v="1773408550"/>
        <n v="1777485908"/>
        <n v="1777495768"/>
        <n v="1777501490"/>
        <n v="1777543746"/>
        <n v="1777543762"/>
        <n v="1777550700"/>
        <n v="1777622662"/>
        <n v="1777666589"/>
        <n v="1773386379"/>
        <n v="1773387103"/>
        <n v="1773387260"/>
        <n v="1773387537"/>
        <n v="1777525292"/>
        <n v="1777558220"/>
        <n v="1777562340"/>
        <n v="1777568919"/>
        <n v="1777569478"/>
        <n v="1777579200"/>
        <n v="1777580005"/>
        <n v="1777596742"/>
        <n v="1777597854"/>
        <n v="1777598486"/>
        <n v="1777603986"/>
        <n v="1777623693"/>
        <n v="1777626048"/>
        <n v="1777641942"/>
        <n v="1777681499"/>
        <n v="1777689180"/>
        <n v="1773404369"/>
        <n v="1777621542"/>
        <n v="1742159320"/>
        <n v="1746608200"/>
        <n v="1773380508"/>
        <n v="1773380516"/>
        <n v="1773382098"/>
        <n v="1773408232"/>
        <n v="1777482020"/>
        <n v="1777494150"/>
        <n v="1777502632"/>
        <n v="1777514673"/>
        <n v="1777515246"/>
        <n v="1777515440"/>
        <n v="1777543703"/>
        <n v="1777552273"/>
        <n v="1777560500"/>
        <n v="1777575540"/>
        <n v="1777596947"/>
        <n v="1777597412"/>
        <n v="1777616336"/>
        <n v="1777617006"/>
        <n v="1777617030"/>
        <n v="1777620538"/>
        <n v="1777621968"/>
        <n v="1777623669"/>
        <n v="1777639506"/>
        <n v="1777641012"/>
        <n v="1777654378"/>
        <n v="1777685125"/>
        <n v="1777685133"/>
        <n v="1777685486"/>
        <n v="1777685494"/>
        <n v="1777688485"/>
        <n v="1777707552"/>
        <n v="1777714168"/>
        <n v="1773379666"/>
        <n v="1773403206"/>
        <n v="1777490855"/>
        <n v="1777515629"/>
        <n v="1777550556"/>
        <n v="1777621054"/>
        <n v="1773391275"/>
        <n v="1777484065"/>
        <n v="1777513480"/>
        <n v="1777523869"/>
        <n v="1777543789"/>
        <n v="1777561973"/>
        <n v="1777568470"/>
        <n v="1777651440"/>
        <n v="1777710332"/>
        <n v="1773398377"/>
        <n v="1773400053"/>
        <n v="1773407970"/>
        <n v="1773408089"/>
        <n v="1773408150"/>
        <n v="1773409026"/>
        <n v="1773411233"/>
        <n v="1773413732"/>
        <n v="1777512352"/>
        <n v="1777512417"/>
        <n v="1777516020"/>
        <n v="1777516285"/>
        <n v="1777523915"/>
        <n v="1777542464"/>
        <n v="1777548780"/>
        <n v="1777560179"/>
        <n v="1777565120"/>
        <n v="1777567830"/>
        <n v="1777575923"/>
        <n v="1777575958"/>
        <n v="1777575990"/>
        <n v="1777576083"/>
        <n v="1777577756"/>
        <n v="1777605989"/>
        <n v="1777683726"/>
        <n v="1777686709"/>
        <n v="1777688299"/>
        <n v="1777688728"/>
        <n v="1773403982"/>
        <n v="1777525322"/>
        <n v="1777572193"/>
        <n v="1777605270"/>
        <n v="1777625180"/>
        <n v="1777645220"/>
        <n v="1773402420"/>
        <n v="1773408216"/>
        <n v="1777501687"/>
        <n v="1777502690"/>
        <n v="1777512514"/>
        <n v="1777552877"/>
        <n v="1777560250"/>
        <n v="1777568625"/>
        <n v="1777568950"/>
        <n v="1777574870"/>
        <n v="1777579988"/>
        <n v="1777606438"/>
        <n v="1777626846"/>
        <n v="1777674417"/>
        <n v="1773381458"/>
        <n v="1773382748"/>
        <n v="1777483646"/>
        <n v="1777513669"/>
        <n v="1777515998"/>
        <n v="1777520088"/>
        <n v="1777520282"/>
        <n v="1777520673"/>
        <n v="1777526060"/>
        <n v="1777550742"/>
        <n v="1777551382"/>
        <n v="1777552605"/>
        <n v="1777566657"/>
        <n v="1777576547"/>
        <n v="1773383140"/>
        <n v="1773383868"/>
        <n v="1773400738"/>
        <n v="1773400770"/>
        <n v="1773411349"/>
        <n v="1777489849"/>
        <n v="1777489865"/>
        <n v="1777489910"/>
        <n v="1777489938"/>
        <n v="1777494885"/>
        <n v="1777501326"/>
        <n v="1777512719"/>
        <n v="1777560853"/>
        <n v="1777571499"/>
        <n v="1777634016"/>
        <n v="1777689147"/>
        <n v="1777690293"/>
        <n v="1777484952"/>
        <n v="1777484960"/>
        <n v="1777489709"/>
        <n v="1777500079"/>
        <n v="1777555213"/>
        <n v="1777561159"/>
        <n v="1777622050"/>
        <n v="1777642302"/>
        <n v="1777648882"/>
        <n v="1777675138"/>
        <n v="1777695562"/>
        <n v="1777569052"/>
        <n v="1777597927"/>
        <n v="1777599083"/>
        <n v="1777624436"/>
        <n v="1777645468"/>
        <n v="1777690307"/>
        <n v="1777707722"/>
        <n v="1777716659"/>
        <n v="1773386697"/>
        <n v="1773391704"/>
        <n v="1773391739"/>
        <n v="1773392018"/>
        <n v="1777490847"/>
        <n v="1777505453"/>
        <n v="1777558026"/>
        <n v="1777566932"/>
        <n v="1777650186"/>
        <n v="1777674875"/>
        <n v="1773386440"/>
        <n v="1777495814"/>
        <n v="1777505402"/>
        <n v="1777508990"/>
        <n v="1777536080"/>
        <n v="1777549680"/>
        <n v="1777552907"/>
        <n v="1777562414"/>
        <n v="1777588812"/>
        <n v="1777591635"/>
        <n v="1777599202"/>
        <n v="1777605229"/>
        <n v="1777622476"/>
        <n v="1777626153"/>
        <n v="1777650046"/>
        <n v="1777650127"/>
        <n v="1777673666"/>
        <n v="1777685176"/>
        <n v="1777703603"/>
        <n v="1777703786"/>
        <n v="1777515653"/>
        <n v="1777542847"/>
        <n v="1777556058"/>
        <n v="1777561582"/>
        <n v="1777566916"/>
        <n v="1777698730"/>
        <n v="1777701538"/>
        <n v="1773382284"/>
        <n v="1777543452"/>
        <n v="1777552850"/>
        <n v="1777552966"/>
        <n v="1777553090"/>
        <n v="1777553105"/>
        <n v="1777553120"/>
        <n v="1777571510"/>
        <n v="1777579449"/>
        <n v="1777682540"/>
        <n v="1777690315"/>
        <n v="1777695759"/>
        <n v="1777697085"/>
        <n v="1777494672"/>
        <n v="1777497795"/>
        <n v="1777500036"/>
        <n v="1777566584"/>
        <n v="1777575249"/>
        <n v="1777579368"/>
        <n v="1777607825"/>
        <n v="1777644674"/>
        <n v="1777644690"/>
        <n v="1777716209"/>
        <n v="1777716420"/>
      </sharedItems>
    </cacheField>
    <cacheField name="[Desem].[NombreFuncionario].[NombreFuncionario]" caption="NombreFuncionario" numFmtId="0" hierarchy="9" level="1">
      <sharedItems count="22">
        <s v="A.GARCIA*11791"/>
        <s v="A.ROJAS"/>
        <s v="C.MARKY*16024"/>
        <s v="C.MEJIA"/>
        <s v="D.HERRERA*14796"/>
        <s v="G.BRAVO"/>
        <s v="G.RAFFO"/>
        <s v="H.GALVEZ*16404"/>
        <s v="J.CARRERA"/>
        <s v="J.NAVARRO"/>
        <s v="J.NICOLI"/>
        <s v="J.RAFFO*14014"/>
        <s v="L.PEREZ*16364"/>
        <s v="M.CASTAÑEDA"/>
        <s v="M.LAZO"/>
        <s v="M.ROA*14362"/>
        <s v="M.RODRIGUEZ*16329"/>
        <s v="M.VELASQUEZ*16395"/>
        <s v="R.SOLIS"/>
        <s v="V.GRADOS*16365"/>
        <s v="W.MACHUCA"/>
        <s v="D.ROSADO*16377"/>
      </sharedItems>
    </cacheField>
    <cacheField name="[Desem].[NombreCliente].[NombreCliente]" caption="NombreCliente" numFmtId="0" hierarchy="10" level="1">
      <sharedItems count="273">
        <s v="ENERCITY SAC"/>
        <s v="REFAX PERU SA"/>
        <s v="IMPULSA365 SAC"/>
        <s v="CLASS COMPLEMENTS SAC"/>
        <s v="INVERSIONES RUBIN S SAC"/>
        <s v="ECOINTEGRITY SAC"/>
        <s v="PROTEIN PARTNERS"/>
        <s v="EMPRESAS PINTO PERU SA"/>
        <s v="ELITE BRANDS INTERNATIONAL PERU SRL"/>
        <s v="MOTO REPUESTOS &amp; AB SAC"/>
        <s v="NOR AUTOS CHICLAYO SAC"/>
        <s v="DISTRIBUIDORA COMERCIAL ALVAREZ BOHL S R L"/>
        <s v="ELEODORO QUIROGA RAMOS SAC"/>
        <s v="AGROCOSTA PERU SAC"/>
        <s v="SUNSHINE EXPORT SAC"/>
        <s v="CARTOCOR DE PERU S A"/>
        <s v="IMBAREX SA"/>
        <s v="VSI INDUSTRIAL SAC"/>
        <s v="ISEG PERU SAC"/>
        <s v="SOUTH PACIFIC INTERNATIONAL S A C"/>
        <s v="IMPORTADORA GUILLEN PERU SAC"/>
        <s v="KSL SAC"/>
        <s v="TUBOPLAST SA"/>
        <s v="CONSORCIO DE PRODUCTORES DE FRUTA SA"/>
        <s v="CORPORACION FRUTICOLA DE CHINCHA S A C"/>
        <s v="CONTINENTAL TRAVEL SAC"/>
        <s v="ARTECOLA PERU SA"/>
        <s v="DIAMANTE DEL PACIFICO SA"/>
        <s v="COMPA#IA DE ABASTECIMIENTO INDUSTRIAL SAC"/>
        <s v="INCATECH S A C"/>
        <s v="DIGETEL SOLUCIONES SAC"/>
        <s v="EMUSA PERU SAC"/>
        <s v="MINERA TITAN DEL PERU S R L"/>
        <s v="SCHROTH CORPORACION PAPELERA S A C"/>
        <s v="IXM TRADING PERU SAC"/>
        <s v="PROCESADORA LARAN S A C"/>
        <s v="M &amp; M REPUESTOS Y SERVICIOS"/>
        <s v="PAPELERA NACIONAL S A"/>
        <s v="ECOPACKING CLAMSHELLS SAC"/>
        <s v="LA CALERA S A C"/>
        <s v="TAI LOY S A"/>
        <s v="EMPRESA DE CREDITOS SANTANDER CONSUMO PERU SA"/>
        <s v="ESMERALDA CORP SAC"/>
        <s v="EUROCAPITAL SERVICIOS FINANCIEROS S A C"/>
        <s v="ACEROS Y CONCRETOS S A C"/>
        <s v="CORPORACION DE INGENIERIA DE REFRIGERACION"/>
        <s v="PYMATEK AUTOMATION S R L"/>
        <s v="BIG ROCK S A C"/>
        <s v="CONSTRUCTORA ABA S A C"/>
        <s v="S &amp; M FOODS SAC"/>
        <s v="CONSORCIO GEOHIDRAULICA SAC"/>
        <s v="DIMATIC SAC"/>
        <s v="INDUSTRIA GRAFICA CIMAGRAF SAC"/>
        <s v="FITFLOW PERU SRL"/>
        <s v="PRIMUS CAPITAL PERU SAC"/>
        <s v="REPRESENTACIONES TECNIMOTORS EIRL"/>
        <s v="MEGAPACK GROUP SOCIEDAD ANONIMA CERRADA"/>
        <s v="DRRP SOCIEDAD ANONIMA CERRADA"/>
        <s v="CORPORACION PANASERVICE SAC"/>
        <s v="DELICE SAC"/>
        <s v="GRUPO ELECTRODATA SAC"/>
        <s v="DEUTSCHE PHARMA S A C"/>
        <s v="HIVIMAR S A C"/>
        <s v="TOTAL SERVICIOS FINANCIEROS EMPRESAS DE CREDI"/>
        <s v="S &amp; C SOLUCIONES INTEGRALES SAC"/>
        <s v="SCANIA SERVICES DEL PERU"/>
        <s v="AGRICOLA DON GUILLERMO S A C"/>
        <s v="ESTILOS S R L"/>
        <s v="EL BOSQUE EMPRESA INDIVIDUAL DE RLTDA"/>
        <s v="GRIFO JHP EIRL LTDA"/>
        <s v="LA JOYA COMERCIAL SAC"/>
        <s v="PERALES HUANCARUNA S A PERHUSA"/>
        <s v="REPALSA SA"/>
        <s v="SOCIEDAD DE AUTOMOTORES INKA SAC"/>
        <s v="COMPA#IA AGROINDUSTRIAL SANTA ANA SAC"/>
        <s v="FRUTOS TONGORRAPE SOCIEDAD ANONIMA"/>
        <s v="QUICORNAC SAC"/>
        <s v="DISTRIBUCIONES OLANO SAC"/>
        <s v="PULPAS Y PROCESADOS DEL AGRO SOCIEDAD ANONIMA"/>
        <s v="HERMANOS NU#EZ GAONA SRL"/>
        <s v="PACKPLAST ENVOLTURAS SAC"/>
        <s v="AGROVET MARKET SA"/>
        <s v="HILANDERIA LURIN SAC"/>
        <s v="SILVATEAM PERU COMERCIAL SAC"/>
        <s v="ECO PROYEC PERU S A C"/>
        <s v="POLYROOF SOCIEDAD ANONIMA CERRADA"/>
        <s v="OREGON FOODS SAC"/>
        <s v="ANALYTICA MINERAL SERVICES SAC"/>
        <s v="CORPORATION WITHMORY SRL"/>
        <s v="RASH PERU SRL"/>
        <s v="JRC MAQUINARIAS S A C"/>
        <s v="LOS OLIVOS DE VILLACURI SAC"/>
        <s v="GMG COMERCIAL PERU S A"/>
        <s v="KIA IMPORT PERU SAC"/>
        <s v="OPP FILM S A"/>
        <s v="ALVAREZ LARREA EQUIPOS MEDICOS ALEM CIA LTDA"/>
        <s v="URBANIZADORA JARDIN S A"/>
        <s v="AEROPUERTOS DEL PERU S A"/>
        <s v="TEXTILE SOURCING COMPANY SAC BIC"/>
        <s v="OIL TRADING SAC"/>
        <s v="PERUFARMA S A"/>
        <s v="J &amp; V RESGUARDO S A C"/>
        <s v="EXPORTADORA ROMEX SA"/>
        <s v="FERRETERIA CATALEYA SAC"/>
        <s v="FRIGOSA SAC"/>
        <s v="PALCON PERU SAC"/>
        <s v="VIAGO E I R L"/>
        <s v="AI INVERSIONES PALO ALTO II S A C"/>
        <s v="MOTOR MUNDO SAC"/>
        <s v="FIBRAS MARINAS SA"/>
        <s v="COMPLEJO AGROINDUSTRIAL BETA S A"/>
        <s v="AUTOMOTORES GILDEMEISTER PERU S A C"/>
        <s v="COSTA ATLANTICA SA"/>
        <s v="FORUM DISTRIBUIDORA DEL PERU SA"/>
        <s v="HUMON LATIN AMERICA SA"/>
        <s v="CYNARA PERU SAC"/>
        <s v="ITALTEL PERU SAC"/>
        <s v="OPERACIONES SEPROCAL SAC"/>
        <s v="INTEGRACION LOGISTICA INLOG SAC"/>
        <s v="SIMED PERU SAC"/>
        <s v="GP MOTOS SOCIEDAD ANONIMA CERRADA"/>
        <s v="J CH COMERCIAL S A"/>
        <s v="INDUSTRIAS JHOMERON S A"/>
        <s v="ZONA LLANTAS SAC"/>
        <s v="M &amp; CALERA SANTA SAC"/>
        <s v="UNION DE TECNICOS ELECTROMECANICOS SAC"/>
        <s v="ROBOCON SERVICIOS SAC"/>
        <s v="CORPORACION INMOBILIARIA TULSI SAC"/>
        <s v="IESA S A"/>
        <s v="COBEFAR SAC"/>
        <s v="CREACIONES DE EXPORTACION SAC"/>
        <s v="NATURAL GAS COMPANY S A C"/>
        <s v="AGROMAR INDUSTRIAL S A"/>
        <s v="MOLINOS ASOCIADOS SOCIEDAD ANONIMA CERRADA"/>
        <s v="RIPCONCIV CONSTRUCCIONES CIVILES CIA LTDA SUC"/>
        <s v="EDIFICADORA DE DISE#O Y CONSTRUCCION SAC"/>
        <s v="CIA INDUSTRIAL NUEVO MUNDO S A"/>
        <s v="LEON AUTOS S A"/>
        <s v="CRECE CAPITAL SAC"/>
        <s v="C &amp; M SERVICENTROS SOCIEDAD ANONIMA CERRADA"/>
        <s v="CORPORACION CAYMAN SAC"/>
        <s v="AMAZONAS TRADING PERU SAC"/>
        <s v="TRINY RENTAL SAC"/>
        <s v="ELECTRONORTE SA"/>
        <s v="EMP REG DE SERV PUB DE ELECT ELECTRONORTE MED"/>
        <s v="SERVOSA COMBUSTIBLES SAC"/>
        <s v="ELECTRONOROESTE S A"/>
        <s v="INVERSIONES FLOTEX SAC"/>
        <s v="KIMSA FRESH SAC"/>
        <s v="INKAPACKING SAC"/>
        <s v="FERNANDEZ SAC"/>
        <s v="EUROVA SAC"/>
        <s v="AGROINDUSTRIAS HUARAL SAC"/>
        <s v="CONDUTO PERU SAC"/>
        <s v="PROVEEDORES MINEROS SAC"/>
        <s v="P A PERU S A C"/>
        <s v="PENTATECH CONSTRUCCION S A C"/>
        <s v="BEAGLE AGENTES DE ADUANA SA"/>
        <s v="INVERSIONES PUCARA S A C"/>
        <s v="AQU ANQA II SAC"/>
        <s v="VIRU S A"/>
        <s v="GRUPO DELTRON S A"/>
        <s v="ECOPACKING CARTONES SAC"/>
        <s v="OVOSUR S A"/>
        <s v="CORPORACION ACEROS AREQUIPA S A"/>
        <s v="INTERLOOM S A C"/>
        <s v="TRAUMA SOLUTIONS SAC"/>
        <s v="INVERSIONES MUYA SAC"/>
        <s v="ED&amp;F MAN VOLCAFE PERU SA"/>
        <s v="RELIPER PERU SAC"/>
        <s v="INVERSIONES JOCEMA SAC"/>
        <s v="COREPTEC SAC"/>
        <s v="ERGOMATIC SAC"/>
        <s v="WAN XIN GROUP EIRL"/>
        <s v="MAREAUTO PERU SA"/>
        <s v="PROYECTOS EJECUCION Y MONTAJES INDST S A"/>
        <s v="SOCIEDAD AGRICOLA 3P SAC"/>
        <s v="POLIMASTER SAC"/>
        <s v="CORPORACION MOLIENDA ZUR SAC"/>
        <s v="TERMINALES PORTUARIOS PERUANOS"/>
        <s v="ACEROS COMERCIALES S C R L"/>
        <s v="INVERMIN PAITITI SOCIEDAD ANONIMA CERRADA"/>
        <s v="CLASIFICADORA DE LANAS MACEDO SAC"/>
        <s v="A I D INGENIEROS SAC"/>
        <s v="REPRESENTACIONES CASTILLO SA"/>
        <s v="TRANSPORTES LINEA S A"/>
        <s v="DISMAR EIR LTDA"/>
        <s v="ESTACIONES Y SERVICIOS MHT EIRL"/>
        <s v="DISERNIC SAC"/>
        <s v="COVISIAN ESPA#A SL SOC UNIP SUC EN PERU"/>
        <s v="SEDISA S A C"/>
        <s v="PREMIUM BRANDS S A C"/>
        <s v="TRICORZO SA"/>
        <s v="GRUPO AMERICANO DE COMERCIO S A C"/>
        <s v="COMPRA Y VENTA DE MATERIALES METALICOS S A C"/>
        <s v="ZEDINA ALIMENTOS SAC"/>
        <s v="CONSORCIO MEDITERRANEO SAC"/>
        <s v="CENTRO COMERCIAL PLAZA NORTE SAC"/>
        <s v="CENTRO COMERCIAL MALL DEL SUR SAC"/>
        <s v="E &amp; M SRL"/>
        <s v="LA LLAVE SA"/>
        <s v="CONECTA RETAIL SA"/>
        <s v="INDURAMA PERU SAC"/>
        <s v="SALESLAND PACIFICO SA"/>
        <s v="FABRICA DE ENVASES SA"/>
        <s v="PERULAB EXPRESS SAC"/>
        <s v="CORPORACION AGROLATINA S A C"/>
        <s v="TIENDAS PERUANAS SA"/>
        <s v="FLORIDABLANCA SAC"/>
        <s v="AMBACAR S A C"/>
        <s v="GRUPO QTC S A C"/>
        <s v="CUPRICA S A C"/>
        <s v="ROTAPEL SA"/>
        <s v="JM LUDAFA SAC"/>
        <s v="CORPORACION BJR IMPORT SUR S A C"/>
        <s v="TS NET S A"/>
        <s v="ELECTRO FERRO CENTRO SAC EFC SAC"/>
        <s v="M &amp; H GROUP SAC"/>
        <s v="POLIMEROS Y PLASTICOS ANDINA SAC"/>
        <s v="MARCO PERUANA S A"/>
        <s v="J R STEEL COMPANY"/>
        <s v="BIOCON DEL PERU S A C"/>
        <s v="AGRO SAN GERARDO SAC"/>
        <s v="MINERIA CORPORATIVA SAC"/>
        <s v="EXANDAL SA"/>
        <s v="COLOREXA SOCIEDAD ANONIMA CERRADA"/>
        <s v="FACTOTAL PERU SA"/>
        <s v="INVERSIONES PECUARIAS LURIN S A"/>
        <s v="PRECISION PERU SA"/>
        <s v="LA GENOVESA SAC"/>
        <s v="LA GENOVESA DISTRIBUCIONES SAC"/>
        <s v="RIVULIS PERU SAC"/>
        <s v="IMPORTACION EXPORTACION ALBA SAC"/>
        <s v="KRIPTO PAYMENT SOLUTIONS SAC"/>
        <s v="ESTACION DE SERVICIOS SAN JOSE S A C"/>
        <s v="OTOYA MH SAC"/>
        <s v="INTEROC S A"/>
        <s v="GLOBAL LINE SERVICE SAC"/>
        <s v="INDUSTRIAS PSB SAC"/>
        <s v="INVERSIONES &amp; NEGOCIACIONES FERRE SAC"/>
        <s v="INDUSTRIAL SUPPLY CM SAC"/>
        <s v="AGROEXPORTACIONES NATHANAEL SAC"/>
        <s v="SURPACK S A"/>
        <s v="TECNOFIL S A"/>
        <s v="OLPA GROUP SOLUTION SAC"/>
        <s v="SOLUCIONES ELECTRICAS Y SANITARIAS PERU SAC"/>
        <s v="Q MEDICAL SAC"/>
        <s v="LCN PERU SAC"/>
        <s v="DISTRIB FARMACEUTICA LA LIBERTAD SAC"/>
        <s v="TAMBOS PERU SAC"/>
        <s v="FORZAMAT SAC"/>
        <s v="INDUAMERICA COMERCIAL SAC"/>
        <s v="SISTEMAS ANALITICOS SRL"/>
        <s v="TECNICA AVICOLA S A"/>
        <s v="RAINFOREST TRADING SAC"/>
        <s v="TIENDAS POR DEPARTAMENTO RIPLEY SAC"/>
        <s v="R &amp; R CORPORACION SAC"/>
        <s v="MAQUINARIAS Y EQUIPOS DEL PERU S A"/>
        <s v="PERULAB S A"/>
        <s v="ANYERO INVERSIONES SAC"/>
        <s v="HOMECENTERS PERUANOS SA"/>
        <s v="EFDS S A C"/>
        <s v="LABORATORIOS LANSIER SAC"/>
        <s v="NEGRISA S A C"/>
        <s v="AZAFRE PERU S A C"/>
        <s v="PROTECCION Y RESGUARDO SA"/>
        <s v="UNION DE NEGOCIOS CORPORATIVOS SAC"/>
        <s v="EXPORTADORA FRUTICOLA DEL SUR S A"/>
        <s v="CAYMAN SAC"/>
        <s v="MARINE INDUSTRIAL CORPORATION SAC"/>
        <s v="CAMPOS DEL SUR SA"/>
        <s v="ANDECORP GROUP SAC"/>
        <s v="PACIFICO INTERNATIONAL TRADING COMPANY S A C"/>
      </sharedItems>
    </cacheField>
    <cacheField name="[Desem].[Producto].[Producto]" caption="Producto" numFmtId="0" hierarchy="3" level="1">
      <sharedItems count="4">
        <s v="PRESTAMOS"/>
        <s v="COMEX"/>
        <s v="DESCUENTOS"/>
        <s v="MEDIANO PLAZO"/>
      </sharedItems>
    </cacheField>
    <cacheField name="[Desem].[Spread Desem.].[Spread Desem.]" caption="Spread Desem." numFmtId="0" hierarchy="6" level="1">
      <sharedItems containsSemiMixedTypes="0" containsString="0" containsNumber="1" minValue="-0.21" maxValue="10.42" count="98">
        <n v="3.34"/>
        <n v="2.16"/>
        <n v="4.71"/>
        <n v="4.2"/>
        <n v="1.75"/>
        <n v="1.5"/>
        <n v="1.66"/>
        <n v="0.9"/>
        <n v="2.76"/>
        <n v="2.3199999999999998"/>
        <n v="0.55000000000000004"/>
        <n v="3.57"/>
        <n v="9.6"/>
        <n v="0.1"/>
        <n v="1.2"/>
        <n v="0.2"/>
        <n v="2.35"/>
        <n v="1.1499999999999999"/>
        <n v="4.6900000000000004"/>
        <n v="-0.21"/>
        <n v="2.4500000000000002"/>
        <n v="4.4800000000000004"/>
        <n v="1.3"/>
        <n v="0.85"/>
        <n v="1.8"/>
        <n v="1"/>
        <n v="5.5"/>
        <n v="3.15"/>
        <n v="5.47"/>
        <n v="1.9"/>
        <n v="2.58"/>
        <n v="2.0499999999999998"/>
        <n v="3.94"/>
        <n v="10.42"/>
        <n v="10.37"/>
        <n v="1.45"/>
        <n v="0.15"/>
        <n v="2.2999999999999998"/>
        <n v="3.8"/>
        <n v="3.35"/>
        <n v="1.55"/>
        <n v="3.3"/>
        <n v="3.95"/>
        <n v="2.8"/>
        <n v="0.5"/>
        <n v="2.75"/>
        <n v="6.15"/>
        <n v="2.7"/>
        <n v="0.6"/>
        <n v="0.61"/>
        <n v="5.55"/>
        <n v="4.43"/>
        <n v="4.18"/>
        <n v="4.25"/>
        <n v="4.5"/>
        <n v="0.95"/>
        <n v="0.7"/>
        <n v="0.51"/>
        <n v="4.8"/>
        <n v="4.9000000000000004"/>
        <n v="2.5499999999999998"/>
        <n v="8"/>
        <n v="1.95"/>
        <n v="3.19"/>
        <n v="6.1"/>
        <n v="7.95"/>
        <n v="1.98"/>
        <n v="3.45"/>
        <n v="3.9"/>
        <n v="5"/>
        <n v="3.6"/>
        <n v="5.15"/>
        <n v="3.65"/>
        <n v="4.55"/>
        <n v="1.1000000000000001"/>
        <n v="1.7"/>
        <n v="3.5"/>
        <n v="8.1999999999999993"/>
        <n v="1.05"/>
        <n v="4.1500000000000004"/>
        <n v="4.7"/>
        <n v="0.2752"/>
        <n v="2.95"/>
        <n v="3.55"/>
        <n v="0.25"/>
        <n v="3"/>
        <n v="2.4"/>
        <n v="4.6500000000000004"/>
        <n v="5.0999999999999996"/>
        <n v="3.05"/>
        <n v="2.2000000000000002"/>
        <n v="0.8"/>
        <n v="0.35"/>
        <n v="1.35"/>
        <n v="3.83"/>
        <n v="1.08"/>
        <n v="0.45"/>
        <n v="2.15"/>
      </sharedItems>
    </cacheField>
    <cacheField name="[Measures].[Suma de Monto Desem. M]" caption="Suma de Monto Desem. M" numFmtId="0" hierarchy="15" level="32767"/>
    <cacheField name="[Measures].[Suma de Spread Desem.]" caption="Suma de Spread Desem." numFmtId="0" hierarchy="16" level="32767"/>
    <cacheField name="[Desem].[Moneda].[Moneda]" caption="Moneda" numFmtId="0" hierarchy="4" level="1">
      <sharedItems count="2">
        <s v="USD"/>
        <s v="PEN"/>
      </sharedItems>
    </cacheField>
    <cacheField name="[Desem].[Lider].[Lider]" caption="Lider" numFmtId="0" hierarchy="7" level="1">
      <sharedItems containsSemiMixedTypes="0" containsNonDate="0" containsString="0"/>
    </cacheField>
    <cacheField name="[Desem].[Grupo].[Grupo]" caption="Grupo" numFmtId="0" hierarchy="8" level="1">
      <sharedItems containsSemiMixedTypes="0" containsNonDate="0" containsString="0"/>
    </cacheField>
  </cacheFields>
  <cacheHierarchies count="17">
    <cacheHierarchy uniqueName="[Desem].[Periodo]" caption="Periodo" attribute="1" defaultMemberUniqueName="[Desem].[Periodo].[All]" allUniqueName="[Desem].[Periodo].[All]" dimensionUniqueName="[Desem]" displayFolder="" count="2" memberValueDatatype="20" unbalanced="0">
      <fieldsUsage count="2">
        <fieldUsage x="-1"/>
        <fieldUsage x="0"/>
      </fieldsUsage>
    </cacheHierarchy>
    <cacheHierarchy uniqueName="[Desem].[Operacion]" caption="Operacion" attribute="1" defaultMemberUniqueName="[Desem].[Operacion].[All]" allUniqueName="[Desem].[Operacion].[All]" dimensionUniqueName="[Desem]" displayFolder="" count="2" memberValueDatatype="5" unbalanced="0">
      <fieldsUsage count="2">
        <fieldUsage x="-1"/>
        <fieldUsage x="1"/>
      </fieldsUsage>
    </cacheHierarchy>
    <cacheHierarchy uniqueName="[Desem].[Cod]" caption="Cod" attribute="1" defaultMemberUniqueName="[Desem].[Cod].[All]" allUniqueName="[Desem].[Cod].[All]" dimensionUniqueName="[Desem]" displayFolder="" count="0" memberValueDatatype="5" unbalanced="0"/>
    <cacheHierarchy uniqueName="[Desem].[Producto]" caption="Producto" attribute="1" defaultMemberUniqueName="[Desem].[Producto].[All]" allUniqueName="[Desem].[Producto].[All]" dimensionUniqueName="[Desem]" displayFolder="" count="2" memberValueDatatype="130" unbalanced="0">
      <fieldsUsage count="2">
        <fieldUsage x="-1"/>
        <fieldUsage x="4"/>
      </fieldsUsage>
    </cacheHierarchy>
    <cacheHierarchy uniqueName="[Desem].[Moneda]" caption="Moneda" attribute="1" defaultMemberUniqueName="[Desem].[Moneda].[All]" allUniqueName="[Desem].[Moneda].[All]" dimensionUniqueName="[Desem]" displayFolder="" count="2" memberValueDatatype="130" unbalanced="0">
      <fieldsUsage count="2">
        <fieldUsage x="-1"/>
        <fieldUsage x="8"/>
      </fieldsUsage>
    </cacheHierarchy>
    <cacheHierarchy uniqueName="[Desem].[Monto Desem.]" caption="Monto Desem." attribute="1" defaultMemberUniqueName="[Desem].[Monto Desem.].[All]" allUniqueName="[Desem].[Monto Desem.].[All]" dimensionUniqueName="[Desem]" displayFolder="" count="0" memberValueDatatype="5" unbalanced="0"/>
    <cacheHierarchy uniqueName="[Desem].[Spread Desem.]" caption="Spread Desem." attribute="1" defaultMemberUniqueName="[Desem].[Spread Desem.].[All]" allUniqueName="[Desem].[Spread Desem.].[All]" dimensionUniqueName="[Desem]" displayFolder="" count="2" memberValueDatatype="5" unbalanced="0">
      <fieldsUsage count="2">
        <fieldUsage x="-1"/>
        <fieldUsage x="5"/>
      </fieldsUsage>
    </cacheHierarchy>
    <cacheHierarchy uniqueName="[Desem].[Lider]" caption="Lider" attribute="1" defaultMemberUniqueName="[Desem].[Lider].[All]" allUniqueName="[Desem].[Lider].[All]" dimensionUniqueName="[Desem]" displayFolder="" count="2" memberValueDatatype="130" unbalanced="0">
      <fieldsUsage count="2">
        <fieldUsage x="-1"/>
        <fieldUsage x="9"/>
      </fieldsUsage>
    </cacheHierarchy>
    <cacheHierarchy uniqueName="[Desem].[Grupo]" caption="Grupo" attribute="1" defaultMemberUniqueName="[Desem].[Grupo].[All]" allUniqueName="[Desem].[Grupo].[All]" dimensionUniqueName="[Desem]" displayFolder="" count="2" memberValueDatatype="130" unbalanced="0">
      <fieldsUsage count="2">
        <fieldUsage x="-1"/>
        <fieldUsage x="10"/>
      </fieldsUsage>
    </cacheHierarchy>
    <cacheHierarchy uniqueName="[Desem].[NombreFuncionario]" caption="NombreFuncionario" attribute="1" defaultMemberUniqueName="[Desem].[NombreFuncionario].[All]" allUniqueName="[Desem].[NombreFuncionario].[All]" dimensionUniqueName="[Desem]" displayFolder="" count="2" memberValueDatatype="130" unbalanced="0">
      <fieldsUsage count="2">
        <fieldUsage x="-1"/>
        <fieldUsage x="2"/>
      </fieldsUsage>
    </cacheHierarchy>
    <cacheHierarchy uniqueName="[Desem].[NombreCliente]" caption="NombreCliente" attribute="1" defaultMemberUniqueName="[Desem].[NombreCliente].[All]" allUniqueName="[Desem].[NombreCliente].[All]" dimensionUniqueName="[Desem]" displayFolder="" count="2" memberValueDatatype="130" unbalanced="0">
      <fieldsUsage count="2">
        <fieldUsage x="-1"/>
        <fieldUsage x="3"/>
      </fieldsUsage>
    </cacheHierarchy>
    <cacheHierarchy uniqueName="[Desem].[Monto Desem. M]" caption="Monto Desem. M" attribute="1" defaultMemberUniqueName="[Desem].[Monto Desem. M].[All]" allUniqueName="[Desem].[Monto Desem. M].[All]" dimensionUniqueName="[Desem]" displayFolder="" count="0" memberValueDatatype="5" unbalanced="0"/>
    <cacheHierarchy uniqueName="[Measures].[__XL_Count Desem]" caption="__XL_Count Desem" measure="1" displayFolder="" measureGroup="Desem" count="0" hidden="1"/>
    <cacheHierarchy uniqueName="[Measures].[__No measures defined]" caption="__No measures defined" measure="1" displayFolder="" count="0" hidden="1"/>
    <cacheHierarchy uniqueName="[Measures].[Suma de Monto Desem.]" caption="Suma de Monto Desem." measure="1" displayFolder="" measureGroup="Desem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Monto Desem. M]" caption="Suma de Monto Desem. M" measure="1" displayFolder="" measureGroup="Desem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Spread Desem.]" caption="Suma de Spread Desem." measure="1" displayFolder="" measureGroup="Desem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name="Desem" uniqueName="[Desem]" caption="Desem"/>
    <dimension measure="1" name="Measures" uniqueName="[Measures]" caption="Measures"/>
  </dimensions>
  <measureGroups count="1">
    <measureGroup name="Desem" caption="Desem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is Zelada" refreshedDate="46296.89508101852" createdVersion="3" refreshedVersion="8" minRefreshableVersion="3" recordCount="0" supportSubquery="1" supportAdvancedDrill="1" xr:uid="{C4FF9702-EED5-4AD7-AEF0-643DCC0FAA9B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7">
    <cacheHierarchy uniqueName="[Desem].[Periodo]" caption="Periodo" attribute="1" defaultMemberUniqueName="[Desem].[Periodo].[All]" allUniqueName="[Desem].[Periodo].[All]" dimensionUniqueName="[Desem]" displayFolder="" count="0" memberValueDatatype="20" unbalanced="0"/>
    <cacheHierarchy uniqueName="[Desem].[Operacion]" caption="Operacion" attribute="1" defaultMemberUniqueName="[Desem].[Operacion].[All]" allUniqueName="[Desem].[Operacion].[All]" dimensionUniqueName="[Desem]" displayFolder="" count="0" memberValueDatatype="5" unbalanced="0"/>
    <cacheHierarchy uniqueName="[Desem].[Cod]" caption="Cod" attribute="1" defaultMemberUniqueName="[Desem].[Cod].[All]" allUniqueName="[Desem].[Cod].[All]" dimensionUniqueName="[Desem]" displayFolder="" count="0" memberValueDatatype="5" unbalanced="0"/>
    <cacheHierarchy uniqueName="[Desem].[Producto]" caption="Producto" attribute="1" defaultMemberUniqueName="[Desem].[Producto].[All]" allUniqueName="[Desem].[Producto].[All]" dimensionUniqueName="[Desem]" displayFolder="" count="0" memberValueDatatype="130" unbalanced="0"/>
    <cacheHierarchy uniqueName="[Desem].[Moneda]" caption="Moneda" attribute="1" defaultMemberUniqueName="[Desem].[Moneda].[All]" allUniqueName="[Desem].[Moneda].[All]" dimensionUniqueName="[Desem]" displayFolder="" count="0" memberValueDatatype="130" unbalanced="0"/>
    <cacheHierarchy uniqueName="[Desem].[Monto Desem.]" caption="Monto Desem." attribute="1" defaultMemberUniqueName="[Desem].[Monto Desem.].[All]" allUniqueName="[Desem].[Monto Desem.].[All]" dimensionUniqueName="[Desem]" displayFolder="" count="0" memberValueDatatype="5" unbalanced="0"/>
    <cacheHierarchy uniqueName="[Desem].[Spread Desem.]" caption="Spread Desem." attribute="1" defaultMemberUniqueName="[Desem].[Spread Desem.].[All]" allUniqueName="[Desem].[Spread Desem.].[All]" dimensionUniqueName="[Desem]" displayFolder="" count="0" memberValueDatatype="5" unbalanced="0"/>
    <cacheHierarchy uniqueName="[Desem].[Lider]" caption="Lider" attribute="1" defaultMemberUniqueName="[Desem].[Lider].[All]" allUniqueName="[Desem].[Lider].[All]" dimensionUniqueName="[Desem]" displayFolder="" count="2" memberValueDatatype="130" unbalanced="0"/>
    <cacheHierarchy uniqueName="[Desem].[Grupo]" caption="Grupo" attribute="1" defaultMemberUniqueName="[Desem].[Grupo].[All]" allUniqueName="[Desem].[Grupo].[All]" dimensionUniqueName="[Desem]" displayFolder="" count="2" memberValueDatatype="130" unbalanced="0"/>
    <cacheHierarchy uniqueName="[Desem].[NombreFuncionario]" caption="NombreFuncionario" attribute="1" defaultMemberUniqueName="[Desem].[NombreFuncionario].[All]" allUniqueName="[Desem].[NombreFuncionario].[All]" dimensionUniqueName="[Desem]" displayFolder="" count="2" memberValueDatatype="130" unbalanced="0"/>
    <cacheHierarchy uniqueName="[Desem].[NombreCliente]" caption="NombreCliente" attribute="1" defaultMemberUniqueName="[Desem].[NombreCliente].[All]" allUniqueName="[Desem].[NombreCliente].[All]" dimensionUniqueName="[Desem]" displayFolder="" count="0" memberValueDatatype="130" unbalanced="0"/>
    <cacheHierarchy uniqueName="[Desem].[Monto Desem. M]" caption="Monto Desem. M" attribute="1" defaultMemberUniqueName="[Desem].[Monto Desem. M].[All]" allUniqueName="[Desem].[Monto Desem. M].[All]" dimensionUniqueName="[Desem]" displayFolder="" count="0" memberValueDatatype="5" unbalanced="0"/>
    <cacheHierarchy uniqueName="[Measures].[__XL_Count Desem]" caption="__XL_Count Desem" measure="1" displayFolder="" measureGroup="Desem" count="0" hidden="1"/>
    <cacheHierarchy uniqueName="[Measures].[__No measures defined]" caption="__No measures defined" measure="1" displayFolder="" count="0" hidden="1"/>
    <cacheHierarchy uniqueName="[Measures].[Suma de Monto Desem.]" caption="Suma de Monto Desem." measure="1" displayFolder="" measureGroup="Desem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Monto Desem. M]" caption="Suma de Monto Desem. M" measure="1" displayFolder="" measureGroup="Desem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Spread Desem.]" caption="Suma de Spread Desem." measure="1" displayFolder="" measureGroup="Desem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837091393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62379-51F4-4F35-967D-EF6995F0209B}" name="TablaDinámica2" cacheId="90" applyNumberFormats="0" applyBorderFormats="0" applyFontFormats="0" applyPatternFormats="0" applyAlignmentFormats="0" applyWidthHeightFormats="1" dataCaption="Valores" tag="bac1cb54-c0dd-4878-8a6c-55a8789dd33a" updatedVersion="8" minRefreshableVersion="3" useAutoFormatting="1" subtotalHiddenItems="1" itemPrintTitles="1" createdVersion="5" indent="0" outline="1" outlineData="1" multipleFieldFilters="0">
  <location ref="S17:S40" firstHeaderRow="1" firstDataRow="1" firstDataCol="1"/>
  <pivotFields count="1">
    <pivotField axis="axisRow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s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E888D-5494-4026-880D-DE0B5E515DC0}" name="TablaDinámica1" cacheId="93" applyNumberFormats="0" applyBorderFormats="0" applyFontFormats="0" applyPatternFormats="0" applyAlignmentFormats="0" applyWidthHeightFormats="1" dataCaption="Valores" tag="1e3b7414-440b-488d-a175-9297902054bf" updatedVersion="8" minRefreshableVersion="3" subtotalHiddenItems="1" rowGrandTotals="0" colGrandTotals="0" itemPrintTitles="1" createdVersion="5" indent="0" compact="0" compactData="0" multipleFieldFilters="0">
  <location ref="A16:H862" firstHeaderRow="0" firstDataRow="1" firstDataCol="6"/>
  <pivotFields count="11"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Nombre Funcionario" axis="axisRow" compact="0" allDrilled="1" outline="0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sortType="ascending" defaultSubtotal="0" defaultAttributeDrillState="1">
      <items count="98">
        <item x="19"/>
        <item x="13"/>
        <item x="36"/>
        <item x="15"/>
        <item x="84"/>
        <item x="81"/>
        <item x="92"/>
        <item x="96"/>
        <item x="44"/>
        <item x="57"/>
        <item x="10"/>
        <item x="48"/>
        <item x="49"/>
        <item x="56"/>
        <item x="91"/>
        <item x="23"/>
        <item x="7"/>
        <item x="55"/>
        <item x="25"/>
        <item x="78"/>
        <item x="95"/>
        <item x="74"/>
        <item x="17"/>
        <item x="14"/>
        <item x="22"/>
        <item x="93"/>
        <item x="35"/>
        <item x="5"/>
        <item x="40"/>
        <item x="6"/>
        <item x="75"/>
        <item x="4"/>
        <item x="24"/>
        <item x="29"/>
        <item x="62"/>
        <item x="66"/>
        <item x="31"/>
        <item x="97"/>
        <item x="1"/>
        <item x="90"/>
        <item x="37"/>
        <item x="9"/>
        <item x="16"/>
        <item x="86"/>
        <item x="20"/>
        <item x="60"/>
        <item x="30"/>
        <item x="47"/>
        <item x="45"/>
        <item x="8"/>
        <item x="43"/>
        <item x="82"/>
        <item x="85"/>
        <item x="89"/>
        <item x="27"/>
        <item x="63"/>
        <item x="41"/>
        <item x="0"/>
        <item x="39"/>
        <item x="67"/>
        <item x="76"/>
        <item x="83"/>
        <item x="11"/>
        <item x="70"/>
        <item x="72"/>
        <item x="38"/>
        <item x="94"/>
        <item x="68"/>
        <item x="32"/>
        <item x="42"/>
        <item x="79"/>
        <item x="52"/>
        <item x="3"/>
        <item x="53"/>
        <item x="51"/>
        <item x="21"/>
        <item x="54"/>
        <item x="73"/>
        <item x="87"/>
        <item x="18"/>
        <item x="80"/>
        <item x="2"/>
        <item x="58"/>
        <item x="59"/>
        <item x="69"/>
        <item x="88"/>
        <item x="71"/>
        <item x="28"/>
        <item x="26"/>
        <item x="50"/>
        <item x="64"/>
        <item x="46"/>
        <item x="65"/>
        <item x="61"/>
        <item x="77"/>
        <item x="12"/>
        <item x="34"/>
        <item x="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2"/>
    <field x="1"/>
    <field x="8"/>
    <field x="4"/>
    <field x="3"/>
  </rowFields>
  <rowItems count="846">
    <i>
      <x/>
      <x/>
      <x/>
      <x/>
      <x/>
      <x/>
    </i>
    <i r="2">
      <x v="1"/>
      <x/>
      <x v="1"/>
      <x v="1"/>
    </i>
    <i r="2">
      <x v="2"/>
      <x/>
      <x/>
      <x v="2"/>
    </i>
    <i r="2">
      <x v="3"/>
      <x v="1"/>
      <x v="1"/>
      <x v="3"/>
    </i>
    <i r="2">
      <x v="4"/>
      <x v="1"/>
      <x/>
      <x v="4"/>
    </i>
    <i r="2">
      <x v="5"/>
      <x/>
      <x v="1"/>
      <x v="2"/>
    </i>
    <i r="1">
      <x v="1"/>
      <x v="6"/>
      <x/>
      <x v="2"/>
      <x v="5"/>
    </i>
    <i r="2">
      <x v="7"/>
      <x/>
      <x v="2"/>
      <x v="6"/>
    </i>
    <i r="2">
      <x v="8"/>
      <x/>
      <x v="2"/>
      <x v="5"/>
    </i>
    <i r="2">
      <x v="9"/>
      <x/>
      <x/>
      <x v="7"/>
    </i>
    <i r="2">
      <x v="10"/>
      <x v="1"/>
      <x/>
      <x v="8"/>
    </i>
    <i r="1">
      <x v="2"/>
      <x v="11"/>
      <x/>
      <x v="1"/>
      <x v="9"/>
    </i>
    <i r="2">
      <x v="12"/>
      <x/>
      <x/>
      <x v="10"/>
    </i>
    <i r="2">
      <x v="13"/>
      <x/>
      <x v="1"/>
      <x v="9"/>
    </i>
    <i r="2">
      <x v="14"/>
      <x/>
      <x v="1"/>
      <x v="9"/>
    </i>
    <i r="2">
      <x v="15"/>
      <x v="1"/>
      <x/>
      <x v="11"/>
    </i>
    <i r="2">
      <x v="16"/>
      <x/>
      <x v="1"/>
      <x v="9"/>
    </i>
    <i r="2">
      <x v="17"/>
      <x v="1"/>
      <x/>
      <x v="12"/>
    </i>
    <i r="2">
      <x v="18"/>
      <x/>
      <x v="1"/>
      <x v="9"/>
    </i>
    <i r="2">
      <x v="19"/>
      <x/>
      <x v="1"/>
      <x v="13"/>
    </i>
    <i r="2">
      <x v="20"/>
      <x/>
      <x v="1"/>
      <x v="14"/>
    </i>
    <i r="2">
      <x v="21"/>
      <x/>
      <x v="1"/>
      <x v="14"/>
    </i>
    <i r="1">
      <x v="3"/>
      <x v="22"/>
      <x/>
      <x v="2"/>
      <x v="15"/>
    </i>
    <i r="2">
      <x v="23"/>
      <x/>
      <x v="1"/>
      <x v="16"/>
    </i>
    <i r="2">
      <x v="24"/>
      <x v="1"/>
      <x/>
      <x v="17"/>
    </i>
    <i r="2">
      <x v="25"/>
      <x v="1"/>
      <x/>
      <x v="17"/>
    </i>
    <i r="2">
      <x v="26"/>
      <x v="1"/>
      <x/>
      <x v="18"/>
    </i>
    <i r="2">
      <x v="27"/>
      <x v="1"/>
      <x v="2"/>
      <x v="18"/>
    </i>
    <i r="2">
      <x v="28"/>
      <x v="1"/>
      <x v="1"/>
      <x v="19"/>
    </i>
    <i r="2">
      <x v="29"/>
      <x/>
      <x/>
      <x v="20"/>
    </i>
    <i r="2">
      <x v="30"/>
      <x/>
      <x v="1"/>
      <x v="21"/>
    </i>
    <i r="2">
      <x v="31"/>
      <x/>
      <x v="2"/>
      <x v="15"/>
    </i>
    <i r="2">
      <x v="32"/>
      <x/>
      <x v="1"/>
      <x v="22"/>
    </i>
    <i r="2">
      <x v="33"/>
      <x/>
      <x v="1"/>
      <x v="23"/>
    </i>
    <i r="2">
      <x v="34"/>
      <x/>
      <x v="1"/>
      <x v="23"/>
    </i>
    <i r="2">
      <x v="35"/>
      <x/>
      <x v="1"/>
      <x v="24"/>
    </i>
    <i r="2">
      <x v="36"/>
      <x/>
      <x v="2"/>
      <x v="15"/>
    </i>
    <i r="2">
      <x v="37"/>
      <x/>
      <x/>
      <x v="25"/>
    </i>
    <i r="2">
      <x v="38"/>
      <x/>
      <x v="1"/>
      <x v="26"/>
    </i>
    <i r="2">
      <x v="39"/>
      <x/>
      <x v="1"/>
      <x v="24"/>
    </i>
    <i r="2">
      <x v="40"/>
      <x/>
      <x v="1"/>
      <x v="27"/>
    </i>
    <i r="2">
      <x v="41"/>
      <x/>
      <x v="1"/>
      <x v="27"/>
    </i>
    <i r="1">
      <x v="4"/>
      <x v="42"/>
      <x/>
      <x v="2"/>
      <x v="28"/>
    </i>
    <i r="2">
      <x v="43"/>
      <x v="1"/>
      <x v="2"/>
      <x v="28"/>
    </i>
    <i r="2">
      <x v="44"/>
      <x/>
      <x v="2"/>
      <x v="28"/>
    </i>
    <i r="2">
      <x v="45"/>
      <x v="1"/>
      <x v="2"/>
      <x v="28"/>
    </i>
    <i r="2">
      <x v="46"/>
      <x/>
      <x v="2"/>
      <x v="28"/>
    </i>
    <i r="2">
      <x v="47"/>
      <x/>
      <x v="2"/>
      <x v="29"/>
    </i>
    <i r="2">
      <x v="48"/>
      <x v="1"/>
      <x v="2"/>
      <x v="28"/>
    </i>
    <i r="2">
      <x v="49"/>
      <x/>
      <x v="2"/>
      <x v="28"/>
    </i>
    <i r="2">
      <x v="50"/>
      <x/>
      <x v="2"/>
      <x v="29"/>
    </i>
    <i r="2">
      <x v="51"/>
      <x v="1"/>
      <x v="2"/>
      <x v="30"/>
    </i>
    <i r="2">
      <x v="52"/>
      <x/>
      <x v="2"/>
      <x v="29"/>
    </i>
    <i r="2">
      <x v="53"/>
      <x v="1"/>
      <x v="2"/>
      <x v="28"/>
    </i>
    <i r="2">
      <x v="54"/>
      <x/>
      <x v="2"/>
      <x v="28"/>
    </i>
    <i r="1">
      <x v="5"/>
      <x v="55"/>
      <x v="1"/>
      <x/>
      <x v="31"/>
    </i>
    <i r="2">
      <x v="56"/>
      <x/>
      <x v="1"/>
      <x v="32"/>
    </i>
    <i r="2">
      <x v="57"/>
      <x/>
      <x v="1"/>
      <x v="32"/>
    </i>
    <i r="2">
      <x v="58"/>
      <x/>
      <x v="1"/>
      <x v="33"/>
    </i>
    <i r="2">
      <x v="59"/>
      <x/>
      <x v="1"/>
      <x v="33"/>
    </i>
    <i r="2">
      <x v="60"/>
      <x v="1"/>
      <x/>
      <x v="34"/>
    </i>
    <i r="2">
      <x v="61"/>
      <x v="1"/>
      <x/>
      <x v="34"/>
    </i>
    <i r="2">
      <x v="62"/>
      <x/>
      <x v="1"/>
      <x v="35"/>
    </i>
    <i r="2">
      <x v="63"/>
      <x/>
      <x v="1"/>
      <x v="36"/>
    </i>
    <i r="2">
      <x v="64"/>
      <x/>
      <x v="1"/>
      <x v="35"/>
    </i>
    <i r="2">
      <x v="65"/>
      <x v="1"/>
      <x/>
      <x v="37"/>
    </i>
    <i r="2">
      <x v="66"/>
      <x/>
      <x v="2"/>
      <x v="38"/>
    </i>
    <i r="2">
      <x v="67"/>
      <x/>
      <x v="2"/>
      <x v="38"/>
    </i>
    <i r="2">
      <x v="68"/>
      <x/>
      <x v="1"/>
      <x v="35"/>
    </i>
    <i r="2">
      <x v="69"/>
      <x/>
      <x v="1"/>
      <x v="35"/>
    </i>
    <i r="2">
      <x v="70"/>
      <x v="1"/>
      <x/>
      <x v="39"/>
    </i>
    <i r="2">
      <x v="71"/>
      <x/>
      <x v="1"/>
      <x v="35"/>
    </i>
    <i r="2">
      <x v="72"/>
      <x/>
      <x v="1"/>
      <x v="35"/>
    </i>
    <i r="2">
      <x v="73"/>
      <x/>
      <x/>
      <x v="31"/>
    </i>
    <i r="2">
      <x v="74"/>
      <x/>
      <x v="1"/>
      <x v="35"/>
    </i>
    <i r="2">
      <x v="75"/>
      <x/>
      <x v="1"/>
      <x v="35"/>
    </i>
    <i r="2">
      <x v="76"/>
      <x v="1"/>
      <x/>
      <x v="40"/>
    </i>
    <i r="2">
      <x v="77"/>
      <x/>
      <x v="1"/>
      <x v="33"/>
    </i>
    <i r="2">
      <x v="78"/>
      <x/>
      <x v="1"/>
      <x v="36"/>
    </i>
    <i r="2">
      <x v="79"/>
      <x v="1"/>
      <x v="3"/>
      <x v="41"/>
    </i>
    <i r="2">
      <x v="80"/>
      <x v="1"/>
      <x v="3"/>
      <x v="41"/>
    </i>
    <i r="2">
      <x v="81"/>
      <x/>
      <x v="1"/>
      <x v="35"/>
    </i>
    <i r="2">
      <x v="82"/>
      <x/>
      <x v="1"/>
      <x v="35"/>
    </i>
    <i r="2">
      <x v="83"/>
      <x/>
      <x v="1"/>
      <x v="31"/>
    </i>
    <i r="2">
      <x v="84"/>
      <x/>
      <x v="1"/>
      <x v="31"/>
    </i>
    <i r="2">
      <x v="85"/>
      <x/>
      <x v="1"/>
      <x v="31"/>
    </i>
    <i r="1">
      <x v="6"/>
      <x v="86"/>
      <x v="1"/>
      <x/>
      <x v="42"/>
    </i>
    <i r="2">
      <x v="87"/>
      <x/>
      <x/>
      <x v="43"/>
    </i>
    <i r="2">
      <x v="88"/>
      <x v="1"/>
      <x v="2"/>
      <x v="44"/>
    </i>
    <i r="2">
      <x v="89"/>
      <x v="1"/>
      <x/>
      <x v="42"/>
    </i>
    <i r="2">
      <x v="90"/>
      <x/>
      <x v="2"/>
      <x v="44"/>
    </i>
    <i r="2">
      <x v="91"/>
      <x/>
      <x v="1"/>
      <x v="45"/>
    </i>
    <i r="2">
      <x v="92"/>
      <x v="1"/>
      <x/>
      <x v="42"/>
    </i>
    <i r="1">
      <x v="7"/>
      <x v="93"/>
      <x/>
      <x v="2"/>
      <x v="46"/>
    </i>
    <i r="2">
      <x v="94"/>
      <x/>
      <x v="2"/>
      <x v="46"/>
    </i>
    <i r="2">
      <x v="95"/>
      <x v="1"/>
      <x v="2"/>
      <x v="47"/>
    </i>
    <i r="2">
      <x v="96"/>
      <x v="1"/>
      <x v="2"/>
      <x v="48"/>
    </i>
    <i r="2">
      <x v="97"/>
      <x v="1"/>
      <x v="2"/>
      <x v="47"/>
    </i>
    <i r="1">
      <x v="8"/>
      <x v="98"/>
      <x/>
      <x v="1"/>
      <x v="49"/>
    </i>
    <i r="2">
      <x v="99"/>
      <x/>
      <x v="1"/>
      <x v="49"/>
    </i>
    <i r="2">
      <x v="100"/>
      <x/>
      <x v="1"/>
      <x v="49"/>
    </i>
    <i r="2">
      <x v="101"/>
      <x/>
      <x v="1"/>
      <x v="49"/>
    </i>
    <i r="2">
      <x v="102"/>
      <x/>
      <x v="1"/>
      <x v="49"/>
    </i>
    <i r="2">
      <x v="103"/>
      <x/>
      <x v="1"/>
      <x v="49"/>
    </i>
    <i r="2">
      <x v="104"/>
      <x/>
      <x v="1"/>
      <x v="49"/>
    </i>
    <i r="2">
      <x v="105"/>
      <x/>
      <x v="1"/>
      <x v="49"/>
    </i>
    <i r="2">
      <x v="106"/>
      <x/>
      <x v="2"/>
      <x v="50"/>
    </i>
    <i r="2">
      <x v="107"/>
      <x/>
      <x v="1"/>
      <x v="51"/>
    </i>
    <i r="2">
      <x v="108"/>
      <x/>
      <x v="1"/>
      <x v="52"/>
    </i>
    <i r="2">
      <x v="109"/>
      <x/>
      <x v="1"/>
      <x v="53"/>
    </i>
    <i r="2">
      <x v="110"/>
      <x v="1"/>
      <x/>
      <x v="54"/>
    </i>
    <i r="2">
      <x v="111"/>
      <x/>
      <x v="1"/>
      <x v="49"/>
    </i>
    <i r="2">
      <x v="112"/>
      <x/>
      <x v="1"/>
      <x v="49"/>
    </i>
    <i r="2">
      <x v="113"/>
      <x/>
      <x v="1"/>
      <x v="49"/>
    </i>
    <i r="2">
      <x v="114"/>
      <x v="1"/>
      <x v="1"/>
      <x v="55"/>
    </i>
    <i r="2">
      <x v="115"/>
      <x v="1"/>
      <x v="1"/>
      <x v="55"/>
    </i>
    <i r="2">
      <x v="116"/>
      <x v="1"/>
      <x v="1"/>
      <x v="55"/>
    </i>
    <i r="2">
      <x v="117"/>
      <x/>
      <x v="1"/>
      <x v="49"/>
    </i>
    <i r="2">
      <x v="118"/>
      <x/>
      <x v="1"/>
      <x v="49"/>
    </i>
    <i r="2">
      <x v="119"/>
      <x v="1"/>
      <x/>
      <x v="54"/>
    </i>
    <i r="2">
      <x v="120"/>
      <x/>
      <x/>
      <x v="56"/>
    </i>
    <i r="2">
      <x v="121"/>
      <x v="1"/>
      <x v="1"/>
      <x v="55"/>
    </i>
    <i r="2">
      <x v="122"/>
      <x v="1"/>
      <x v="1"/>
      <x v="55"/>
    </i>
    <i r="2">
      <x v="123"/>
      <x/>
      <x v="2"/>
      <x v="57"/>
    </i>
    <i r="2">
      <x v="124"/>
      <x/>
      <x/>
      <x v="54"/>
    </i>
    <i r="2">
      <x v="125"/>
      <x/>
      <x/>
      <x v="54"/>
    </i>
    <i r="2">
      <x v="126"/>
      <x v="1"/>
      <x/>
      <x v="54"/>
    </i>
    <i r="2">
      <x v="127"/>
      <x v="1"/>
      <x/>
      <x v="54"/>
    </i>
    <i r="2">
      <x v="128"/>
      <x v="1"/>
      <x/>
      <x v="54"/>
    </i>
    <i r="2">
      <x v="129"/>
      <x v="1"/>
      <x/>
      <x v="54"/>
    </i>
    <i r="2">
      <x v="130"/>
      <x v="1"/>
      <x v="2"/>
      <x v="58"/>
    </i>
    <i r="2">
      <x v="131"/>
      <x/>
      <x v="1"/>
      <x v="49"/>
    </i>
    <i r="2">
      <x v="132"/>
      <x v="1"/>
      <x v="2"/>
      <x v="58"/>
    </i>
    <i r="2">
      <x v="133"/>
      <x v="1"/>
      <x v="1"/>
      <x v="55"/>
    </i>
    <i r="2">
      <x v="134"/>
      <x v="1"/>
      <x v="1"/>
      <x v="55"/>
    </i>
    <i r="2">
      <x v="135"/>
      <x/>
      <x v="1"/>
      <x v="59"/>
    </i>
    <i r="2">
      <x v="136"/>
      <x/>
      <x/>
      <x v="59"/>
    </i>
    <i r="2">
      <x v="137"/>
      <x/>
      <x/>
      <x v="60"/>
    </i>
    <i r="2">
      <x v="138"/>
      <x/>
      <x v="1"/>
      <x v="49"/>
    </i>
    <i r="2">
      <x v="139"/>
      <x/>
      <x v="1"/>
      <x v="56"/>
    </i>
    <i r="2">
      <x v="140"/>
      <x/>
      <x v="1"/>
      <x v="56"/>
    </i>
    <i r="2">
      <x v="141"/>
      <x/>
      <x v="1"/>
      <x v="61"/>
    </i>
    <i r="2">
      <x v="142"/>
      <x/>
      <x/>
      <x v="62"/>
    </i>
    <i r="2">
      <x v="143"/>
      <x/>
      <x/>
      <x v="63"/>
    </i>
    <i r="2">
      <x v="144"/>
      <x/>
      <x/>
      <x v="63"/>
    </i>
    <i r="1">
      <x v="9"/>
      <x v="145"/>
      <x v="1"/>
      <x/>
      <x v="64"/>
    </i>
    <i r="2">
      <x v="146"/>
      <x/>
      <x/>
      <x v="65"/>
    </i>
    <i r="2">
      <x v="147"/>
      <x/>
      <x/>
      <x v="66"/>
    </i>
    <i r="1">
      <x v="10"/>
      <x v="148"/>
      <x v="1"/>
      <x/>
      <x v="67"/>
    </i>
    <i r="2">
      <x v="149"/>
      <x/>
      <x v="1"/>
      <x v="68"/>
    </i>
    <i r="2">
      <x v="150"/>
      <x v="1"/>
      <x/>
      <x v="69"/>
    </i>
    <i r="2">
      <x v="151"/>
      <x v="1"/>
      <x/>
      <x v="67"/>
    </i>
    <i r="2">
      <x v="152"/>
      <x/>
      <x/>
      <x v="70"/>
    </i>
    <i r="1">
      <x v="11"/>
      <x v="153"/>
      <x/>
      <x v="1"/>
      <x v="71"/>
    </i>
    <i r="2">
      <x v="154"/>
      <x v="1"/>
      <x/>
      <x v="72"/>
    </i>
    <i r="2">
      <x v="155"/>
      <x/>
      <x/>
      <x v="73"/>
    </i>
    <i r="2">
      <x v="156"/>
      <x v="1"/>
      <x/>
      <x v="72"/>
    </i>
    <i r="2">
      <x v="157"/>
      <x v="1"/>
      <x/>
      <x v="74"/>
    </i>
    <i r="2">
      <x v="158"/>
      <x/>
      <x v="1"/>
      <x v="75"/>
    </i>
    <i r="2">
      <x v="159"/>
      <x/>
      <x/>
      <x v="76"/>
    </i>
    <i r="2">
      <x v="160"/>
      <x/>
      <x/>
      <x v="73"/>
    </i>
    <i r="2">
      <x v="161"/>
      <x/>
      <x/>
      <x v="73"/>
    </i>
    <i r="2">
      <x v="162"/>
      <x v="1"/>
      <x/>
      <x v="77"/>
    </i>
    <i r="2">
      <x v="163"/>
      <x v="1"/>
      <x/>
      <x v="74"/>
    </i>
    <i r="2">
      <x v="164"/>
      <x v="1"/>
      <x/>
      <x v="77"/>
    </i>
    <i r="2">
      <x v="165"/>
      <x v="1"/>
      <x/>
      <x v="74"/>
    </i>
    <i r="2">
      <x v="166"/>
      <x v="1"/>
      <x/>
      <x v="77"/>
    </i>
    <i r="2">
      <x v="167"/>
      <x/>
      <x/>
      <x v="73"/>
    </i>
    <i r="2">
      <x v="168"/>
      <x v="1"/>
      <x/>
      <x v="77"/>
    </i>
    <i r="2">
      <x v="169"/>
      <x v="1"/>
      <x/>
      <x v="77"/>
    </i>
    <i r="2">
      <x v="170"/>
      <x v="1"/>
      <x/>
      <x v="77"/>
    </i>
    <i r="2">
      <x v="171"/>
      <x/>
      <x/>
      <x v="76"/>
    </i>
    <i r="2">
      <x v="172"/>
      <x v="1"/>
      <x/>
      <x v="77"/>
    </i>
    <i r="2">
      <x v="173"/>
      <x v="1"/>
      <x/>
      <x v="77"/>
    </i>
    <i r="2">
      <x v="174"/>
      <x v="1"/>
      <x/>
      <x v="77"/>
    </i>
    <i r="2">
      <x v="175"/>
      <x v="1"/>
      <x/>
      <x v="77"/>
    </i>
    <i r="2">
      <x v="176"/>
      <x v="1"/>
      <x/>
      <x v="77"/>
    </i>
    <i r="2">
      <x v="177"/>
      <x v="1"/>
      <x/>
      <x v="77"/>
    </i>
    <i r="2">
      <x v="178"/>
      <x/>
      <x v="1"/>
      <x v="78"/>
    </i>
    <i r="2">
      <x v="179"/>
      <x/>
      <x v="1"/>
      <x v="78"/>
    </i>
    <i r="2">
      <x v="180"/>
      <x v="1"/>
      <x/>
      <x v="77"/>
    </i>
    <i r="2">
      <x v="181"/>
      <x v="1"/>
      <x/>
      <x v="77"/>
    </i>
    <i r="2">
      <x v="182"/>
      <x v="1"/>
      <x/>
      <x v="77"/>
    </i>
    <i r="2">
      <x v="183"/>
      <x v="1"/>
      <x/>
      <x v="77"/>
    </i>
    <i r="2">
      <x v="184"/>
      <x v="1"/>
      <x/>
      <x v="77"/>
    </i>
    <i r="2">
      <x v="185"/>
      <x v="1"/>
      <x/>
      <x v="77"/>
    </i>
    <i r="2">
      <x v="186"/>
      <x v="1"/>
      <x/>
      <x v="77"/>
    </i>
    <i r="2">
      <x v="187"/>
      <x v="1"/>
      <x/>
      <x v="79"/>
    </i>
    <i r="2">
      <x v="188"/>
      <x v="1"/>
      <x/>
      <x v="72"/>
    </i>
    <i r="2">
      <x v="189"/>
      <x v="1"/>
      <x/>
      <x v="72"/>
    </i>
    <i r="2">
      <x v="190"/>
      <x v="1"/>
      <x/>
      <x v="77"/>
    </i>
    <i r="2">
      <x v="191"/>
      <x v="1"/>
      <x/>
      <x v="77"/>
    </i>
    <i r="2">
      <x v="192"/>
      <x/>
      <x v="1"/>
      <x v="78"/>
    </i>
    <i r="2">
      <x v="193"/>
      <x v="1"/>
      <x/>
      <x v="77"/>
    </i>
    <i r="2">
      <x v="194"/>
      <x v="1"/>
      <x/>
      <x v="77"/>
    </i>
    <i r="1">
      <x v="12"/>
      <x v="195"/>
      <x/>
      <x v="1"/>
      <x v="80"/>
    </i>
    <i r="2">
      <x v="196"/>
      <x/>
      <x v="1"/>
      <x v="81"/>
    </i>
    <i r="2">
      <x v="197"/>
      <x/>
      <x/>
      <x v="82"/>
    </i>
    <i r="2">
      <x v="198"/>
      <x/>
      <x v="1"/>
      <x v="81"/>
    </i>
    <i r="2">
      <x v="199"/>
      <x/>
      <x v="1"/>
      <x v="83"/>
    </i>
    <i r="2">
      <x v="200"/>
      <x/>
      <x v="1"/>
      <x v="84"/>
    </i>
    <i r="2">
      <x v="201"/>
      <x/>
      <x v="1"/>
      <x v="85"/>
    </i>
    <i r="2">
      <x v="202"/>
      <x/>
      <x v="1"/>
      <x v="85"/>
    </i>
    <i r="2">
      <x v="203"/>
      <x/>
      <x v="1"/>
      <x v="81"/>
    </i>
    <i r="2">
      <x v="204"/>
      <x/>
      <x v="1"/>
      <x v="80"/>
    </i>
    <i r="2">
      <x v="205"/>
      <x v="1"/>
      <x v="1"/>
      <x v="86"/>
    </i>
    <i r="2">
      <x v="206"/>
      <x/>
      <x v="1"/>
      <x v="84"/>
    </i>
    <i r="2">
      <x v="207"/>
      <x/>
      <x v="1"/>
      <x v="80"/>
    </i>
    <i r="2">
      <x v="208"/>
      <x/>
      <x v="1"/>
      <x v="82"/>
    </i>
    <i r="2">
      <x v="209"/>
      <x/>
      <x v="1"/>
      <x v="81"/>
    </i>
    <i r="2">
      <x v="210"/>
      <x/>
      <x/>
      <x v="87"/>
    </i>
    <i r="2">
      <x v="211"/>
      <x/>
      <x v="1"/>
      <x v="88"/>
    </i>
    <i r="1">
      <x v="13"/>
      <x v="212"/>
      <x v="1"/>
      <x/>
      <x v="89"/>
    </i>
    <i r="2">
      <x v="213"/>
      <x v="1"/>
      <x/>
      <x v="89"/>
    </i>
    <i r="2">
      <x v="214"/>
      <x v="1"/>
      <x/>
      <x v="89"/>
    </i>
    <i r="2">
      <x v="215"/>
      <x v="1"/>
      <x/>
      <x v="89"/>
    </i>
    <i r="2">
      <x v="216"/>
      <x v="1"/>
      <x/>
      <x v="89"/>
    </i>
    <i r="2">
      <x v="217"/>
      <x v="1"/>
      <x/>
      <x v="89"/>
    </i>
    <i r="2">
      <x v="218"/>
      <x v="1"/>
      <x/>
      <x v="89"/>
    </i>
    <i r="2">
      <x v="219"/>
      <x/>
      <x v="3"/>
      <x v="90"/>
    </i>
    <i r="1">
      <x v="14"/>
      <x v="220"/>
      <x/>
      <x v="1"/>
      <x v="91"/>
    </i>
    <i r="2">
      <x v="221"/>
      <x v="1"/>
      <x/>
      <x v="92"/>
    </i>
    <i r="2">
      <x v="222"/>
      <x v="1"/>
      <x/>
      <x v="93"/>
    </i>
    <i r="2">
      <x v="223"/>
      <x/>
      <x v="1"/>
      <x v="94"/>
    </i>
    <i r="2">
      <x v="224"/>
      <x v="1"/>
      <x/>
      <x v="95"/>
    </i>
    <i r="2">
      <x v="225"/>
      <x v="1"/>
      <x/>
      <x v="93"/>
    </i>
    <i r="2">
      <x v="226"/>
      <x/>
      <x v="3"/>
      <x v="96"/>
    </i>
    <i r="2">
      <x v="227"/>
      <x/>
      <x v="3"/>
      <x v="97"/>
    </i>
    <i r="2">
      <x v="228"/>
      <x/>
      <x v="1"/>
      <x v="98"/>
    </i>
    <i r="2">
      <x v="229"/>
      <x/>
      <x v="1"/>
      <x v="99"/>
    </i>
    <i r="2">
      <x v="230"/>
      <x v="1"/>
      <x v="2"/>
      <x v="100"/>
    </i>
    <i r="2">
      <x v="231"/>
      <x v="1"/>
      <x v="2"/>
      <x v="100"/>
    </i>
    <i r="2">
      <x v="232"/>
      <x v="1"/>
      <x v="1"/>
      <x v="100"/>
    </i>
    <i r="2">
      <x v="233"/>
      <x v="1"/>
      <x/>
      <x v="101"/>
    </i>
    <i r="2">
      <x v="234"/>
      <x/>
      <x v="1"/>
      <x v="102"/>
    </i>
    <i r="1">
      <x v="15"/>
      <x v="235"/>
      <x v="1"/>
      <x v="2"/>
      <x v="103"/>
    </i>
    <i r="2">
      <x v="236"/>
      <x/>
      <x v="1"/>
      <x v="104"/>
    </i>
    <i r="2">
      <x v="237"/>
      <x/>
      <x/>
      <x v="105"/>
    </i>
    <i r="2">
      <x v="238"/>
      <x v="1"/>
      <x v="2"/>
      <x v="106"/>
    </i>
    <i r="2">
      <x v="239"/>
      <x v="1"/>
      <x v="2"/>
      <x v="106"/>
    </i>
    <i r="2">
      <x v="240"/>
      <x v="1"/>
      <x v="2"/>
      <x v="103"/>
    </i>
    <i r="2">
      <x v="241"/>
      <x v="1"/>
      <x v="2"/>
      <x v="103"/>
    </i>
    <i r="1">
      <x v="16"/>
      <x v="242"/>
      <x v="1"/>
      <x/>
      <x v="107"/>
    </i>
    <i r="2">
      <x v="243"/>
      <x/>
      <x v="1"/>
      <x v="108"/>
    </i>
    <i r="2">
      <x v="244"/>
      <x/>
      <x v="1"/>
      <x v="109"/>
    </i>
    <i r="2">
      <x v="245"/>
      <x/>
      <x v="1"/>
      <x v="109"/>
    </i>
    <i r="2">
      <x v="246"/>
      <x/>
      <x v="1"/>
      <x v="110"/>
    </i>
    <i r="2">
      <x v="247"/>
      <x/>
      <x v="1"/>
      <x v="111"/>
    </i>
    <i r="2">
      <x v="248"/>
      <x/>
      <x/>
      <x v="112"/>
    </i>
    <i r="2">
      <x v="249"/>
      <x/>
      <x/>
      <x v="113"/>
    </i>
    <i r="2">
      <x v="250"/>
      <x/>
      <x v="1"/>
      <x v="108"/>
    </i>
    <i r="2">
      <x v="251"/>
      <x v="1"/>
      <x/>
      <x v="107"/>
    </i>
    <i r="2">
      <x v="252"/>
      <x v="1"/>
      <x/>
      <x v="107"/>
    </i>
    <i r="2">
      <x v="253"/>
      <x/>
      <x v="1"/>
      <x v="114"/>
    </i>
    <i r="1">
      <x v="17"/>
      <x v="254"/>
      <x/>
      <x v="1"/>
      <x v="115"/>
    </i>
    <i r="2">
      <x v="255"/>
      <x v="1"/>
      <x v="2"/>
      <x v="116"/>
    </i>
    <i r="2">
      <x v="256"/>
      <x/>
      <x/>
      <x v="117"/>
    </i>
    <i r="2">
      <x v="257"/>
      <x/>
      <x v="2"/>
      <x v="116"/>
    </i>
    <i r="2">
      <x v="258"/>
      <x v="1"/>
      <x/>
      <x v="118"/>
    </i>
    <i r="2">
      <x v="259"/>
      <x/>
      <x/>
      <x v="117"/>
    </i>
    <i r="2">
      <x v="260"/>
      <x v="1"/>
      <x v="1"/>
      <x v="119"/>
    </i>
    <i r="2">
      <x v="261"/>
      <x/>
      <x v="1"/>
      <x v="120"/>
    </i>
    <i r="2">
      <x v="262"/>
      <x/>
      <x v="1"/>
      <x v="121"/>
    </i>
    <i r="2">
      <x v="263"/>
      <x/>
      <x/>
      <x v="122"/>
    </i>
    <i r="2">
      <x v="264"/>
      <x/>
      <x v="2"/>
      <x v="116"/>
    </i>
    <i r="2">
      <x v="265"/>
      <x/>
      <x v="1"/>
      <x v="123"/>
    </i>
    <i r="2">
      <x v="266"/>
      <x/>
      <x v="1"/>
      <x v="123"/>
    </i>
    <i r="1">
      <x v="18"/>
      <x v="267"/>
      <x/>
      <x/>
      <x v="124"/>
    </i>
    <i r="2">
      <x v="268"/>
      <x v="1"/>
      <x v="2"/>
      <x v="125"/>
    </i>
    <i r="2">
      <x v="269"/>
      <x/>
      <x/>
      <x v="126"/>
    </i>
    <i r="2">
      <x v="270"/>
      <x v="1"/>
      <x/>
      <x v="127"/>
    </i>
    <i r="2">
      <x v="271"/>
      <x/>
      <x v="2"/>
      <x v="128"/>
    </i>
    <i r="2">
      <x v="272"/>
      <x v="1"/>
      <x/>
      <x v="129"/>
    </i>
    <i r="2">
      <x v="273"/>
      <x/>
      <x v="2"/>
      <x v="128"/>
    </i>
    <i r="2">
      <x v="274"/>
      <x/>
      <x v="2"/>
      <x v="128"/>
    </i>
    <i r="2">
      <x v="275"/>
      <x v="1"/>
      <x/>
      <x v="130"/>
    </i>
    <i r="2">
      <x v="276"/>
      <x v="1"/>
      <x/>
      <x v="131"/>
    </i>
    <i r="1">
      <x v="19"/>
      <x v="277"/>
      <x/>
      <x v="1"/>
      <x v="132"/>
    </i>
    <i r="2">
      <x v="278"/>
      <x/>
      <x v="1"/>
      <x v="133"/>
    </i>
    <i r="2">
      <x v="279"/>
      <x/>
      <x v="1"/>
      <x v="133"/>
    </i>
    <i r="2">
      <x v="280"/>
      <x/>
      <x v="3"/>
      <x v="134"/>
    </i>
    <i r="2">
      <x v="281"/>
      <x v="1"/>
      <x v="2"/>
      <x v="135"/>
    </i>
    <i r="2">
      <x v="282"/>
      <x v="1"/>
      <x v="1"/>
      <x v="136"/>
    </i>
    <i r="2">
      <x v="283"/>
      <x/>
      <x/>
      <x v="137"/>
    </i>
    <i r="2">
      <x v="284"/>
      <x v="1"/>
      <x/>
      <x v="138"/>
    </i>
    <i r="2">
      <x v="285"/>
      <x v="1"/>
      <x v="2"/>
      <x v="139"/>
    </i>
    <i r="2">
      <x v="286"/>
      <x v="1"/>
      <x v="1"/>
      <x v="140"/>
    </i>
    <i r="2">
      <x v="287"/>
      <x/>
      <x v="2"/>
      <x v="135"/>
    </i>
    <i r="1">
      <x v="20"/>
      <x v="288"/>
      <x/>
      <x v="1"/>
      <x v="141"/>
    </i>
    <i r="2">
      <x v="289"/>
      <x v="1"/>
      <x v="2"/>
      <x v="142"/>
    </i>
    <i r="2">
      <x v="290"/>
      <x v="1"/>
      <x/>
      <x v="143"/>
    </i>
    <i r="2">
      <x v="291"/>
      <x v="1"/>
      <x/>
      <x v="144"/>
    </i>
    <i r="2">
      <x v="292"/>
      <x/>
      <x v="2"/>
      <x v="142"/>
    </i>
    <i r="2">
      <x v="293"/>
      <x/>
      <x v="2"/>
      <x v="142"/>
    </i>
    <i r="2">
      <x v="294"/>
      <x v="1"/>
      <x v="2"/>
      <x v="142"/>
    </i>
    <i r="2">
      <x v="295"/>
      <x v="1"/>
      <x v="2"/>
      <x v="142"/>
    </i>
    <i r="2">
      <x v="296"/>
      <x v="1"/>
      <x v="2"/>
      <x v="142"/>
    </i>
    <i r="2">
      <x v="297"/>
      <x v="1"/>
      <x v="2"/>
      <x v="145"/>
    </i>
    <i r="2">
      <x v="298"/>
      <x v="1"/>
      <x v="2"/>
      <x v="142"/>
    </i>
    <i r="2">
      <x v="299"/>
      <x v="1"/>
      <x/>
      <x v="146"/>
    </i>
    <i r="2">
      <x v="300"/>
      <x v="1"/>
      <x v="2"/>
      <x v="142"/>
    </i>
    <i r="2">
      <x v="301"/>
      <x/>
      <x v="1"/>
      <x v="147"/>
    </i>
    <i r="2">
      <x v="302"/>
      <x v="1"/>
      <x v="2"/>
      <x v="145"/>
    </i>
    <i>
      <x v="1"/>
      <x v="1"/>
      <x v="303"/>
      <x/>
      <x v="2"/>
      <x v="5"/>
    </i>
    <i r="2">
      <x v="304"/>
      <x v="1"/>
      <x/>
      <x v="8"/>
    </i>
    <i r="2">
      <x v="305"/>
      <x/>
      <x v="1"/>
      <x v="148"/>
    </i>
    <i r="2">
      <x v="306"/>
      <x/>
      <x v="2"/>
      <x v="6"/>
    </i>
    <i r="1">
      <x v="2"/>
      <x v="307"/>
      <x/>
      <x v="1"/>
      <x v="14"/>
    </i>
    <i r="2">
      <x v="308"/>
      <x/>
      <x v="1"/>
      <x v="14"/>
    </i>
    <i r="2">
      <x v="309"/>
      <x/>
      <x v="1"/>
      <x v="9"/>
    </i>
    <i r="2">
      <x v="310"/>
      <x/>
      <x/>
      <x v="10"/>
    </i>
    <i r="2">
      <x v="311"/>
      <x v="1"/>
      <x/>
      <x v="11"/>
    </i>
    <i r="2">
      <x v="312"/>
      <x/>
      <x v="1"/>
      <x v="9"/>
    </i>
    <i r="2">
      <x v="313"/>
      <x/>
      <x v="1"/>
      <x v="149"/>
    </i>
    <i r="2">
      <x v="314"/>
      <x/>
      <x v="1"/>
      <x v="9"/>
    </i>
    <i r="2">
      <x v="315"/>
      <x/>
      <x v="1"/>
      <x v="9"/>
    </i>
    <i r="2">
      <x v="316"/>
      <x/>
      <x v="1"/>
      <x v="9"/>
    </i>
    <i r="2">
      <x v="317"/>
      <x/>
      <x v="1"/>
      <x v="150"/>
    </i>
    <i r="2">
      <x v="318"/>
      <x/>
      <x/>
      <x v="10"/>
    </i>
    <i r="2">
      <x v="319"/>
      <x v="1"/>
      <x/>
      <x v="12"/>
    </i>
    <i r="2">
      <x v="320"/>
      <x/>
      <x/>
      <x v="10"/>
    </i>
    <i r="2">
      <x v="321"/>
      <x v="1"/>
      <x/>
      <x v="151"/>
    </i>
    <i r="2">
      <x v="322"/>
      <x/>
      <x v="1"/>
      <x v="14"/>
    </i>
    <i r="1">
      <x v="3"/>
      <x v="323"/>
      <x/>
      <x v="2"/>
      <x v="15"/>
    </i>
    <i r="2">
      <x v="324"/>
      <x/>
      <x/>
      <x v="152"/>
    </i>
    <i r="2">
      <x v="325"/>
      <x/>
      <x/>
      <x v="153"/>
    </i>
    <i r="2">
      <x v="326"/>
      <x/>
      <x/>
      <x v="154"/>
    </i>
    <i r="2">
      <x v="327"/>
      <x/>
      <x/>
      <x v="153"/>
    </i>
    <i r="2">
      <x v="328"/>
      <x v="1"/>
      <x/>
      <x v="155"/>
    </i>
    <i r="2">
      <x v="329"/>
      <x/>
      <x v="1"/>
      <x v="21"/>
    </i>
    <i r="2">
      <x v="330"/>
      <x/>
      <x/>
      <x v="156"/>
    </i>
    <i r="2">
      <x v="331"/>
      <x v="1"/>
      <x v="2"/>
      <x v="155"/>
    </i>
    <i r="2">
      <x v="332"/>
      <x/>
      <x/>
      <x v="157"/>
    </i>
    <i r="1">
      <x v="4"/>
      <x v="333"/>
      <x/>
      <x v="2"/>
      <x v="28"/>
    </i>
    <i r="2">
      <x v="334"/>
      <x v="1"/>
      <x v="2"/>
      <x v="28"/>
    </i>
    <i r="2">
      <x v="335"/>
      <x/>
      <x v="2"/>
      <x v="28"/>
    </i>
    <i r="2">
      <x v="336"/>
      <x v="1"/>
      <x v="2"/>
      <x v="28"/>
    </i>
    <i r="2">
      <x v="337"/>
      <x v="1"/>
      <x v="2"/>
      <x v="30"/>
    </i>
    <i r="2">
      <x v="338"/>
      <x v="1"/>
      <x v="2"/>
      <x v="30"/>
    </i>
    <i r="2">
      <x v="339"/>
      <x v="1"/>
      <x v="2"/>
      <x v="30"/>
    </i>
    <i r="1">
      <x v="21"/>
      <x v="340"/>
      <x v="1"/>
      <x/>
      <x v="158"/>
    </i>
    <i r="2">
      <x v="341"/>
      <x/>
      <x v="1"/>
      <x v="159"/>
    </i>
    <i r="1">
      <x v="5"/>
      <x v="342"/>
      <x/>
      <x v="1"/>
      <x v="160"/>
    </i>
    <i r="2">
      <x v="343"/>
      <x/>
      <x v="1"/>
      <x v="160"/>
    </i>
    <i r="2">
      <x v="344"/>
      <x/>
      <x v="1"/>
      <x v="35"/>
    </i>
    <i r="2">
      <x v="345"/>
      <x v="1"/>
      <x/>
      <x v="31"/>
    </i>
    <i r="2">
      <x v="346"/>
      <x/>
      <x v="1"/>
      <x v="35"/>
    </i>
    <i r="2">
      <x v="347"/>
      <x/>
      <x v="1"/>
      <x v="35"/>
    </i>
    <i r="2">
      <x v="348"/>
      <x/>
      <x v="1"/>
      <x v="33"/>
    </i>
    <i r="2">
      <x v="349"/>
      <x/>
      <x v="1"/>
      <x v="36"/>
    </i>
    <i r="2">
      <x v="350"/>
      <x/>
      <x/>
      <x v="161"/>
    </i>
    <i r="2">
      <x v="351"/>
      <x/>
      <x v="1"/>
      <x v="35"/>
    </i>
    <i r="2">
      <x v="352"/>
      <x/>
      <x v="1"/>
      <x v="33"/>
    </i>
    <i r="2">
      <x v="353"/>
      <x/>
      <x v="1"/>
      <x v="32"/>
    </i>
    <i r="2">
      <x v="354"/>
      <x/>
      <x/>
      <x v="31"/>
    </i>
    <i r="2">
      <x v="355"/>
      <x v="1"/>
      <x/>
      <x v="40"/>
    </i>
    <i r="2">
      <x v="356"/>
      <x/>
      <x v="2"/>
      <x v="162"/>
    </i>
    <i r="2">
      <x v="357"/>
      <x/>
      <x v="1"/>
      <x v="35"/>
    </i>
    <i r="2">
      <x v="358"/>
      <x/>
      <x v="2"/>
      <x v="38"/>
    </i>
    <i r="2">
      <x v="359"/>
      <x/>
      <x v="2"/>
      <x v="162"/>
    </i>
    <i r="2">
      <x v="360"/>
      <x/>
      <x v="2"/>
      <x v="38"/>
    </i>
    <i r="2">
      <x v="361"/>
      <x/>
      <x v="2"/>
      <x v="38"/>
    </i>
    <i r="2">
      <x v="362"/>
      <x v="1"/>
      <x/>
      <x v="40"/>
    </i>
    <i r="2">
      <x v="363"/>
      <x v="1"/>
      <x/>
      <x v="40"/>
    </i>
    <i r="2">
      <x v="364"/>
      <x/>
      <x v="1"/>
      <x v="36"/>
    </i>
    <i r="2">
      <x v="365"/>
      <x v="1"/>
      <x/>
      <x v="39"/>
    </i>
    <i r="2">
      <x v="366"/>
      <x/>
      <x/>
      <x v="163"/>
    </i>
    <i r="2">
      <x v="367"/>
      <x/>
      <x/>
      <x v="163"/>
    </i>
    <i r="2">
      <x v="368"/>
      <x/>
      <x v="1"/>
      <x v="32"/>
    </i>
    <i r="2">
      <x v="369"/>
      <x v="1"/>
      <x v="2"/>
      <x v="39"/>
    </i>
    <i r="2">
      <x v="370"/>
      <x/>
      <x v="2"/>
      <x v="38"/>
    </i>
    <i r="2">
      <x v="371"/>
      <x v="1"/>
      <x v="2"/>
      <x v="39"/>
    </i>
    <i r="2">
      <x v="372"/>
      <x v="1"/>
      <x/>
      <x v="40"/>
    </i>
    <i r="2">
      <x v="373"/>
      <x v="1"/>
      <x v="1"/>
      <x v="164"/>
    </i>
    <i r="2">
      <x v="374"/>
      <x/>
      <x v="1"/>
      <x v="161"/>
    </i>
    <i r="2">
      <x v="375"/>
      <x/>
      <x v="1"/>
      <x v="31"/>
    </i>
    <i r="2">
      <x v="376"/>
      <x/>
      <x v="1"/>
      <x v="31"/>
    </i>
    <i r="2">
      <x v="377"/>
      <x/>
      <x v="1"/>
      <x v="31"/>
    </i>
    <i r="2">
      <x v="378"/>
      <x/>
      <x v="1"/>
      <x v="31"/>
    </i>
    <i r="2">
      <x v="379"/>
      <x/>
      <x v="1"/>
      <x v="31"/>
    </i>
    <i r="1">
      <x v="6"/>
      <x v="380"/>
      <x v="1"/>
      <x/>
      <x v="42"/>
    </i>
    <i r="2">
      <x v="381"/>
      <x v="1"/>
      <x/>
      <x v="42"/>
    </i>
    <i r="2">
      <x v="382"/>
      <x v="1"/>
      <x/>
      <x v="165"/>
    </i>
    <i r="2">
      <x v="383"/>
      <x v="1"/>
      <x v="1"/>
      <x v="166"/>
    </i>
    <i r="2">
      <x v="384"/>
      <x v="1"/>
      <x/>
      <x v="167"/>
    </i>
    <i r="2">
      <x v="385"/>
      <x/>
      <x v="1"/>
      <x v="168"/>
    </i>
    <i r="2">
      <x v="386"/>
      <x v="1"/>
      <x/>
      <x v="42"/>
    </i>
    <i r="2">
      <x v="387"/>
      <x/>
      <x/>
      <x v="169"/>
    </i>
    <i r="2">
      <x v="388"/>
      <x/>
      <x/>
      <x v="169"/>
    </i>
    <i r="2">
      <x v="389"/>
      <x/>
      <x v="1"/>
      <x v="170"/>
    </i>
    <i r="1">
      <x v="7"/>
      <x v="390"/>
      <x v="1"/>
      <x v="2"/>
      <x v="47"/>
    </i>
    <i r="2">
      <x v="391"/>
      <x/>
      <x v="2"/>
      <x v="46"/>
    </i>
    <i r="2">
      <x v="392"/>
      <x/>
      <x v="2"/>
      <x v="171"/>
    </i>
    <i r="2">
      <x v="393"/>
      <x/>
      <x v="2"/>
      <x v="171"/>
    </i>
    <i r="2">
      <x v="394"/>
      <x/>
      <x v="2"/>
      <x v="171"/>
    </i>
    <i r="2">
      <x v="395"/>
      <x/>
      <x v="2"/>
      <x v="171"/>
    </i>
    <i r="2">
      <x v="396"/>
      <x/>
      <x v="2"/>
      <x v="172"/>
    </i>
    <i r="1">
      <x v="8"/>
      <x v="397"/>
      <x/>
      <x/>
      <x v="62"/>
    </i>
    <i r="2">
      <x v="398"/>
      <x/>
      <x v="1"/>
      <x v="52"/>
    </i>
    <i r="2">
      <x v="399"/>
      <x v="1"/>
      <x v="1"/>
      <x v="55"/>
    </i>
    <i r="2">
      <x v="400"/>
      <x v="1"/>
      <x v="1"/>
      <x v="55"/>
    </i>
    <i r="2">
      <x v="401"/>
      <x v="1"/>
      <x/>
      <x v="54"/>
    </i>
    <i r="2">
      <x v="402"/>
      <x/>
      <x/>
      <x v="62"/>
    </i>
    <i r="2">
      <x v="403"/>
      <x/>
      <x/>
      <x v="62"/>
    </i>
    <i r="2">
      <x v="404"/>
      <x v="1"/>
      <x/>
      <x v="54"/>
    </i>
    <i r="2">
      <x v="405"/>
      <x/>
      <x/>
      <x v="173"/>
    </i>
    <i r="2">
      <x v="406"/>
      <x/>
      <x v="2"/>
      <x v="57"/>
    </i>
    <i r="2">
      <x v="407"/>
      <x v="1"/>
      <x/>
      <x v="54"/>
    </i>
    <i r="2">
      <x v="408"/>
      <x v="1"/>
      <x/>
      <x v="54"/>
    </i>
    <i r="2">
      <x v="409"/>
      <x/>
      <x v="3"/>
      <x v="174"/>
    </i>
    <i r="2">
      <x v="410"/>
      <x/>
      <x v="3"/>
      <x v="174"/>
    </i>
    <i r="2">
      <x v="411"/>
      <x/>
      <x/>
      <x v="62"/>
    </i>
    <i r="2">
      <x v="412"/>
      <x/>
      <x/>
      <x v="62"/>
    </i>
    <i r="2">
      <x v="413"/>
      <x v="1"/>
      <x/>
      <x v="54"/>
    </i>
    <i r="2">
      <x v="414"/>
      <x/>
      <x v="2"/>
      <x v="175"/>
    </i>
    <i r="2">
      <x v="415"/>
      <x/>
      <x v="1"/>
      <x v="176"/>
    </i>
    <i r="1">
      <x v="9"/>
      <x v="416"/>
      <x/>
      <x v="1"/>
      <x v="177"/>
    </i>
    <i r="2">
      <x v="417"/>
      <x/>
      <x/>
      <x v="178"/>
    </i>
    <i r="2">
      <x v="418"/>
      <x/>
      <x/>
      <x v="179"/>
    </i>
    <i r="2">
      <x v="419"/>
      <x/>
      <x/>
      <x v="179"/>
    </i>
    <i r="2">
      <x v="420"/>
      <x v="1"/>
      <x/>
      <x v="64"/>
    </i>
    <i r="1">
      <x v="10"/>
      <x v="421"/>
      <x/>
      <x v="1"/>
      <x v="68"/>
    </i>
    <i r="2">
      <x v="422"/>
      <x/>
      <x v="1"/>
      <x v="180"/>
    </i>
    <i r="2">
      <x v="423"/>
      <x v="1"/>
      <x/>
      <x v="67"/>
    </i>
    <i r="2">
      <x v="424"/>
      <x/>
      <x/>
      <x v="181"/>
    </i>
    <i r="2">
      <x v="425"/>
      <x/>
      <x v="1"/>
      <x v="182"/>
    </i>
    <i r="2">
      <x v="426"/>
      <x/>
      <x v="1"/>
      <x v="182"/>
    </i>
    <i r="2">
      <x v="427"/>
      <x/>
      <x/>
      <x v="70"/>
    </i>
    <i r="2">
      <x v="428"/>
      <x v="1"/>
      <x/>
      <x v="183"/>
    </i>
    <i r="2">
      <x v="429"/>
      <x/>
      <x/>
      <x v="180"/>
    </i>
    <i r="2">
      <x v="430"/>
      <x v="1"/>
      <x/>
      <x v="184"/>
    </i>
    <i r="1">
      <x v="11"/>
      <x v="431"/>
      <x v="1"/>
      <x/>
      <x v="77"/>
    </i>
    <i r="2">
      <x v="432"/>
      <x v="1"/>
      <x/>
      <x v="77"/>
    </i>
    <i r="2">
      <x v="433"/>
      <x/>
      <x v="1"/>
      <x v="78"/>
    </i>
    <i r="2">
      <x v="434"/>
      <x v="1"/>
      <x/>
      <x v="185"/>
    </i>
    <i r="2">
      <x v="435"/>
      <x/>
      <x/>
      <x v="76"/>
    </i>
    <i r="2">
      <x v="436"/>
      <x/>
      <x v="1"/>
      <x v="75"/>
    </i>
    <i r="2">
      <x v="437"/>
      <x v="1"/>
      <x/>
      <x v="186"/>
    </i>
    <i r="2">
      <x v="438"/>
      <x v="1"/>
      <x/>
      <x v="187"/>
    </i>
    <i r="2">
      <x v="439"/>
      <x/>
      <x/>
      <x v="72"/>
    </i>
    <i r="2">
      <x v="440"/>
      <x v="1"/>
      <x/>
      <x v="72"/>
    </i>
    <i r="2">
      <x v="441"/>
      <x/>
      <x/>
      <x v="72"/>
    </i>
    <i r="2">
      <x v="442"/>
      <x v="1"/>
      <x/>
      <x v="77"/>
    </i>
    <i r="2">
      <x v="443"/>
      <x/>
      <x/>
      <x v="72"/>
    </i>
    <i r="2">
      <x v="444"/>
      <x v="1"/>
      <x/>
      <x v="72"/>
    </i>
    <i r="2">
      <x v="445"/>
      <x v="1"/>
      <x/>
      <x v="72"/>
    </i>
    <i r="2">
      <x v="446"/>
      <x v="1"/>
      <x/>
      <x v="77"/>
    </i>
    <i r="2">
      <x v="447"/>
      <x/>
      <x/>
      <x v="73"/>
    </i>
    <i r="2">
      <x v="448"/>
      <x v="1"/>
      <x/>
      <x v="77"/>
    </i>
    <i r="2">
      <x v="449"/>
      <x v="1"/>
      <x/>
      <x v="74"/>
    </i>
    <i r="2">
      <x v="450"/>
      <x v="1"/>
      <x/>
      <x v="77"/>
    </i>
    <i r="2">
      <x v="451"/>
      <x/>
      <x v="1"/>
      <x v="78"/>
    </i>
    <i r="2">
      <x v="452"/>
      <x v="1"/>
      <x/>
      <x v="188"/>
    </i>
    <i r="1">
      <x v="12"/>
      <x v="453"/>
      <x v="1"/>
      <x/>
      <x v="189"/>
    </i>
    <i r="2">
      <x v="454"/>
      <x/>
      <x v="1"/>
      <x v="82"/>
    </i>
    <i r="2">
      <x v="455"/>
      <x/>
      <x v="1"/>
      <x v="190"/>
    </i>
    <i r="2">
      <x v="456"/>
      <x/>
      <x v="1"/>
      <x v="191"/>
    </i>
    <i r="2">
      <x v="457"/>
      <x/>
      <x/>
      <x v="190"/>
    </i>
    <i r="2">
      <x v="458"/>
      <x/>
      <x v="1"/>
      <x v="192"/>
    </i>
    <i r="2">
      <x v="459"/>
      <x v="1"/>
      <x v="2"/>
      <x v="189"/>
    </i>
    <i r="2">
      <x v="460"/>
      <x/>
      <x v="1"/>
      <x v="190"/>
    </i>
    <i r="2">
      <x v="461"/>
      <x/>
      <x/>
      <x v="190"/>
    </i>
    <i r="2">
      <x v="462"/>
      <x/>
      <x v="1"/>
      <x v="84"/>
    </i>
    <i r="2">
      <x v="463"/>
      <x/>
      <x v="1"/>
      <x v="191"/>
    </i>
    <i r="2">
      <x v="464"/>
      <x v="1"/>
      <x/>
      <x v="193"/>
    </i>
    <i r="2">
      <x v="465"/>
      <x/>
      <x v="1"/>
      <x v="191"/>
    </i>
    <i r="2">
      <x v="466"/>
      <x/>
      <x v="1"/>
      <x v="84"/>
    </i>
    <i r="2">
      <x v="467"/>
      <x/>
      <x v="1"/>
      <x v="84"/>
    </i>
    <i r="2">
      <x v="468"/>
      <x/>
      <x/>
      <x v="80"/>
    </i>
    <i r="2">
      <x v="469"/>
      <x v="1"/>
      <x v="2"/>
      <x v="189"/>
    </i>
    <i r="2">
      <x v="470"/>
      <x/>
      <x v="1"/>
      <x v="192"/>
    </i>
    <i r="2">
      <x v="471"/>
      <x v="1"/>
      <x v="1"/>
      <x v="194"/>
    </i>
    <i r="2">
      <x v="472"/>
      <x/>
      <x v="1"/>
      <x v="190"/>
    </i>
    <i r="2">
      <x v="473"/>
      <x/>
      <x/>
      <x v="190"/>
    </i>
    <i r="1">
      <x v="13"/>
      <x v="474"/>
      <x v="1"/>
      <x/>
      <x v="195"/>
    </i>
    <i r="2">
      <x v="475"/>
      <x v="1"/>
      <x/>
      <x v="196"/>
    </i>
    <i r="2">
      <x v="476"/>
      <x v="1"/>
      <x/>
      <x v="197"/>
    </i>
    <i r="2">
      <x v="477"/>
      <x v="1"/>
      <x/>
      <x v="196"/>
    </i>
    <i r="2">
      <x v="478"/>
      <x v="1"/>
      <x/>
      <x v="198"/>
    </i>
    <i r="2">
      <x v="479"/>
      <x v="1"/>
      <x/>
      <x v="197"/>
    </i>
    <i r="2">
      <x v="480"/>
      <x v="1"/>
      <x/>
      <x v="197"/>
    </i>
    <i r="2">
      <x v="481"/>
      <x v="1"/>
      <x/>
      <x v="197"/>
    </i>
    <i r="1">
      <x v="14"/>
      <x v="482"/>
      <x/>
      <x v="1"/>
      <x v="199"/>
    </i>
    <i r="2">
      <x v="483"/>
      <x/>
      <x v="1"/>
      <x v="200"/>
    </i>
    <i r="2">
      <x v="484"/>
      <x v="1"/>
      <x/>
      <x v="201"/>
    </i>
    <i r="2">
      <x v="485"/>
      <x v="1"/>
      <x/>
      <x v="201"/>
    </i>
    <i r="2">
      <x v="486"/>
      <x/>
      <x v="1"/>
      <x v="200"/>
    </i>
    <i r="2">
      <x v="487"/>
      <x v="1"/>
      <x/>
      <x v="202"/>
    </i>
    <i r="2">
      <x v="488"/>
      <x/>
      <x v="1"/>
      <x v="200"/>
    </i>
    <i r="2">
      <x v="489"/>
      <x/>
      <x v="1"/>
      <x v="200"/>
    </i>
    <i r="2">
      <x v="490"/>
      <x/>
      <x v="1"/>
      <x v="200"/>
    </i>
    <i r="2">
      <x v="491"/>
      <x/>
      <x v="3"/>
      <x v="96"/>
    </i>
    <i r="2">
      <x v="492"/>
      <x/>
      <x v="1"/>
      <x v="200"/>
    </i>
    <i r="2">
      <x v="493"/>
      <x v="1"/>
      <x/>
      <x v="203"/>
    </i>
    <i r="2">
      <x v="494"/>
      <x/>
      <x v="3"/>
      <x v="204"/>
    </i>
    <i r="2">
      <x v="495"/>
      <x v="1"/>
      <x/>
      <x v="202"/>
    </i>
    <i r="2">
      <x v="496"/>
      <x/>
      <x v="1"/>
      <x v="99"/>
    </i>
    <i r="2">
      <x v="497"/>
      <x/>
      <x v="1"/>
      <x v="91"/>
    </i>
    <i r="2">
      <x v="498"/>
      <x v="1"/>
      <x/>
      <x v="95"/>
    </i>
    <i r="1">
      <x v="15"/>
      <x v="499"/>
      <x v="1"/>
      <x v="2"/>
      <x v="103"/>
    </i>
    <i r="2">
      <x v="500"/>
      <x v="1"/>
      <x/>
      <x v="205"/>
    </i>
    <i r="2">
      <x v="501"/>
      <x v="1"/>
      <x v="2"/>
      <x v="106"/>
    </i>
    <i r="2">
      <x v="502"/>
      <x v="1"/>
      <x v="2"/>
      <x v="106"/>
    </i>
    <i r="1">
      <x v="16"/>
      <x v="503"/>
      <x/>
      <x v="1"/>
      <x v="206"/>
    </i>
    <i r="2">
      <x v="504"/>
      <x/>
      <x v="1"/>
      <x v="206"/>
    </i>
    <i r="2">
      <x v="505"/>
      <x/>
      <x v="1"/>
      <x v="109"/>
    </i>
    <i r="2">
      <x v="506"/>
      <x/>
      <x/>
      <x v="109"/>
    </i>
    <i r="2">
      <x v="507"/>
      <x/>
      <x v="1"/>
      <x v="109"/>
    </i>
    <i r="2">
      <x v="508"/>
      <x/>
      <x v="1"/>
      <x v="111"/>
    </i>
    <i r="2">
      <x v="509"/>
      <x/>
      <x/>
      <x v="112"/>
    </i>
    <i r="2">
      <x v="510"/>
      <x v="1"/>
      <x v="1"/>
      <x v="207"/>
    </i>
    <i r="2">
      <x v="511"/>
      <x/>
      <x v="1"/>
      <x v="111"/>
    </i>
    <i r="2">
      <x v="512"/>
      <x/>
      <x v="1"/>
      <x v="109"/>
    </i>
    <i r="2">
      <x v="513"/>
      <x/>
      <x v="1"/>
      <x v="111"/>
    </i>
    <i r="2">
      <x v="514"/>
      <x/>
      <x v="1"/>
      <x v="108"/>
    </i>
    <i r="2">
      <x v="515"/>
      <x/>
      <x/>
      <x v="112"/>
    </i>
    <i r="2">
      <x v="516"/>
      <x/>
      <x/>
      <x v="113"/>
    </i>
    <i r="1">
      <x v="17"/>
      <x v="517"/>
      <x/>
      <x v="1"/>
      <x v="121"/>
    </i>
    <i r="2">
      <x v="518"/>
      <x/>
      <x v="1"/>
      <x v="121"/>
    </i>
    <i r="2">
      <x v="519"/>
      <x/>
      <x v="1"/>
      <x v="123"/>
    </i>
    <i r="2">
      <x v="520"/>
      <x/>
      <x/>
      <x v="117"/>
    </i>
    <i r="2">
      <x v="521"/>
      <x/>
      <x v="1"/>
      <x v="208"/>
    </i>
    <i r="2">
      <x v="522"/>
      <x/>
      <x v="1"/>
      <x v="208"/>
    </i>
    <i r="2">
      <x v="523"/>
      <x/>
      <x v="1"/>
      <x v="208"/>
    </i>
    <i r="2">
      <x v="524"/>
      <x/>
      <x v="1"/>
      <x v="115"/>
    </i>
    <i r="2">
      <x v="525"/>
      <x/>
      <x/>
      <x v="117"/>
    </i>
    <i r="2">
      <x v="526"/>
      <x/>
      <x v="1"/>
      <x v="208"/>
    </i>
    <i r="2">
      <x v="527"/>
      <x/>
      <x v="1"/>
      <x v="121"/>
    </i>
    <i r="2">
      <x v="528"/>
      <x/>
      <x v="1"/>
      <x v="209"/>
    </i>
    <i r="2">
      <x v="529"/>
      <x/>
      <x v="2"/>
      <x v="116"/>
    </i>
    <i r="2">
      <x v="530"/>
      <x/>
      <x/>
      <x v="122"/>
    </i>
    <i r="2">
      <x v="531"/>
      <x v="1"/>
      <x v="1"/>
      <x v="119"/>
    </i>
    <i r="2">
      <x v="532"/>
      <x/>
      <x v="1"/>
      <x v="115"/>
    </i>
    <i r="2">
      <x v="533"/>
      <x/>
      <x v="1"/>
      <x v="208"/>
    </i>
    <i r="2">
      <x v="534"/>
      <x/>
      <x v="1"/>
      <x v="210"/>
    </i>
    <i r="2">
      <x v="535"/>
      <x/>
      <x/>
      <x v="210"/>
    </i>
    <i r="2">
      <x v="536"/>
      <x/>
      <x/>
      <x v="211"/>
    </i>
    <i r="2">
      <x v="537"/>
      <x/>
      <x v="1"/>
      <x v="121"/>
    </i>
    <i r="2">
      <x v="538"/>
      <x/>
      <x v="1"/>
      <x v="212"/>
    </i>
    <i r="2">
      <x v="539"/>
      <x v="1"/>
      <x v="1"/>
      <x v="119"/>
    </i>
    <i r="2">
      <x v="540"/>
      <x/>
      <x v="1"/>
      <x v="208"/>
    </i>
    <i r="2">
      <x v="541"/>
      <x/>
      <x v="3"/>
      <x v="213"/>
    </i>
    <i r="2">
      <x v="542"/>
      <x v="1"/>
      <x v="1"/>
      <x v="214"/>
    </i>
    <i r="1">
      <x v="18"/>
      <x v="543"/>
      <x/>
      <x v="2"/>
      <x v="128"/>
    </i>
    <i r="2">
      <x v="544"/>
      <x v="1"/>
      <x/>
      <x v="215"/>
    </i>
    <i r="2">
      <x v="545"/>
      <x/>
      <x/>
      <x v="216"/>
    </i>
    <i r="2">
      <x v="546"/>
      <x/>
      <x/>
      <x v="216"/>
    </i>
    <i r="2">
      <x v="547"/>
      <x/>
      <x v="2"/>
      <x v="128"/>
    </i>
    <i r="2">
      <x v="548"/>
      <x v="1"/>
      <x/>
      <x v="217"/>
    </i>
    <i r="2">
      <x v="549"/>
      <x v="1"/>
      <x/>
      <x v="130"/>
    </i>
    <i r="1">
      <x v="19"/>
      <x v="550"/>
      <x/>
      <x v="1"/>
      <x v="218"/>
    </i>
    <i r="2">
      <x v="551"/>
      <x/>
      <x v="1"/>
      <x v="219"/>
    </i>
    <i r="2">
      <x v="552"/>
      <x/>
      <x/>
      <x v="134"/>
    </i>
    <i r="2">
      <x v="553"/>
      <x/>
      <x/>
      <x v="134"/>
    </i>
    <i r="2">
      <x v="554"/>
      <x/>
      <x/>
      <x v="134"/>
    </i>
    <i r="2">
      <x v="555"/>
      <x/>
      <x/>
      <x v="134"/>
    </i>
    <i r="2">
      <x v="556"/>
      <x v="1"/>
      <x v="1"/>
      <x v="220"/>
    </i>
    <i r="2">
      <x v="557"/>
      <x/>
      <x v="1"/>
      <x v="221"/>
    </i>
    <i r="2">
      <x v="558"/>
      <x v="1"/>
      <x v="1"/>
      <x v="136"/>
    </i>
    <i r="2">
      <x v="559"/>
      <x/>
      <x v="1"/>
      <x v="222"/>
    </i>
    <i r="2">
      <x v="560"/>
      <x/>
      <x/>
      <x v="223"/>
    </i>
    <i r="2">
      <x v="561"/>
      <x/>
      <x v="1"/>
      <x v="224"/>
    </i>
    <i r="2">
      <x v="562"/>
      <x v="1"/>
      <x v="2"/>
      <x v="139"/>
    </i>
    <i r="2">
      <x v="563"/>
      <x/>
      <x v="1"/>
      <x v="225"/>
    </i>
    <i r="2">
      <x v="564"/>
      <x v="1"/>
      <x/>
      <x v="226"/>
    </i>
    <i r="1">
      <x v="20"/>
      <x v="565"/>
      <x v="1"/>
      <x/>
      <x v="146"/>
    </i>
    <i r="2">
      <x v="566"/>
      <x v="1"/>
      <x/>
      <x v="146"/>
    </i>
    <i r="2">
      <x v="567"/>
      <x v="1"/>
      <x v="2"/>
      <x v="142"/>
    </i>
    <i r="2">
      <x v="568"/>
      <x/>
      <x v="2"/>
      <x v="142"/>
    </i>
    <i r="2">
      <x v="569"/>
      <x v="1"/>
      <x v="2"/>
      <x v="145"/>
    </i>
    <i r="2">
      <x v="570"/>
      <x v="1"/>
      <x v="2"/>
      <x v="142"/>
    </i>
    <i r="2">
      <x v="571"/>
      <x v="1"/>
      <x v="2"/>
      <x v="142"/>
    </i>
    <i r="2">
      <x v="572"/>
      <x v="1"/>
      <x v="2"/>
      <x v="142"/>
    </i>
    <i r="2">
      <x v="573"/>
      <x v="1"/>
      <x v="2"/>
      <x v="145"/>
    </i>
    <i r="2">
      <x v="574"/>
      <x v="1"/>
      <x v="2"/>
      <x v="142"/>
    </i>
    <i r="2">
      <x v="575"/>
      <x/>
      <x v="3"/>
      <x v="145"/>
    </i>
    <i>
      <x v="2"/>
      <x/>
      <x v="576"/>
      <x v="1"/>
      <x/>
      <x v="2"/>
    </i>
    <i r="2">
      <x v="577"/>
      <x v="1"/>
      <x v="1"/>
      <x v="227"/>
    </i>
    <i r="2">
      <x v="578"/>
      <x v="1"/>
      <x v="1"/>
      <x v="227"/>
    </i>
    <i r="2">
      <x v="579"/>
      <x v="1"/>
      <x v="1"/>
      <x v="227"/>
    </i>
    <i r="2">
      <x v="580"/>
      <x v="1"/>
      <x/>
      <x v="2"/>
    </i>
    <i r="2">
      <x v="581"/>
      <x/>
      <x/>
      <x v="228"/>
    </i>
    <i r="1">
      <x v="1"/>
      <x v="582"/>
      <x/>
      <x v="2"/>
      <x v="5"/>
    </i>
    <i r="2">
      <x v="583"/>
      <x/>
      <x/>
      <x v="7"/>
    </i>
    <i r="2">
      <x v="584"/>
      <x/>
      <x v="2"/>
      <x v="5"/>
    </i>
    <i r="2">
      <x v="585"/>
      <x/>
      <x v="2"/>
      <x v="6"/>
    </i>
    <i r="2">
      <x v="586"/>
      <x/>
      <x/>
      <x v="7"/>
    </i>
    <i r="2">
      <x v="587"/>
      <x v="1"/>
      <x/>
      <x v="229"/>
    </i>
    <i r="2">
      <x v="588"/>
      <x v="1"/>
      <x/>
      <x v="230"/>
    </i>
    <i r="2">
      <x v="589"/>
      <x/>
      <x v="2"/>
      <x v="231"/>
    </i>
    <i r="2">
      <x v="590"/>
      <x/>
      <x v="2"/>
      <x v="5"/>
    </i>
    <i r="2">
      <x v="591"/>
      <x v="1"/>
      <x/>
      <x v="232"/>
    </i>
    <i r="2">
      <x v="592"/>
      <x/>
      <x v="1"/>
      <x v="233"/>
    </i>
    <i r="1">
      <x v="2"/>
      <x v="593"/>
      <x/>
      <x v="1"/>
      <x v="9"/>
    </i>
    <i r="2">
      <x v="594"/>
      <x/>
      <x v="1"/>
      <x v="9"/>
    </i>
    <i r="2">
      <x v="595"/>
      <x/>
      <x v="1"/>
      <x v="9"/>
    </i>
    <i r="2">
      <x v="596"/>
      <x/>
      <x v="1"/>
      <x v="9"/>
    </i>
    <i r="2">
      <x v="597"/>
      <x/>
      <x v="1"/>
      <x v="9"/>
    </i>
    <i r="2">
      <x v="598"/>
      <x/>
      <x v="1"/>
      <x v="14"/>
    </i>
    <i r="2">
      <x v="599"/>
      <x/>
      <x v="1"/>
      <x v="9"/>
    </i>
    <i r="2">
      <x v="600"/>
      <x/>
      <x v="1"/>
      <x v="9"/>
    </i>
    <i r="2">
      <x v="601"/>
      <x/>
      <x v="1"/>
      <x v="9"/>
    </i>
    <i r="2">
      <x v="602"/>
      <x/>
      <x v="1"/>
      <x v="9"/>
    </i>
    <i r="2">
      <x v="603"/>
      <x v="1"/>
      <x v="3"/>
      <x v="234"/>
    </i>
    <i r="2">
      <x v="604"/>
      <x v="1"/>
      <x/>
      <x v="12"/>
    </i>
    <i r="2">
      <x v="605"/>
      <x v="1"/>
      <x v="3"/>
      <x v="234"/>
    </i>
    <i r="1">
      <x v="3"/>
      <x v="606"/>
      <x/>
      <x v="1"/>
      <x v="235"/>
    </i>
    <i r="2">
      <x v="607"/>
      <x v="1"/>
      <x v="2"/>
      <x v="18"/>
    </i>
    <i r="2">
      <x v="608"/>
      <x v="1"/>
      <x/>
      <x v="235"/>
    </i>
    <i r="2">
      <x v="609"/>
      <x v="1"/>
      <x/>
      <x v="18"/>
    </i>
    <i r="2">
      <x v="610"/>
      <x/>
      <x v="1"/>
      <x v="236"/>
    </i>
    <i r="2">
      <x v="611"/>
      <x v="1"/>
      <x v="1"/>
      <x v="17"/>
    </i>
    <i r="2">
      <x v="612"/>
      <x v="1"/>
      <x v="1"/>
      <x v="17"/>
    </i>
    <i r="2">
      <x v="613"/>
      <x/>
      <x v="1"/>
      <x v="21"/>
    </i>
    <i r="2">
      <x v="614"/>
      <x v="1"/>
      <x/>
      <x v="18"/>
    </i>
    <i r="2">
      <x v="615"/>
      <x v="1"/>
      <x v="2"/>
      <x v="155"/>
    </i>
    <i r="1">
      <x v="4"/>
      <x v="616"/>
      <x/>
      <x v="2"/>
      <x v="29"/>
    </i>
    <i r="2">
      <x v="617"/>
      <x v="1"/>
      <x v="2"/>
      <x v="28"/>
    </i>
    <i r="2">
      <x v="618"/>
      <x/>
      <x v="2"/>
      <x v="28"/>
    </i>
    <i r="2">
      <x v="619"/>
      <x/>
      <x v="2"/>
      <x v="237"/>
    </i>
    <i r="2">
      <x v="620"/>
      <x/>
      <x v="2"/>
      <x v="238"/>
    </i>
    <i r="2">
      <x v="621"/>
      <x/>
      <x v="2"/>
      <x v="237"/>
    </i>
    <i r="2">
      <x v="622"/>
      <x v="1"/>
      <x v="2"/>
      <x v="239"/>
    </i>
    <i r="2">
      <x v="623"/>
      <x/>
      <x v="2"/>
      <x v="240"/>
    </i>
    <i r="2">
      <x v="624"/>
      <x/>
      <x v="2"/>
      <x v="238"/>
    </i>
    <i r="2">
      <x v="625"/>
      <x v="1"/>
      <x v="2"/>
      <x v="28"/>
    </i>
    <i r="2">
      <x v="626"/>
      <x/>
      <x v="2"/>
      <x v="28"/>
    </i>
    <i r="2">
      <x v="627"/>
      <x v="1"/>
      <x v="2"/>
      <x v="28"/>
    </i>
    <i r="2">
      <x v="628"/>
      <x/>
      <x v="2"/>
      <x v="28"/>
    </i>
    <i r="2">
      <x v="629"/>
      <x/>
      <x v="2"/>
      <x v="240"/>
    </i>
    <i r="2">
      <x v="630"/>
      <x/>
      <x v="2"/>
      <x v="29"/>
    </i>
    <i r="2">
      <x v="631"/>
      <x/>
      <x v="2"/>
      <x v="29"/>
    </i>
    <i r="2">
      <x v="632"/>
      <x v="1"/>
      <x v="2"/>
      <x v="30"/>
    </i>
    <i r="2">
      <x v="633"/>
      <x v="1"/>
      <x v="2"/>
      <x v="28"/>
    </i>
    <i r="2">
      <x v="634"/>
      <x/>
      <x v="2"/>
      <x v="29"/>
    </i>
    <i r="2">
      <x v="635"/>
      <x/>
      <x v="2"/>
      <x v="240"/>
    </i>
    <i r="1">
      <x v="21"/>
      <x v="636"/>
      <x/>
      <x v="1"/>
      <x v="241"/>
    </i>
    <i r="2">
      <x v="637"/>
      <x/>
      <x v="1"/>
      <x v="159"/>
    </i>
    <i r="1">
      <x v="5"/>
      <x v="638"/>
      <x/>
      <x v="1"/>
      <x v="160"/>
    </i>
    <i r="2">
      <x v="639"/>
      <x/>
      <x v="1"/>
      <x v="160"/>
    </i>
    <i r="2">
      <x v="640"/>
      <x/>
      <x v="1"/>
      <x v="35"/>
    </i>
    <i r="2">
      <x v="641"/>
      <x/>
      <x v="1"/>
      <x v="35"/>
    </i>
    <i r="2">
      <x v="642"/>
      <x v="1"/>
      <x/>
      <x v="31"/>
    </i>
    <i r="2">
      <x v="643"/>
      <x/>
      <x/>
      <x v="161"/>
    </i>
    <i r="2">
      <x v="644"/>
      <x/>
      <x v="1"/>
      <x v="32"/>
    </i>
    <i r="2">
      <x v="645"/>
      <x/>
      <x v="1"/>
      <x v="36"/>
    </i>
    <i r="2">
      <x v="646"/>
      <x/>
      <x v="1"/>
      <x v="33"/>
    </i>
    <i r="2">
      <x v="647"/>
      <x/>
      <x v="1"/>
      <x v="36"/>
    </i>
    <i r="2">
      <x v="648"/>
      <x/>
      <x v="1"/>
      <x v="35"/>
    </i>
    <i r="2">
      <x v="649"/>
      <x/>
      <x v="1"/>
      <x v="35"/>
    </i>
    <i r="2">
      <x v="650"/>
      <x/>
      <x v="1"/>
      <x v="32"/>
    </i>
    <i r="2">
      <x v="651"/>
      <x/>
      <x v="1"/>
      <x v="242"/>
    </i>
    <i r="2">
      <x v="652"/>
      <x v="1"/>
      <x/>
      <x v="37"/>
    </i>
    <i r="2">
      <x v="653"/>
      <x v="1"/>
      <x v="1"/>
      <x v="164"/>
    </i>
    <i r="2">
      <x v="654"/>
      <x/>
      <x v="1"/>
      <x v="243"/>
    </i>
    <i r="2">
      <x v="655"/>
      <x/>
      <x v="1"/>
      <x v="36"/>
    </i>
    <i r="2">
      <x v="656"/>
      <x/>
      <x v="1"/>
      <x v="35"/>
    </i>
    <i r="2">
      <x v="657"/>
      <x/>
      <x v="1"/>
      <x v="35"/>
    </i>
    <i r="2">
      <x v="658"/>
      <x/>
      <x v="1"/>
      <x v="35"/>
    </i>
    <i r="2">
      <x v="659"/>
      <x/>
      <x v="1"/>
      <x v="35"/>
    </i>
    <i r="2">
      <x v="660"/>
      <x/>
      <x v="1"/>
      <x v="32"/>
    </i>
    <i r="2">
      <x v="661"/>
      <x/>
      <x v="1"/>
      <x v="242"/>
    </i>
    <i r="2">
      <x v="662"/>
      <x/>
      <x v="2"/>
      <x v="162"/>
    </i>
    <i r="2">
      <x v="663"/>
      <x v="1"/>
      <x/>
      <x v="34"/>
    </i>
    <i r="2">
      <x v="664"/>
      <x/>
      <x v="1"/>
      <x v="36"/>
    </i>
    <i r="2">
      <x v="665"/>
      <x/>
      <x v="1"/>
      <x v="31"/>
    </i>
    <i r="2">
      <x v="666"/>
      <x/>
      <x v="1"/>
      <x v="31"/>
    </i>
    <i r="2">
      <x v="667"/>
      <x/>
      <x v="1"/>
      <x v="31"/>
    </i>
    <i r="2">
      <x v="668"/>
      <x/>
      <x v="1"/>
      <x v="31"/>
    </i>
    <i r="2">
      <x v="669"/>
      <x/>
      <x v="2"/>
      <x v="162"/>
    </i>
    <i r="2">
      <x v="670"/>
      <x/>
      <x v="1"/>
      <x v="31"/>
    </i>
    <i r="2">
      <x v="671"/>
      <x/>
      <x v="1"/>
      <x v="31"/>
    </i>
    <i r="1">
      <x v="6"/>
      <x v="672"/>
      <x v="1"/>
      <x/>
      <x v="42"/>
    </i>
    <i r="2">
      <x v="673"/>
      <x v="1"/>
      <x/>
      <x v="42"/>
    </i>
    <i r="2">
      <x v="674"/>
      <x/>
      <x v="1"/>
      <x v="168"/>
    </i>
    <i r="2">
      <x v="675"/>
      <x v="1"/>
      <x v="1"/>
      <x v="166"/>
    </i>
    <i r="2">
      <x v="676"/>
      <x v="1"/>
      <x v="1"/>
      <x v="165"/>
    </i>
    <i r="2">
      <x v="677"/>
      <x v="1"/>
      <x/>
      <x v="42"/>
    </i>
    <i r="1">
      <x v="7"/>
      <x v="678"/>
      <x/>
      <x v="2"/>
      <x v="46"/>
    </i>
    <i r="2">
      <x v="679"/>
      <x/>
      <x v="2"/>
      <x v="46"/>
    </i>
    <i r="2">
      <x v="680"/>
      <x/>
      <x v="2"/>
      <x v="171"/>
    </i>
    <i r="2">
      <x v="681"/>
      <x/>
      <x v="2"/>
      <x v="171"/>
    </i>
    <i r="2">
      <x v="682"/>
      <x/>
      <x v="2"/>
      <x v="171"/>
    </i>
    <i r="2">
      <x v="683"/>
      <x v="1"/>
      <x v="2"/>
      <x v="244"/>
    </i>
    <i r="2">
      <x v="684"/>
      <x/>
      <x v="2"/>
      <x v="171"/>
    </i>
    <i r="2">
      <x v="685"/>
      <x/>
      <x v="2"/>
      <x v="171"/>
    </i>
    <i r="2">
      <x v="686"/>
      <x v="1"/>
      <x v="2"/>
      <x v="245"/>
    </i>
    <i r="1">
      <x v="8"/>
      <x v="687"/>
      <x/>
      <x/>
      <x v="62"/>
    </i>
    <i r="2">
      <x v="688"/>
      <x/>
      <x/>
      <x v="62"/>
    </i>
    <i r="2">
      <x v="689"/>
      <x v="1"/>
      <x v="1"/>
      <x v="55"/>
    </i>
    <i r="2">
      <x v="690"/>
      <x v="1"/>
      <x v="1"/>
      <x v="55"/>
    </i>
    <i r="2">
      <x v="691"/>
      <x v="1"/>
      <x v="1"/>
      <x v="55"/>
    </i>
    <i r="2">
      <x v="692"/>
      <x v="1"/>
      <x/>
      <x v="54"/>
    </i>
    <i r="2">
      <x v="693"/>
      <x/>
      <x v="1"/>
      <x v="173"/>
    </i>
    <i r="2">
      <x v="694"/>
      <x/>
      <x/>
      <x v="50"/>
    </i>
    <i r="2">
      <x v="695"/>
      <x v="1"/>
      <x v="1"/>
      <x v="55"/>
    </i>
    <i r="2">
      <x v="696"/>
      <x v="1"/>
      <x v="1"/>
      <x v="55"/>
    </i>
    <i r="2">
      <x v="697"/>
      <x v="1"/>
      <x/>
      <x v="63"/>
    </i>
    <i r="2">
      <x v="698"/>
      <x v="1"/>
      <x/>
      <x v="63"/>
    </i>
    <i r="2">
      <x v="699"/>
      <x v="1"/>
      <x/>
      <x v="54"/>
    </i>
    <i r="2">
      <x v="700"/>
      <x v="1"/>
      <x/>
      <x v="54"/>
    </i>
    <i r="2">
      <x v="701"/>
      <x v="1"/>
      <x v="1"/>
      <x v="246"/>
    </i>
    <i r="2">
      <x v="702"/>
      <x v="1"/>
      <x/>
      <x v="54"/>
    </i>
    <i r="2">
      <x v="703"/>
      <x v="1"/>
      <x/>
      <x v="54"/>
    </i>
    <i r="2">
      <x v="704"/>
      <x v="1"/>
      <x/>
      <x v="54"/>
    </i>
    <i r="2">
      <x v="705"/>
      <x v="1"/>
      <x v="1"/>
      <x v="55"/>
    </i>
    <i r="2">
      <x v="706"/>
      <x v="1"/>
      <x v="1"/>
      <x v="55"/>
    </i>
    <i r="2">
      <x v="707"/>
      <x v="1"/>
      <x v="1"/>
      <x v="55"/>
    </i>
    <i r="2">
      <x v="708"/>
      <x v="1"/>
      <x v="1"/>
      <x v="55"/>
    </i>
    <i r="2">
      <x v="709"/>
      <x/>
      <x v="1"/>
      <x v="173"/>
    </i>
    <i r="2">
      <x v="710"/>
      <x v="1"/>
      <x/>
      <x v="54"/>
    </i>
    <i r="2">
      <x v="711"/>
      <x/>
      <x v="2"/>
      <x v="57"/>
    </i>
    <i r="2">
      <x v="712"/>
      <x/>
      <x/>
      <x v="54"/>
    </i>
    <i r="2">
      <x v="713"/>
      <x/>
      <x/>
      <x v="63"/>
    </i>
    <i r="2">
      <x v="714"/>
      <x/>
      <x v="1"/>
      <x v="49"/>
    </i>
    <i r="1">
      <x v="9"/>
      <x v="715"/>
      <x v="1"/>
      <x/>
      <x v="64"/>
    </i>
    <i r="2">
      <x v="716"/>
      <x v="1"/>
      <x v="3"/>
      <x v="247"/>
    </i>
    <i r="2">
      <x v="717"/>
      <x/>
      <x v="1"/>
      <x v="177"/>
    </i>
    <i r="1">
      <x v="10"/>
      <x v="718"/>
      <x/>
      <x/>
      <x v="70"/>
    </i>
    <i r="2">
      <x v="719"/>
      <x v="1"/>
      <x/>
      <x v="69"/>
    </i>
    <i r="2">
      <x v="720"/>
      <x/>
      <x/>
      <x v="180"/>
    </i>
    <i r="1">
      <x v="11"/>
      <x v="721"/>
      <x/>
      <x/>
      <x v="73"/>
    </i>
    <i r="2">
      <x v="722"/>
      <x v="1"/>
      <x/>
      <x v="248"/>
    </i>
    <i r="2">
      <x v="723"/>
      <x/>
      <x/>
      <x v="73"/>
    </i>
    <i r="2">
      <x v="724"/>
      <x v="1"/>
      <x/>
      <x v="249"/>
    </i>
    <i r="2">
      <x v="725"/>
      <x v="1"/>
      <x/>
      <x v="79"/>
    </i>
    <i r="2">
      <x v="726"/>
      <x/>
      <x v="1"/>
      <x v="78"/>
    </i>
    <i r="2">
      <x v="727"/>
      <x v="1"/>
      <x v="2"/>
      <x v="250"/>
    </i>
    <i r="2">
      <x v="728"/>
      <x/>
      <x v="1"/>
      <x v="71"/>
    </i>
    <i r="2">
      <x v="729"/>
      <x v="1"/>
      <x/>
      <x v="251"/>
    </i>
    <i r="2">
      <x v="730"/>
      <x/>
      <x v="1"/>
      <x v="71"/>
    </i>
    <i r="2">
      <x v="731"/>
      <x v="1"/>
      <x/>
      <x v="251"/>
    </i>
    <i r="2">
      <x v="732"/>
      <x/>
      <x v="1"/>
      <x v="71"/>
    </i>
    <i r="2">
      <x v="733"/>
      <x v="1"/>
      <x/>
      <x v="72"/>
    </i>
    <i r="2">
      <x v="734"/>
      <x v="1"/>
      <x/>
      <x v="248"/>
    </i>
    <i r="1">
      <x v="12"/>
      <x v="735"/>
      <x/>
      <x v="1"/>
      <x v="191"/>
    </i>
    <i r="2">
      <x v="736"/>
      <x v="1"/>
      <x v="1"/>
      <x v="252"/>
    </i>
    <i r="2">
      <x v="737"/>
      <x/>
      <x v="1"/>
      <x v="81"/>
    </i>
    <i r="2">
      <x v="738"/>
      <x/>
      <x v="1"/>
      <x v="81"/>
    </i>
    <i r="2">
      <x v="739"/>
      <x/>
      <x v="1"/>
      <x v="88"/>
    </i>
    <i r="2">
      <x v="740"/>
      <x/>
      <x v="1"/>
      <x v="81"/>
    </i>
    <i r="2">
      <x v="741"/>
      <x/>
      <x v="1"/>
      <x v="85"/>
    </i>
    <i r="2">
      <x v="742"/>
      <x/>
      <x v="1"/>
      <x v="85"/>
    </i>
    <i r="2">
      <x v="743"/>
      <x/>
      <x v="1"/>
      <x v="191"/>
    </i>
    <i r="2">
      <x v="744"/>
      <x v="1"/>
      <x/>
      <x v="253"/>
    </i>
    <i r="2">
      <x v="745"/>
      <x v="1"/>
      <x v="1"/>
      <x v="193"/>
    </i>
    <i r="2">
      <x v="746"/>
      <x/>
      <x v="1"/>
      <x v="191"/>
    </i>
    <i r="2">
      <x v="747"/>
      <x/>
      <x v="1"/>
      <x v="190"/>
    </i>
    <i r="2">
      <x v="748"/>
      <x v="1"/>
      <x v="1"/>
      <x v="194"/>
    </i>
    <i r="1">
      <x v="13"/>
      <x v="749"/>
      <x/>
      <x v="3"/>
      <x v="90"/>
    </i>
    <i r="2">
      <x v="750"/>
      <x/>
      <x v="1"/>
      <x v="254"/>
    </i>
    <i r="2">
      <x v="751"/>
      <x v="1"/>
      <x/>
      <x v="197"/>
    </i>
    <i r="2">
      <x v="752"/>
      <x v="1"/>
      <x/>
      <x v="197"/>
    </i>
    <i r="2">
      <x v="753"/>
      <x v="1"/>
      <x/>
      <x v="197"/>
    </i>
    <i r="2">
      <x v="754"/>
      <x v="1"/>
      <x/>
      <x v="89"/>
    </i>
    <i r="2">
      <x v="755"/>
      <x v="1"/>
      <x/>
      <x v="89"/>
    </i>
    <i r="2">
      <x v="756"/>
      <x v="1"/>
      <x/>
      <x v="89"/>
    </i>
    <i r="2">
      <x v="757"/>
      <x v="1"/>
      <x/>
      <x v="89"/>
    </i>
    <i r="2">
      <x v="758"/>
      <x v="1"/>
      <x/>
      <x v="198"/>
    </i>
    <i r="2">
      <x v="759"/>
      <x v="1"/>
      <x/>
      <x v="197"/>
    </i>
    <i r="2">
      <x v="760"/>
      <x v="1"/>
      <x/>
      <x v="197"/>
    </i>
    <i r="2">
      <x v="761"/>
      <x v="1"/>
      <x/>
      <x v="197"/>
    </i>
    <i r="2">
      <x v="762"/>
      <x v="1"/>
      <x/>
      <x v="197"/>
    </i>
    <i r="2">
      <x v="763"/>
      <x v="1"/>
      <x/>
      <x v="197"/>
    </i>
    <i r="2">
      <x v="764"/>
      <x/>
      <x v="3"/>
      <x v="90"/>
    </i>
    <i r="2">
      <x v="765"/>
      <x v="1"/>
      <x/>
      <x v="197"/>
    </i>
    <i r="1">
      <x v="14"/>
      <x v="766"/>
      <x/>
      <x v="1"/>
      <x v="200"/>
    </i>
    <i r="2">
      <x v="767"/>
      <x/>
      <x v="1"/>
      <x v="200"/>
    </i>
    <i r="2">
      <x v="768"/>
      <x/>
      <x v="1"/>
      <x v="94"/>
    </i>
    <i r="2">
      <x v="769"/>
      <x v="1"/>
      <x/>
      <x v="93"/>
    </i>
    <i r="2">
      <x v="770"/>
      <x/>
      <x v="3"/>
      <x v="96"/>
    </i>
    <i r="2">
      <x v="771"/>
      <x v="1"/>
      <x/>
      <x v="95"/>
    </i>
    <i r="2">
      <x v="772"/>
      <x v="1"/>
      <x/>
      <x v="202"/>
    </i>
    <i r="2">
      <x v="773"/>
      <x v="1"/>
      <x/>
      <x v="255"/>
    </i>
    <i r="2">
      <x v="774"/>
      <x v="1"/>
      <x/>
      <x v="255"/>
    </i>
    <i r="2">
      <x v="775"/>
      <x v="1"/>
      <x/>
      <x v="95"/>
    </i>
    <i r="2">
      <x v="776"/>
      <x/>
      <x v="3"/>
      <x v="96"/>
    </i>
    <i r="1">
      <x v="15"/>
      <x v="777"/>
      <x v="1"/>
      <x/>
      <x v="256"/>
    </i>
    <i r="2">
      <x v="778"/>
      <x v="1"/>
      <x v="2"/>
      <x v="103"/>
    </i>
    <i r="2">
      <x v="779"/>
      <x v="1"/>
      <x v="2"/>
      <x v="106"/>
    </i>
    <i r="2">
      <x v="780"/>
      <x v="1"/>
      <x v="2"/>
      <x v="106"/>
    </i>
    <i r="2">
      <x v="781"/>
      <x v="1"/>
      <x v="2"/>
      <x v="106"/>
    </i>
    <i r="2">
      <x v="782"/>
      <x/>
      <x v="1"/>
      <x v="257"/>
    </i>
    <i r="2">
      <x v="783"/>
      <x v="1"/>
      <x v="1"/>
      <x v="258"/>
    </i>
    <i r="2">
      <x v="784"/>
      <x/>
      <x v="1"/>
      <x v="259"/>
    </i>
    <i r="1">
      <x v="16"/>
      <x v="785"/>
      <x/>
      <x v="1"/>
      <x v="111"/>
    </i>
    <i r="2">
      <x v="786"/>
      <x/>
      <x v="1"/>
      <x v="114"/>
    </i>
    <i r="2">
      <x v="787"/>
      <x/>
      <x v="1"/>
      <x v="114"/>
    </i>
    <i r="2">
      <x v="788"/>
      <x/>
      <x v="1"/>
      <x v="108"/>
    </i>
    <i r="2">
      <x v="789"/>
      <x/>
      <x v="1"/>
      <x v="108"/>
    </i>
    <i r="2">
      <x v="790"/>
      <x/>
      <x v="1"/>
      <x v="111"/>
    </i>
    <i r="2">
      <x v="791"/>
      <x/>
      <x v="1"/>
      <x v="108"/>
    </i>
    <i r="2">
      <x v="792"/>
      <x v="1"/>
      <x v="1"/>
      <x v="260"/>
    </i>
    <i r="2">
      <x v="793"/>
      <x/>
      <x/>
      <x v="113"/>
    </i>
    <i r="2">
      <x v="794"/>
      <x/>
      <x v="1"/>
      <x v="114"/>
    </i>
    <i r="1">
      <x v="17"/>
      <x v="795"/>
      <x/>
      <x v="3"/>
      <x v="117"/>
    </i>
    <i r="2">
      <x v="796"/>
      <x v="1"/>
      <x v="2"/>
      <x v="116"/>
    </i>
    <i r="2">
      <x v="797"/>
      <x/>
      <x v="1"/>
      <x v="208"/>
    </i>
    <i r="2">
      <x v="798"/>
      <x v="1"/>
      <x v="2"/>
      <x v="116"/>
    </i>
    <i r="2">
      <x v="799"/>
      <x/>
      <x v="3"/>
      <x v="261"/>
    </i>
    <i r="2">
      <x v="800"/>
      <x/>
      <x v="1"/>
      <x v="208"/>
    </i>
    <i r="2">
      <x v="801"/>
      <x/>
      <x v="1"/>
      <x v="121"/>
    </i>
    <i r="2">
      <x v="802"/>
      <x/>
      <x v="1"/>
      <x v="115"/>
    </i>
    <i r="2">
      <x v="803"/>
      <x/>
      <x/>
      <x v="117"/>
    </i>
    <i r="2">
      <x v="804"/>
      <x/>
      <x v="1"/>
      <x v="208"/>
    </i>
    <i r="2">
      <x v="805"/>
      <x/>
      <x/>
      <x v="210"/>
    </i>
    <i r="2">
      <x v="806"/>
      <x/>
      <x v="1"/>
      <x v="210"/>
    </i>
    <i r="2">
      <x v="807"/>
      <x/>
      <x/>
      <x v="262"/>
    </i>
    <i r="2">
      <x v="808"/>
      <x/>
      <x v="1"/>
      <x v="115"/>
    </i>
    <i r="2">
      <x v="809"/>
      <x/>
      <x v="1"/>
      <x v="208"/>
    </i>
    <i r="2">
      <x v="810"/>
      <x/>
      <x v="1"/>
      <x v="208"/>
    </i>
    <i r="2">
      <x v="811"/>
      <x/>
      <x v="1"/>
      <x v="208"/>
    </i>
    <i r="2">
      <x v="812"/>
      <x/>
      <x v="1"/>
      <x v="115"/>
    </i>
    <i r="2">
      <x v="813"/>
      <x/>
      <x v="1"/>
      <x v="208"/>
    </i>
    <i r="2">
      <x v="814"/>
      <x v="1"/>
      <x v="1"/>
      <x v="119"/>
    </i>
    <i r="1">
      <x v="18"/>
      <x v="815"/>
      <x/>
      <x v="1"/>
      <x v="263"/>
    </i>
    <i r="2">
      <x v="816"/>
      <x/>
      <x v="2"/>
      <x v="128"/>
    </i>
    <i r="2">
      <x v="817"/>
      <x v="1"/>
      <x v="2"/>
      <x v="264"/>
    </i>
    <i r="2">
      <x v="818"/>
      <x v="1"/>
      <x/>
      <x v="265"/>
    </i>
    <i r="2">
      <x v="819"/>
      <x/>
      <x/>
      <x v="216"/>
    </i>
    <i r="2">
      <x v="820"/>
      <x/>
      <x v="2"/>
      <x v="128"/>
    </i>
    <i r="2">
      <x v="821"/>
      <x/>
      <x v="2"/>
      <x v="128"/>
    </i>
    <i r="1">
      <x v="19"/>
      <x v="822"/>
      <x/>
      <x v="1"/>
      <x v="266"/>
    </i>
    <i r="2">
      <x v="823"/>
      <x/>
      <x v="1"/>
      <x v="221"/>
    </i>
    <i r="2">
      <x v="824"/>
      <x/>
      <x/>
      <x v="223"/>
    </i>
    <i r="2">
      <x v="825"/>
      <x/>
      <x v="1"/>
      <x v="267"/>
    </i>
    <i r="2">
      <x v="826"/>
      <x/>
      <x v="1"/>
      <x v="267"/>
    </i>
    <i r="2">
      <x v="827"/>
      <x/>
      <x v="1"/>
      <x v="267"/>
    </i>
    <i r="2">
      <x v="828"/>
      <x/>
      <x v="1"/>
      <x v="267"/>
    </i>
    <i r="2">
      <x v="829"/>
      <x/>
      <x/>
      <x v="223"/>
    </i>
    <i r="2">
      <x v="830"/>
      <x/>
      <x v="1"/>
      <x v="266"/>
    </i>
    <i r="2">
      <x v="831"/>
      <x v="1"/>
      <x v="1"/>
      <x v="268"/>
    </i>
    <i r="2">
      <x v="832"/>
      <x/>
      <x v="1"/>
      <x v="218"/>
    </i>
    <i r="2">
      <x v="833"/>
      <x/>
      <x v="3"/>
      <x v="134"/>
    </i>
    <i r="2">
      <x v="834"/>
      <x v="1"/>
      <x v="2"/>
      <x v="139"/>
    </i>
    <i r="1">
      <x v="20"/>
      <x v="835"/>
      <x/>
      <x v="1"/>
      <x v="147"/>
    </i>
    <i r="2">
      <x v="836"/>
      <x v="1"/>
      <x v="2"/>
      <x v="142"/>
    </i>
    <i r="2">
      <x v="837"/>
      <x/>
      <x v="1"/>
      <x v="141"/>
    </i>
    <i r="2">
      <x v="838"/>
      <x/>
      <x v="2"/>
      <x v="269"/>
    </i>
    <i r="2">
      <x v="839"/>
      <x v="1"/>
      <x v="2"/>
      <x v="145"/>
    </i>
    <i r="2">
      <x v="840"/>
      <x v="1"/>
      <x v="2"/>
      <x v="145"/>
    </i>
    <i r="2">
      <x v="841"/>
      <x v="1"/>
      <x v="2"/>
      <x v="145"/>
    </i>
    <i r="2">
      <x v="842"/>
      <x/>
      <x v="1"/>
      <x v="270"/>
    </i>
    <i r="2">
      <x v="843"/>
      <x/>
      <x v="1"/>
      <x v="270"/>
    </i>
    <i r="2">
      <x v="844"/>
      <x v="1"/>
      <x v="2"/>
      <x v="271"/>
    </i>
    <i r="2">
      <x v="845"/>
      <x/>
      <x v="1"/>
      <x v="272"/>
    </i>
  </rowItems>
  <colFields count="1">
    <field x="-2"/>
  </colFields>
  <colItems count="2">
    <i>
      <x/>
    </i>
    <i i="1">
      <x v="1"/>
    </i>
  </colItems>
  <dataFields count="2">
    <dataField name="Monto Desem." fld="6" baseField="4" baseItem="1" numFmtId="2"/>
    <dataField name="Spread Desem." fld="7" baseField="4" baseItem="1"/>
  </dataFields>
  <formats count="39">
    <format dxfId="7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6">
      <pivotArea outline="0" collapsedLevelsAreSubtotals="1" fieldPosition="0"/>
    </format>
    <format dxfId="75">
      <pivotArea field="0" type="button" dataOnly="0" labelOnly="1" outline="0" axis="axisRow" fieldPosition="0"/>
    </format>
    <format dxfId="74">
      <pivotArea field="2" type="button" dataOnly="0" labelOnly="1" outline="0" axis="axisRow" fieldPosition="1"/>
    </format>
    <format dxfId="73">
      <pivotArea field="1" type="button" dataOnly="0" labelOnly="1" outline="0" axis="axisRow" fieldPosition="2"/>
    </format>
    <format dxfId="72">
      <pivotArea field="8" type="button" dataOnly="0" labelOnly="1" outline="0" axis="axisRow" fieldPosition="3"/>
    </format>
    <format dxfId="71">
      <pivotArea field="4" type="button" dataOnly="0" labelOnly="1" outline="0" axis="axisRow" fieldPosition="4"/>
    </format>
    <format dxfId="70">
      <pivotArea field="3" type="button" dataOnly="0" labelOnly="1" outline="0" axis="axisRow" fieldPosition="5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field="0" type="button" dataOnly="0" labelOnly="1" outline="0" axis="axisRow" fieldPosition="0"/>
    </format>
    <format dxfId="67">
      <pivotArea field="2" type="button" dataOnly="0" labelOnly="1" outline="0" axis="axisRow" fieldPosition="1"/>
    </format>
    <format dxfId="66">
      <pivotArea field="1" type="button" dataOnly="0" labelOnly="1" outline="0" axis="axisRow" fieldPosition="2"/>
    </format>
    <format dxfId="65">
      <pivotArea field="8" type="button" dataOnly="0" labelOnly="1" outline="0" axis="axisRow" fieldPosition="3"/>
    </format>
    <format dxfId="64">
      <pivotArea field="4" type="button" dataOnly="0" labelOnly="1" outline="0" axis="axisRow" fieldPosition="4"/>
    </format>
    <format dxfId="63">
      <pivotArea field="3" type="button" dataOnly="0" labelOnly="1" outline="0" axis="axisRow" fieldPosition="5"/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">
      <pivotArea field="0" type="button" dataOnly="0" labelOnly="1" outline="0" axis="axisRow" fieldPosition="0"/>
    </format>
    <format dxfId="60">
      <pivotArea field="2" type="button" dataOnly="0" labelOnly="1" outline="0" axis="axisRow" fieldPosition="1"/>
    </format>
    <format dxfId="59">
      <pivotArea field="1" type="button" dataOnly="0" labelOnly="1" outline="0" axis="axisRow" fieldPosition="2"/>
    </format>
    <format dxfId="58">
      <pivotArea field="8" type="button" dataOnly="0" labelOnly="1" outline="0" axis="axisRow" fieldPosition="3"/>
    </format>
    <format dxfId="57">
      <pivotArea field="4" type="button" dataOnly="0" labelOnly="1" outline="0" axis="axisRow" fieldPosition="4"/>
    </format>
    <format dxfId="56">
      <pivotArea field="3" type="button" dataOnly="0" labelOnly="1" outline="0" axis="axisRow" fieldPosition="5"/>
    </format>
    <format dxfId="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4">
      <pivotArea field="0" type="button" dataOnly="0" labelOnly="1" outline="0" axis="axisRow" fieldPosition="0"/>
    </format>
    <format dxfId="53">
      <pivotArea field="2" type="button" dataOnly="0" labelOnly="1" outline="0" axis="axisRow" fieldPosition="1"/>
    </format>
    <format dxfId="52">
      <pivotArea field="1" type="button" dataOnly="0" labelOnly="1" outline="0" axis="axisRow" fieldPosition="2"/>
    </format>
    <format dxfId="51">
      <pivotArea field="8" type="button" dataOnly="0" labelOnly="1" outline="0" axis="axisRow" fieldPosition="3"/>
    </format>
    <format dxfId="50">
      <pivotArea field="4" type="button" dataOnly="0" labelOnly="1" outline="0" axis="axisRow" fieldPosition="4"/>
    </format>
    <format dxfId="49">
      <pivotArea field="3" type="button" dataOnly="0" labelOnly="1" outline="0" axis="axisRow" fieldPosition="5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field="0" type="button" dataOnly="0" labelOnly="1" outline="0" axis="axisRow" fieldPosition="0"/>
    </format>
    <format dxfId="46">
      <pivotArea field="2" type="button" dataOnly="0" labelOnly="1" outline="0" axis="axisRow" fieldPosition="1"/>
    </format>
    <format dxfId="45">
      <pivotArea field="1" type="button" dataOnly="0" labelOnly="1" outline="0" axis="axisRow" fieldPosition="2"/>
    </format>
    <format dxfId="44">
      <pivotArea field="8" type="button" dataOnly="0" labelOnly="1" outline="0" axis="axisRow" fieldPosition="3"/>
    </format>
    <format dxfId="43">
      <pivotArea field="4" type="button" dataOnly="0" labelOnly="1" outline="0" axis="axisRow" fieldPosition="4"/>
    </format>
    <format dxfId="42">
      <pivotArea field="3" type="button" dataOnly="0" labelOnly="1" outline="0" axis="axisRow" fieldPosition="5"/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">
      <pivotArea field="2" type="button" dataOnly="0" labelOnly="1" outline="0" axis="axisRow" fieldPosition="1"/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Desem].[Lider].&amp;[D.BARCO]"/>
        <member name="[Desem].[Lider].&amp;[M.CARDENAS]"/>
      </members>
    </pivotHierarchy>
    <pivotHierarchy multipleItemSelectionAllowed="1" dragToData="1"/>
    <pivotHierarchy multipleItemSelectionAllowed="1" dragToData="1" caption="Nombre Funcionario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onto Desem."/>
    <pivotHierarchy dragToData="1" caption="Spread Desem."/>
  </pivotHierarchies>
  <pivotTableStyleInfo name="PivotStyleLight22" showRowHeaders="1" showColHeaders="1" showRowStripes="0" showColStripes="0" showLastColumn="1"/>
  <rowHierarchiesUsage count="6">
    <rowHierarchyUsage hierarchyUsage="0"/>
    <rowHierarchyUsage hierarchyUsage="9"/>
    <rowHierarchyUsage hierarchyUsage="1"/>
    <rowHierarchyUsage hierarchyUsage="4"/>
    <rowHierarchyUsage hierarchyUsage="3"/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Des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7A4C8EAF-0871-4D91-BD43-8B5129C67F7E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Funcionario" xr10:uid="{5D83FFE1-8D33-4941-B308-6CA031B7F7E7}" sourceName="[Desem].[NombreFuncionario]">
  <pivotTables>
    <pivotTable tabId="2" name="TablaDinámica1"/>
    <pivotTable tabId="2" name="TablaDinámica2"/>
  </pivotTables>
  <data>
    <olap pivotCacheId="837091393">
      <levels count="2">
        <level uniqueName="[Desem].[NombreFuncionario].[(All)]" sourceCaption="(All)" count="0"/>
        <level uniqueName="[Desem].[NombreFuncionario].[NombreFuncionario]" sourceCaption="NombreFuncionario" count="22">
          <ranges>
            <range startItem="0">
              <i n="[Desem].[NombreFuncionario].&amp;[A.GARCIA*11791]" c="A.GARCIA*11791"/>
              <i n="[Desem].[NombreFuncionario].&amp;[A.ROJAS]" c="A.ROJAS"/>
              <i n="[Desem].[NombreFuncionario].&amp;[C.MARKY*16024]" c="C.MARKY*16024"/>
              <i n="[Desem].[NombreFuncionario].&amp;[C.MEJIA]" c="C.MEJIA"/>
              <i n="[Desem].[NombreFuncionario].&amp;[D.HERRERA*14796]" c="D.HERRERA*14796"/>
              <i n="[Desem].[NombreFuncionario].&amp;[D.ROSADO*16377]" c="D.ROSADO*16377"/>
              <i n="[Desem].[NombreFuncionario].&amp;[G.BRAVO]" c="G.BRAVO"/>
              <i n="[Desem].[NombreFuncionario].&amp;[G.RAFFO]" c="G.RAFFO"/>
              <i n="[Desem].[NombreFuncionario].&amp;[H.GALVEZ*16404]" c="H.GALVEZ*16404"/>
              <i n="[Desem].[NombreFuncionario].&amp;[J.CARRERA]" c="J.CARRERA"/>
              <i n="[Desem].[NombreFuncionario].&amp;[J.NAVARRO]" c="J.NAVARRO"/>
              <i n="[Desem].[NombreFuncionario].&amp;[J.NICOLI]" c="J.NICOLI"/>
              <i n="[Desem].[NombreFuncionario].&amp;[J.RAFFO*14014]" c="J.RAFFO*14014"/>
              <i n="[Desem].[NombreFuncionario].&amp;[L.PEREZ*16364]" c="L.PEREZ*16364"/>
              <i n="[Desem].[NombreFuncionario].&amp;[M.CASTAÑEDA]" c="M.CASTAÑEDA"/>
              <i n="[Desem].[NombreFuncionario].&amp;[M.LAZO]" c="M.LAZO"/>
              <i n="[Desem].[NombreFuncionario].&amp;[M.ROA*14362]" c="M.ROA*14362"/>
              <i n="[Desem].[NombreFuncionario].&amp;[M.RODRIGUEZ*16329]" c="M.RODRIGUEZ*16329"/>
              <i n="[Desem].[NombreFuncionario].&amp;[M.VELASQUEZ*16395]" c="M.VELASQUEZ*16395"/>
              <i n="[Desem].[NombreFuncionario].&amp;[R.SOLIS]" c="R.SOLIS"/>
              <i n="[Desem].[NombreFuncionario].&amp;[V.GRADOS*16365]" c="V.GRADOS*16365"/>
              <i n="[Desem].[NombreFuncionario].&amp;[W.MACHUCA]" c="W.MACHUCA"/>
            </range>
          </ranges>
        </level>
      </levels>
      <selections count="1">
        <selection n="[Desem].[NombreFuncionario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ider" xr10:uid="{2BD32238-8118-43AB-996F-5DA3BFE9CF63}" sourceName="[Desem].[Lider]">
  <pivotTables>
    <pivotTable tabId="2" name="TablaDinámica1"/>
  </pivotTables>
  <data>
    <olap pivotCacheId="837091393">
      <levels count="2">
        <level uniqueName="[Desem].[Lider].[(All)]" sourceCaption="(All)" count="0"/>
        <level uniqueName="[Desem].[Lider].[Lider]" sourceCaption="Lider" count="2">
          <ranges>
            <range startItem="0">
              <i n="[Desem].[Lider].&amp;[D.BARCO]" c="D.BARCO"/>
              <i n="[Desem].[Lider].&amp;[M.CARDENAS]" c="M.CARDENAS"/>
            </range>
          </ranges>
        </level>
      </levels>
      <selections count="2">
        <selection n="[Desem].[Lider].&amp;[D.BARCO]"/>
        <selection n="[Desem].[Lider].&amp;[M.CARDENAS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rupo" xr10:uid="{FE70E14D-72CC-49B5-84B4-0125A129602E}" sourceName="[Desem].[Grupo]">
  <pivotTables>
    <pivotTable tabId="2" name="TablaDinámica1"/>
  </pivotTables>
  <data>
    <olap pivotCacheId="837091393">
      <levels count="2">
        <level uniqueName="[Desem].[Grupo].[(All)]" sourceCaption="(All)" count="0"/>
        <level uniqueName="[Desem].[Grupo].[Grupo]" sourceCaption="Grupo" count="5">
          <ranges>
            <range startItem="0">
              <i n="[Desem].[Grupo].&amp;[C.YUCRA]" c="C.YUCRA"/>
              <i n="[Desem].[Grupo].&amp;[D.BARCO]" c="D.BARCO"/>
              <i n="[Desem].[Grupo].&amp;[F.AMANS]" c="F.AMANS"/>
              <i n="[Desem].[Grupo].&amp;[G.DAVILA]" c="G.DAVILA"/>
              <i n="[Desem].[Grupo].&amp;[P.QUEZADA]" c="P.QUEZADA"/>
            </range>
          </ranges>
        </level>
      </levels>
      <selections count="1">
        <selection n="[Desem].[Grupo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Funcionario" xr10:uid="{D2FEA99C-81BD-463A-BD9C-BC96A7FDC434}" cache="SegmentaciónDeDatos_NombreFuncionario" caption="NombreFuncionario" columnCount="2" level="1" rowHeight="247650"/>
  <slicer name="Lider" xr10:uid="{CDBDA8FD-7540-4881-A134-8E6164A3A9B3}" cache="SegmentaciónDeDatos_Lider" caption="Lider" columnCount="2" level="1" rowHeight="247650"/>
  <slicer name="Grupo" xr10:uid="{FC314CF5-A2A6-44AB-B115-60749C192BFE}" cache="SegmentaciónDeDatos_Grupo" caption="Grupo" columnCount="2" level="1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AFF134-1361-42EF-AE92-18D2D60F55EA}" name="Hoy" displayName="Hoy" ref="S11:S12" tableType="queryTable" totalsRowShown="0">
  <autoFilter ref="S11:S12" xr:uid="{5FAFF134-1361-42EF-AE92-18D2D60F55EA}"/>
  <tableColumns count="1">
    <tableColumn id="1" xr3:uid="{97A58E26-A2E7-4709-8489-FA2771A46A0B}" uniqueName="1" name="Column1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42F3-C4FB-4F9F-AF99-3E9E4FCD4331}">
  <dimension ref="A1:V862"/>
  <sheetViews>
    <sheetView showGridLines="0" tabSelected="1" zoomScaleNormal="100" workbookViewId="0">
      <selection activeCell="H11" sqref="H11"/>
    </sheetView>
  </sheetViews>
  <sheetFormatPr baseColWidth="10" defaultColWidth="11.44140625" defaultRowHeight="14.4" x14ac:dyDescent="0.3"/>
  <cols>
    <col min="1" max="1" width="12.109375" customWidth="1"/>
    <col min="2" max="2" width="22.109375" customWidth="1"/>
    <col min="3" max="3" width="14.109375" bestFit="1" customWidth="1"/>
    <col min="4" max="4" width="9.6640625" bestFit="1" customWidth="1"/>
    <col min="5" max="5" width="16.44140625" bestFit="1" customWidth="1"/>
    <col min="6" max="6" width="37.6640625" customWidth="1"/>
    <col min="7" max="7" width="12.6640625" style="4" bestFit="1" customWidth="1"/>
    <col min="8" max="8" width="9.88671875" style="4" customWidth="1"/>
    <col min="9" max="9" width="9.109375" style="4" customWidth="1"/>
    <col min="10" max="10" width="9.33203125" style="4" customWidth="1"/>
    <col min="11" max="11" width="9.44140625" style="4" customWidth="1"/>
    <col min="19" max="22" width="11.44140625" hidden="1" customWidth="1"/>
  </cols>
  <sheetData>
    <row r="1" spans="1:19" ht="33.6" x14ac:dyDescent="0.65">
      <c r="A1" s="11" t="s">
        <v>0</v>
      </c>
    </row>
    <row r="2" spans="1:19" ht="11.25" customHeight="1" x14ac:dyDescent="0.3">
      <c r="A2" s="28" t="s">
        <v>113</v>
      </c>
      <c r="B2" s="28"/>
    </row>
    <row r="3" spans="1:19" ht="14.4" customHeight="1" x14ac:dyDescent="0.3">
      <c r="A3" s="24" t="s">
        <v>1</v>
      </c>
      <c r="B3" s="23" t="str" cm="1">
        <f t="array" ref="B3">+Hoy[Column1]</f>
        <v>30/09/2026</v>
      </c>
    </row>
    <row r="5" spans="1:19" x14ac:dyDescent="0.3">
      <c r="G5" s="7"/>
      <c r="H5" s="16"/>
      <c r="I5"/>
      <c r="J5"/>
      <c r="K5"/>
    </row>
    <row r="6" spans="1:19" x14ac:dyDescent="0.3">
      <c r="G6" s="5" t="s">
        <v>2</v>
      </c>
      <c r="H6" s="20" t="s">
        <v>3</v>
      </c>
      <c r="I6"/>
      <c r="J6"/>
      <c r="K6"/>
    </row>
    <row r="7" spans="1:19" x14ac:dyDescent="0.3">
      <c r="F7" s="13" t="s">
        <v>135</v>
      </c>
      <c r="G7" s="12">
        <f>+SUMIFS(G17:G999998,A17:A999998,202607)</f>
        <v>469.71491465702991</v>
      </c>
      <c r="H7" s="21" cm="1">
        <f t="array" ref="H7">SUMPRODUCT(G17:G1007,H17:H1007*(A17:A1007=202607))/SUMIFS(G17:G1007,A17:A1007,202607)</f>
        <v>1.3240020518932691</v>
      </c>
      <c r="I7"/>
      <c r="J7"/>
      <c r="K7"/>
    </row>
    <row r="8" spans="1:19" x14ac:dyDescent="0.3">
      <c r="F8" s="14" t="s">
        <v>136</v>
      </c>
      <c r="G8" s="6">
        <f>+IFERROR(SUMIFS(G17:G999998,A17:A999998,202608),0)</f>
        <v>436.70833309853998</v>
      </c>
      <c r="H8" s="21" cm="1">
        <f t="array" ref="H8">IFERROR(SUMPRODUCT(G17:G1007,H17:H1007*(A17:A1007=202608))/SUMIFS(G17:G1007,A17:A1007,202608),0)</f>
        <v>1.436394381790095</v>
      </c>
      <c r="I8"/>
      <c r="J8"/>
      <c r="K8"/>
    </row>
    <row r="9" spans="1:19" x14ac:dyDescent="0.3">
      <c r="F9" s="14" t="s">
        <v>137</v>
      </c>
      <c r="G9" s="6">
        <f>+IFERROR(SUMIFS(G17:G999998,A17:A999998,202609),0)</f>
        <v>450.71086635475996</v>
      </c>
      <c r="H9" s="21" cm="1">
        <f t="array" ref="H9">IFERROR(SUMPRODUCT(G17:G1007,H17:H1007*(A17:A1007=202609))/SUMIFS(G17:G1007,A17:A1007,202609),0)</f>
        <v>1.3356659345877056</v>
      </c>
      <c r="I9"/>
      <c r="J9"/>
      <c r="K9"/>
    </row>
    <row r="10" spans="1:19" x14ac:dyDescent="0.3">
      <c r="F10" s="13" t="str">
        <f>+F9 &amp; " Simulado"</f>
        <v>Setiembre Simulado</v>
      </c>
      <c r="G10" s="6">
        <f>+G9+SUM(J17:J999998)</f>
        <v>453.71086635475996</v>
      </c>
      <c r="H10" s="21">
        <f>+IFERROR(((G9*H9)+(SUM(J17:J1007)*(SUMPRODUCT(J17:J1007,K17:K1007)/SUM(J17:J1007))))/(G9+SUM(J17:J1007)),H9)</f>
        <v>1.3281567518539177</v>
      </c>
      <c r="I10"/>
      <c r="J10"/>
      <c r="K10"/>
    </row>
    <row r="11" spans="1:19" x14ac:dyDescent="0.3">
      <c r="F11" s="13" t="s">
        <v>4</v>
      </c>
      <c r="G11" s="6">
        <f>+SUM(G17:G999998)</f>
        <v>1357.1341141103294</v>
      </c>
      <c r="H11" s="21">
        <f>+SUMPRODUCT(G17:G1007,H17:H1007)/SUM(G17:G1007)</f>
        <v>1.3640420930001849</v>
      </c>
      <c r="I11"/>
      <c r="J11"/>
      <c r="K11"/>
      <c r="S11" t="s">
        <v>112</v>
      </c>
    </row>
    <row r="12" spans="1:19" x14ac:dyDescent="0.3">
      <c r="F12" s="13" t="s">
        <v>5</v>
      </c>
      <c r="G12" s="6">
        <f>+G11+SUM(J17:J999998)</f>
        <v>1360.1341141103294</v>
      </c>
      <c r="H12" s="21">
        <f>+IFERROR(((G11*H11)+(SUM(J17:J1007)*(SUMPRODUCT(J17:J1007,K17:K1007)/SUM(J17:J1007))))/(G11+SUM(J17:J1007)),H11)</f>
        <v>1.3614746062775356</v>
      </c>
      <c r="I12"/>
      <c r="J12"/>
      <c r="K12"/>
      <c r="S12" t="s">
        <v>334</v>
      </c>
    </row>
    <row r="13" spans="1:19" hidden="1" x14ac:dyDescent="0.3">
      <c r="F13" s="13" t="s">
        <v>6</v>
      </c>
      <c r="G13" s="15"/>
      <c r="H13" s="22">
        <f>+IFERROR(T18,0)</f>
        <v>0</v>
      </c>
      <c r="I13"/>
      <c r="J13"/>
      <c r="K13"/>
    </row>
    <row r="14" spans="1:19" x14ac:dyDescent="0.3">
      <c r="I14"/>
      <c r="J14"/>
      <c r="K14"/>
    </row>
    <row r="15" spans="1:19" x14ac:dyDescent="0.3">
      <c r="G15" s="10" t="s">
        <v>7</v>
      </c>
      <c r="H15" s="7"/>
      <c r="I15" s="25"/>
      <c r="J15" s="25"/>
      <c r="K15" s="26" t="s">
        <v>8</v>
      </c>
      <c r="L15" s="27"/>
    </row>
    <row r="16" spans="1:19" s="7" customFormat="1" ht="28.8" x14ac:dyDescent="0.3">
      <c r="A16" s="17" t="s">
        <v>9</v>
      </c>
      <c r="B16" s="18" t="s">
        <v>10</v>
      </c>
      <c r="C16" s="17" t="s">
        <v>11</v>
      </c>
      <c r="D16" s="17" t="s">
        <v>12</v>
      </c>
      <c r="E16" s="17" t="s">
        <v>13</v>
      </c>
      <c r="F16" s="17" t="s">
        <v>14</v>
      </c>
      <c r="G16" s="18" t="s">
        <v>15</v>
      </c>
      <c r="H16" s="18" t="s">
        <v>16</v>
      </c>
      <c r="J16" s="19" t="s">
        <v>15</v>
      </c>
      <c r="K16" s="19" t="s">
        <v>16</v>
      </c>
    </row>
    <row r="17" spans="1:22" x14ac:dyDescent="0.3">
      <c r="A17">
        <v>202607</v>
      </c>
      <c r="B17" t="s">
        <v>255</v>
      </c>
      <c r="C17">
        <v>1764767195</v>
      </c>
      <c r="D17" t="s">
        <v>18</v>
      </c>
      <c r="E17" t="s">
        <v>19</v>
      </c>
      <c r="F17" t="s">
        <v>75</v>
      </c>
      <c r="G17" s="8">
        <v>3.3980000000000003E-2</v>
      </c>
      <c r="H17" s="29">
        <v>7.85</v>
      </c>
      <c r="J17" s="9">
        <v>3</v>
      </c>
      <c r="K17" s="9">
        <v>0.2</v>
      </c>
      <c r="S17" s="1" t="s">
        <v>20</v>
      </c>
      <c r="U17" t="s">
        <v>21</v>
      </c>
      <c r="V17" t="s">
        <v>22</v>
      </c>
    </row>
    <row r="18" spans="1:22" x14ac:dyDescent="0.3">
      <c r="A18">
        <v>202607</v>
      </c>
      <c r="B18" t="s">
        <v>255</v>
      </c>
      <c r="C18">
        <v>1768924422</v>
      </c>
      <c r="D18" t="s">
        <v>18</v>
      </c>
      <c r="E18" t="s">
        <v>24</v>
      </c>
      <c r="F18" t="s">
        <v>140</v>
      </c>
      <c r="G18" s="8">
        <v>0.79676999999999998</v>
      </c>
      <c r="H18" s="29">
        <v>0.35</v>
      </c>
      <c r="J18" s="9"/>
      <c r="K18" s="9"/>
      <c r="S18" s="2" t="s">
        <v>255</v>
      </c>
      <c r="T18" s="3" t="e">
        <f>+_xlfn.XLOOKUP(S18,U:U,V:V)</f>
        <v>#N/A</v>
      </c>
      <c r="U18" t="s">
        <v>25</v>
      </c>
      <c r="V18">
        <v>0.99974690651541986</v>
      </c>
    </row>
    <row r="19" spans="1:22" x14ac:dyDescent="0.3">
      <c r="A19">
        <v>202607</v>
      </c>
      <c r="B19" t="s">
        <v>255</v>
      </c>
      <c r="C19">
        <v>1768950113</v>
      </c>
      <c r="D19" t="s">
        <v>18</v>
      </c>
      <c r="E19" t="s">
        <v>19</v>
      </c>
      <c r="F19" t="s">
        <v>164</v>
      </c>
      <c r="G19" s="8">
        <v>0.89707199999999998</v>
      </c>
      <c r="H19" s="29">
        <v>1.55</v>
      </c>
      <c r="J19" s="9"/>
      <c r="K19" s="9"/>
      <c r="S19" s="2" t="s">
        <v>17</v>
      </c>
      <c r="U19" t="s">
        <v>27</v>
      </c>
      <c r="V19">
        <v>1.162423520139795</v>
      </c>
    </row>
    <row r="20" spans="1:22" x14ac:dyDescent="0.3">
      <c r="A20">
        <v>202607</v>
      </c>
      <c r="B20" t="s">
        <v>255</v>
      </c>
      <c r="C20">
        <v>1768950962</v>
      </c>
      <c r="D20" t="s">
        <v>23</v>
      </c>
      <c r="E20" t="s">
        <v>24</v>
      </c>
      <c r="F20" t="s">
        <v>165</v>
      </c>
      <c r="G20" s="8">
        <v>1</v>
      </c>
      <c r="H20" s="29">
        <v>0.85</v>
      </c>
      <c r="J20" s="9"/>
      <c r="K20" s="9"/>
      <c r="S20" s="2" t="s">
        <v>55</v>
      </c>
      <c r="U20" t="s">
        <v>29</v>
      </c>
      <c r="V20">
        <v>1.1940724259871067</v>
      </c>
    </row>
    <row r="21" spans="1:22" x14ac:dyDescent="0.3">
      <c r="A21">
        <v>202607</v>
      </c>
      <c r="B21" t="s">
        <v>255</v>
      </c>
      <c r="C21">
        <v>1768959366</v>
      </c>
      <c r="D21" t="s">
        <v>23</v>
      </c>
      <c r="E21" t="s">
        <v>19</v>
      </c>
      <c r="F21" t="s">
        <v>177</v>
      </c>
      <c r="G21" s="8">
        <v>0.5</v>
      </c>
      <c r="H21" s="29">
        <v>1.55</v>
      </c>
      <c r="J21" s="9"/>
      <c r="K21" s="9"/>
      <c r="S21" s="2" t="s">
        <v>30</v>
      </c>
      <c r="U21" t="s">
        <v>31</v>
      </c>
      <c r="V21">
        <v>2.7470303438054513</v>
      </c>
    </row>
    <row r="22" spans="1:22" x14ac:dyDescent="0.3">
      <c r="A22">
        <v>202607</v>
      </c>
      <c r="B22" t="s">
        <v>255</v>
      </c>
      <c r="C22">
        <v>1768985847</v>
      </c>
      <c r="D22" t="s">
        <v>18</v>
      </c>
      <c r="E22" t="s">
        <v>24</v>
      </c>
      <c r="F22" t="s">
        <v>164</v>
      </c>
      <c r="G22" s="8">
        <v>1.4963486334</v>
      </c>
      <c r="H22" s="29">
        <v>1.7</v>
      </c>
      <c r="J22" s="9"/>
      <c r="K22" s="9"/>
      <c r="S22" s="2" t="s">
        <v>96</v>
      </c>
      <c r="U22" t="s">
        <v>32</v>
      </c>
      <c r="V22">
        <v>2.4818507118473381</v>
      </c>
    </row>
    <row r="23" spans="1:22" x14ac:dyDescent="0.3">
      <c r="A23">
        <v>202607</v>
      </c>
      <c r="B23" t="s">
        <v>17</v>
      </c>
      <c r="C23">
        <v>1768891699</v>
      </c>
      <c r="D23" t="s">
        <v>18</v>
      </c>
      <c r="E23" t="s">
        <v>34</v>
      </c>
      <c r="F23" t="s">
        <v>118</v>
      </c>
      <c r="G23" s="8">
        <v>8.1121884800000002E-2</v>
      </c>
      <c r="H23" s="29">
        <v>2.75</v>
      </c>
      <c r="J23" s="9"/>
      <c r="K23" s="9"/>
      <c r="S23" s="2" t="s">
        <v>237</v>
      </c>
      <c r="U23" t="s">
        <v>33</v>
      </c>
      <c r="V23">
        <v>2.2475108275483411</v>
      </c>
    </row>
    <row r="24" spans="1:22" x14ac:dyDescent="0.3">
      <c r="A24">
        <v>202607</v>
      </c>
      <c r="B24" t="s">
        <v>17</v>
      </c>
      <c r="C24">
        <v>1768941660</v>
      </c>
      <c r="D24" t="s">
        <v>18</v>
      </c>
      <c r="E24" t="s">
        <v>34</v>
      </c>
      <c r="F24" t="s">
        <v>160</v>
      </c>
      <c r="G24" s="8">
        <v>0.13877682419000001</v>
      </c>
      <c r="H24" s="29">
        <v>3.5</v>
      </c>
      <c r="J24" s="9"/>
      <c r="K24" s="9"/>
      <c r="S24" s="2" t="s">
        <v>25</v>
      </c>
      <c r="U24" t="s">
        <v>35</v>
      </c>
      <c r="V24">
        <v>1.3588268129797207</v>
      </c>
    </row>
    <row r="25" spans="1:22" x14ac:dyDescent="0.3">
      <c r="A25">
        <v>202607</v>
      </c>
      <c r="B25" t="s">
        <v>17</v>
      </c>
      <c r="C25">
        <v>1768950350</v>
      </c>
      <c r="D25" t="s">
        <v>18</v>
      </c>
      <c r="E25" t="s">
        <v>34</v>
      </c>
      <c r="F25" t="s">
        <v>118</v>
      </c>
      <c r="G25" s="8">
        <v>6.013994474E-2</v>
      </c>
      <c r="H25" s="29">
        <v>2.75</v>
      </c>
      <c r="J25" s="9"/>
      <c r="K25" s="9"/>
      <c r="S25" s="2" t="s">
        <v>36</v>
      </c>
      <c r="U25" t="s">
        <v>36</v>
      </c>
      <c r="V25">
        <v>1.4</v>
      </c>
    </row>
    <row r="26" spans="1:22" x14ac:dyDescent="0.3">
      <c r="A26">
        <v>202607</v>
      </c>
      <c r="B26" t="s">
        <v>17</v>
      </c>
      <c r="C26">
        <v>1768959277</v>
      </c>
      <c r="D26" t="s">
        <v>18</v>
      </c>
      <c r="E26" t="s">
        <v>19</v>
      </c>
      <c r="F26" t="s">
        <v>172</v>
      </c>
      <c r="G26" s="8">
        <v>0.17005000000000001</v>
      </c>
      <c r="H26" s="29">
        <v>5.9</v>
      </c>
      <c r="J26" s="9"/>
      <c r="K26" s="9"/>
      <c r="S26" s="2" t="s">
        <v>117</v>
      </c>
      <c r="U26" t="s">
        <v>37</v>
      </c>
      <c r="V26">
        <v>2.2000000000000002</v>
      </c>
    </row>
    <row r="27" spans="1:22" x14ac:dyDescent="0.3">
      <c r="A27">
        <v>202607</v>
      </c>
      <c r="B27" t="s">
        <v>17</v>
      </c>
      <c r="C27">
        <v>1769028315</v>
      </c>
      <c r="D27" t="s">
        <v>23</v>
      </c>
      <c r="E27" t="s">
        <v>19</v>
      </c>
      <c r="F27" t="s">
        <v>191</v>
      </c>
      <c r="G27" s="8">
        <v>1.4999999999999999E-2</v>
      </c>
      <c r="H27" s="29">
        <v>3</v>
      </c>
      <c r="J27" s="9"/>
      <c r="K27" s="9"/>
      <c r="S27" s="2" t="s">
        <v>37</v>
      </c>
      <c r="U27" t="s">
        <v>39</v>
      </c>
      <c r="V27">
        <v>2.2999999999999998</v>
      </c>
    </row>
    <row r="28" spans="1:22" x14ac:dyDescent="0.3">
      <c r="A28">
        <v>202607</v>
      </c>
      <c r="B28" t="s">
        <v>55</v>
      </c>
      <c r="C28">
        <v>1764780050</v>
      </c>
      <c r="D28" t="s">
        <v>18</v>
      </c>
      <c r="E28" t="s">
        <v>24</v>
      </c>
      <c r="F28" t="s">
        <v>65</v>
      </c>
      <c r="G28" s="8">
        <v>0.17258443395</v>
      </c>
      <c r="H28" s="29">
        <v>2.74</v>
      </c>
      <c r="J28" s="9"/>
      <c r="K28" s="9"/>
      <c r="S28" s="2" t="s">
        <v>144</v>
      </c>
      <c r="U28" t="s">
        <v>40</v>
      </c>
      <c r="V28">
        <v>1.395144852541258</v>
      </c>
    </row>
    <row r="29" spans="1:22" x14ac:dyDescent="0.3">
      <c r="A29">
        <v>202607</v>
      </c>
      <c r="B29" t="s">
        <v>55</v>
      </c>
      <c r="C29">
        <v>1768856150</v>
      </c>
      <c r="D29" t="s">
        <v>18</v>
      </c>
      <c r="E29" t="s">
        <v>19</v>
      </c>
      <c r="F29" t="s">
        <v>63</v>
      </c>
      <c r="G29" s="8">
        <v>1.0206</v>
      </c>
      <c r="H29" s="29">
        <v>1</v>
      </c>
      <c r="S29" s="2" t="s">
        <v>32</v>
      </c>
      <c r="U29" t="s">
        <v>26</v>
      </c>
      <c r="V29">
        <v>1.55</v>
      </c>
    </row>
    <row r="30" spans="1:22" x14ac:dyDescent="0.3">
      <c r="A30">
        <v>202607</v>
      </c>
      <c r="B30" t="s">
        <v>55</v>
      </c>
      <c r="C30">
        <v>1768937893</v>
      </c>
      <c r="D30" t="s">
        <v>18</v>
      </c>
      <c r="E30" t="s">
        <v>24</v>
      </c>
      <c r="F30" t="s">
        <v>65</v>
      </c>
      <c r="G30" s="8">
        <v>0.69095532900000001</v>
      </c>
      <c r="H30" s="29">
        <v>2.74</v>
      </c>
      <c r="S30" s="2" t="s">
        <v>33</v>
      </c>
      <c r="U30" t="s">
        <v>28</v>
      </c>
      <c r="V30">
        <v>1.6</v>
      </c>
    </row>
    <row r="31" spans="1:22" x14ac:dyDescent="0.3">
      <c r="A31">
        <v>202607</v>
      </c>
      <c r="B31" t="s">
        <v>55</v>
      </c>
      <c r="C31">
        <v>1768957975</v>
      </c>
      <c r="D31" t="s">
        <v>18</v>
      </c>
      <c r="E31" t="s">
        <v>24</v>
      </c>
      <c r="F31" t="s">
        <v>65</v>
      </c>
      <c r="G31" s="8">
        <v>0.5638636935000001</v>
      </c>
      <c r="H31" s="29">
        <v>2.74</v>
      </c>
      <c r="S31" s="2" t="s">
        <v>107</v>
      </c>
      <c r="U31" t="s">
        <v>30</v>
      </c>
      <c r="V31">
        <v>1.75</v>
      </c>
    </row>
    <row r="32" spans="1:22" x14ac:dyDescent="0.3">
      <c r="A32">
        <v>202607</v>
      </c>
      <c r="B32" t="s">
        <v>55</v>
      </c>
      <c r="C32">
        <v>1768963649</v>
      </c>
      <c r="D32" t="s">
        <v>23</v>
      </c>
      <c r="E32" t="s">
        <v>19</v>
      </c>
      <c r="F32" t="s">
        <v>173</v>
      </c>
      <c r="G32" s="8">
        <v>0.82</v>
      </c>
      <c r="H32" s="29">
        <v>2</v>
      </c>
      <c r="S32" s="2" t="s">
        <v>41</v>
      </c>
      <c r="U32" t="s">
        <v>38</v>
      </c>
      <c r="V32">
        <v>2.4</v>
      </c>
    </row>
    <row r="33" spans="1:19" x14ac:dyDescent="0.3">
      <c r="A33">
        <v>202607</v>
      </c>
      <c r="B33" t="s">
        <v>55</v>
      </c>
      <c r="C33">
        <v>1768999490</v>
      </c>
      <c r="D33" t="s">
        <v>18</v>
      </c>
      <c r="E33" t="s">
        <v>24</v>
      </c>
      <c r="F33" t="s">
        <v>65</v>
      </c>
      <c r="G33" s="8">
        <v>0.17189801999999998</v>
      </c>
      <c r="H33" s="29">
        <v>2.74</v>
      </c>
      <c r="S33" s="2" t="s">
        <v>27</v>
      </c>
    </row>
    <row r="34" spans="1:19" x14ac:dyDescent="0.3">
      <c r="A34">
        <v>202607</v>
      </c>
      <c r="B34" t="s">
        <v>55</v>
      </c>
      <c r="C34">
        <v>1769040510</v>
      </c>
      <c r="D34" t="s">
        <v>23</v>
      </c>
      <c r="E34" t="s">
        <v>19</v>
      </c>
      <c r="F34" t="s">
        <v>192</v>
      </c>
      <c r="G34" s="8">
        <v>0.65</v>
      </c>
      <c r="H34" s="29">
        <v>2</v>
      </c>
      <c r="S34" s="2" t="s">
        <v>114</v>
      </c>
    </row>
    <row r="35" spans="1:19" x14ac:dyDescent="0.3">
      <c r="A35">
        <v>202607</v>
      </c>
      <c r="B35" t="s">
        <v>55</v>
      </c>
      <c r="C35">
        <v>1769041419</v>
      </c>
      <c r="D35" t="s">
        <v>18</v>
      </c>
      <c r="E35" t="s">
        <v>24</v>
      </c>
      <c r="F35" t="s">
        <v>65</v>
      </c>
      <c r="G35" s="8">
        <v>0.12202167600000001</v>
      </c>
      <c r="H35" s="29">
        <v>2.79</v>
      </c>
      <c r="S35" s="2" t="s">
        <v>56</v>
      </c>
    </row>
    <row r="36" spans="1:19" x14ac:dyDescent="0.3">
      <c r="A36">
        <v>202607</v>
      </c>
      <c r="B36" t="s">
        <v>55</v>
      </c>
      <c r="C36">
        <v>1769041524</v>
      </c>
      <c r="D36" t="s">
        <v>18</v>
      </c>
      <c r="E36" t="s">
        <v>24</v>
      </c>
      <c r="F36" t="s">
        <v>193</v>
      </c>
      <c r="G36" s="8">
        <v>1.698</v>
      </c>
      <c r="H36" s="29">
        <v>3.35</v>
      </c>
      <c r="S36" s="2" t="s">
        <v>115</v>
      </c>
    </row>
    <row r="37" spans="1:19" x14ac:dyDescent="0.3">
      <c r="A37">
        <v>202607</v>
      </c>
      <c r="B37" t="s">
        <v>55</v>
      </c>
      <c r="C37">
        <v>1769042385</v>
      </c>
      <c r="D37" t="s">
        <v>18</v>
      </c>
      <c r="E37" t="s">
        <v>24</v>
      </c>
      <c r="F37" t="s">
        <v>194</v>
      </c>
      <c r="G37" s="8">
        <v>1.3272111359999998</v>
      </c>
      <c r="H37" s="29">
        <v>2.25</v>
      </c>
      <c r="S37" s="2" t="s">
        <v>40</v>
      </c>
    </row>
    <row r="38" spans="1:19" x14ac:dyDescent="0.3">
      <c r="A38">
        <v>202607</v>
      </c>
      <c r="B38" t="s">
        <v>55</v>
      </c>
      <c r="C38">
        <v>1769048383</v>
      </c>
      <c r="D38" t="s">
        <v>18</v>
      </c>
      <c r="E38" t="s">
        <v>24</v>
      </c>
      <c r="F38" t="s">
        <v>194</v>
      </c>
      <c r="G38" s="8">
        <v>1.52269192572</v>
      </c>
      <c r="H38" s="29">
        <v>2.15</v>
      </c>
      <c r="S38" s="2" t="s">
        <v>116</v>
      </c>
    </row>
    <row r="39" spans="1:19" x14ac:dyDescent="0.3">
      <c r="A39">
        <v>202607</v>
      </c>
      <c r="B39" t="s">
        <v>30</v>
      </c>
      <c r="C39">
        <v>1764742540</v>
      </c>
      <c r="D39" t="s">
        <v>18</v>
      </c>
      <c r="E39" t="s">
        <v>34</v>
      </c>
      <c r="F39" t="s">
        <v>109</v>
      </c>
      <c r="G39" s="8">
        <v>0.229630053</v>
      </c>
      <c r="H39" s="29">
        <v>2.85</v>
      </c>
      <c r="S39" s="2" t="s">
        <v>42</v>
      </c>
    </row>
    <row r="40" spans="1:19" x14ac:dyDescent="0.3">
      <c r="A40">
        <v>202607</v>
      </c>
      <c r="B40" t="s">
        <v>30</v>
      </c>
      <c r="C40">
        <v>1768858497</v>
      </c>
      <c r="D40" t="s">
        <v>18</v>
      </c>
      <c r="E40" t="s">
        <v>24</v>
      </c>
      <c r="F40" t="s">
        <v>98</v>
      </c>
      <c r="G40" s="8">
        <v>0.6804</v>
      </c>
      <c r="H40" s="29">
        <v>1.03</v>
      </c>
      <c r="S40" s="2" t="s">
        <v>43</v>
      </c>
    </row>
    <row r="41" spans="1:19" x14ac:dyDescent="0.3">
      <c r="A41">
        <v>202607</v>
      </c>
      <c r="B41" t="s">
        <v>30</v>
      </c>
      <c r="C41">
        <v>1768866295</v>
      </c>
      <c r="D41" t="s">
        <v>23</v>
      </c>
      <c r="E41" t="s">
        <v>19</v>
      </c>
      <c r="F41" t="s">
        <v>119</v>
      </c>
      <c r="G41" s="8">
        <v>1</v>
      </c>
      <c r="H41" s="29">
        <v>0.35</v>
      </c>
    </row>
    <row r="42" spans="1:19" x14ac:dyDescent="0.3">
      <c r="A42">
        <v>202607</v>
      </c>
      <c r="B42" t="s">
        <v>30</v>
      </c>
      <c r="C42">
        <v>1768867003</v>
      </c>
      <c r="D42" t="s">
        <v>23</v>
      </c>
      <c r="E42" t="s">
        <v>19</v>
      </c>
      <c r="F42" t="s">
        <v>119</v>
      </c>
      <c r="G42" s="8">
        <v>1</v>
      </c>
      <c r="H42" s="29">
        <v>0.35</v>
      </c>
    </row>
    <row r="43" spans="1:19" x14ac:dyDescent="0.3">
      <c r="A43">
        <v>202607</v>
      </c>
      <c r="B43" t="s">
        <v>30</v>
      </c>
      <c r="C43">
        <v>1768882370</v>
      </c>
      <c r="D43" t="s">
        <v>23</v>
      </c>
      <c r="E43" t="s">
        <v>19</v>
      </c>
      <c r="F43" t="s">
        <v>68</v>
      </c>
      <c r="G43" s="8">
        <v>0.63200000000000001</v>
      </c>
      <c r="H43" s="29">
        <v>3.65</v>
      </c>
    </row>
    <row r="44" spans="1:19" x14ac:dyDescent="0.3">
      <c r="A44">
        <v>202607</v>
      </c>
      <c r="B44" t="s">
        <v>30</v>
      </c>
      <c r="C44">
        <v>1768888612</v>
      </c>
      <c r="D44" t="s">
        <v>23</v>
      </c>
      <c r="E44" t="s">
        <v>34</v>
      </c>
      <c r="F44" t="s">
        <v>68</v>
      </c>
      <c r="G44" s="8">
        <v>0.36991934000000004</v>
      </c>
      <c r="H44" s="29">
        <v>4.38</v>
      </c>
    </row>
    <row r="45" spans="1:19" x14ac:dyDescent="0.3">
      <c r="A45">
        <v>202607</v>
      </c>
      <c r="B45" t="s">
        <v>30</v>
      </c>
      <c r="C45">
        <v>1768905282</v>
      </c>
      <c r="D45" t="s">
        <v>23</v>
      </c>
      <c r="E45" t="s">
        <v>24</v>
      </c>
      <c r="F45" t="s">
        <v>69</v>
      </c>
      <c r="G45" s="8">
        <v>0.17</v>
      </c>
      <c r="H45" s="29">
        <v>3</v>
      </c>
    </row>
    <row r="46" spans="1:19" x14ac:dyDescent="0.3">
      <c r="A46">
        <v>202607</v>
      </c>
      <c r="B46" t="s">
        <v>30</v>
      </c>
      <c r="C46">
        <v>1768905363</v>
      </c>
      <c r="D46" t="s">
        <v>18</v>
      </c>
      <c r="E46" t="s">
        <v>19</v>
      </c>
      <c r="F46" t="s">
        <v>120</v>
      </c>
      <c r="G46" s="8">
        <v>0.67720000000000002</v>
      </c>
      <c r="H46" s="29">
        <v>3.4</v>
      </c>
    </row>
    <row r="47" spans="1:19" x14ac:dyDescent="0.3">
      <c r="A47">
        <v>202607</v>
      </c>
      <c r="B47" t="s">
        <v>30</v>
      </c>
      <c r="C47">
        <v>1768926247</v>
      </c>
      <c r="D47" t="s">
        <v>18</v>
      </c>
      <c r="E47" t="s">
        <v>24</v>
      </c>
      <c r="F47" t="s">
        <v>138</v>
      </c>
      <c r="G47" s="8">
        <v>0.34050000000000002</v>
      </c>
      <c r="H47" s="29">
        <v>5.45</v>
      </c>
    </row>
    <row r="48" spans="1:19" x14ac:dyDescent="0.3">
      <c r="A48">
        <v>202607</v>
      </c>
      <c r="B48" t="s">
        <v>30</v>
      </c>
      <c r="C48">
        <v>1768940983</v>
      </c>
      <c r="D48" t="s">
        <v>18</v>
      </c>
      <c r="E48" t="s">
        <v>34</v>
      </c>
      <c r="F48" t="s">
        <v>109</v>
      </c>
      <c r="G48" s="8">
        <v>0.56155860206999997</v>
      </c>
      <c r="H48" s="29">
        <v>2.95</v>
      </c>
    </row>
    <row r="49" spans="1:8" x14ac:dyDescent="0.3">
      <c r="A49">
        <v>202607</v>
      </c>
      <c r="B49" t="s">
        <v>30</v>
      </c>
      <c r="C49">
        <v>1768949204</v>
      </c>
      <c r="D49" t="s">
        <v>18</v>
      </c>
      <c r="E49" t="s">
        <v>24</v>
      </c>
      <c r="F49" t="s">
        <v>161</v>
      </c>
      <c r="G49" s="8">
        <v>0.69074543999999993</v>
      </c>
      <c r="H49" s="29">
        <v>1.35</v>
      </c>
    </row>
    <row r="50" spans="1:8" x14ac:dyDescent="0.3">
      <c r="A50">
        <v>202607</v>
      </c>
      <c r="B50" t="s">
        <v>30</v>
      </c>
      <c r="C50">
        <v>1768950385</v>
      </c>
      <c r="D50" t="s">
        <v>18</v>
      </c>
      <c r="E50" t="s">
        <v>24</v>
      </c>
      <c r="F50" t="s">
        <v>162</v>
      </c>
      <c r="G50" s="8">
        <v>3.3980000000000001</v>
      </c>
      <c r="H50" s="29">
        <v>0.25</v>
      </c>
    </row>
    <row r="51" spans="1:8" x14ac:dyDescent="0.3">
      <c r="A51">
        <v>202607</v>
      </c>
      <c r="B51" t="s">
        <v>30</v>
      </c>
      <c r="C51">
        <v>1768950407</v>
      </c>
      <c r="D51" t="s">
        <v>18</v>
      </c>
      <c r="E51" t="s">
        <v>24</v>
      </c>
      <c r="F51" t="s">
        <v>162</v>
      </c>
      <c r="G51" s="8">
        <v>1.6990000000000001</v>
      </c>
      <c r="H51" s="29">
        <v>0.25</v>
      </c>
    </row>
    <row r="52" spans="1:8" x14ac:dyDescent="0.3">
      <c r="A52">
        <v>202607</v>
      </c>
      <c r="B52" t="s">
        <v>30</v>
      </c>
      <c r="C52">
        <v>1768958084</v>
      </c>
      <c r="D52" t="s">
        <v>18</v>
      </c>
      <c r="E52" t="s">
        <v>24</v>
      </c>
      <c r="F52" t="s">
        <v>174</v>
      </c>
      <c r="G52" s="8">
        <v>0.85024999999999995</v>
      </c>
      <c r="H52" s="29">
        <v>0.35</v>
      </c>
    </row>
    <row r="53" spans="1:8" x14ac:dyDescent="0.3">
      <c r="A53">
        <v>202607</v>
      </c>
      <c r="B53" t="s">
        <v>30</v>
      </c>
      <c r="C53">
        <v>1768966214</v>
      </c>
      <c r="D53" t="s">
        <v>18</v>
      </c>
      <c r="E53" t="s">
        <v>34</v>
      </c>
      <c r="F53" t="s">
        <v>109</v>
      </c>
      <c r="G53" s="8">
        <v>0.73000339800000003</v>
      </c>
      <c r="H53" s="29">
        <v>2.95</v>
      </c>
    </row>
    <row r="54" spans="1:8" x14ac:dyDescent="0.3">
      <c r="A54">
        <v>202607</v>
      </c>
      <c r="B54" t="s">
        <v>30</v>
      </c>
      <c r="C54">
        <v>1768984239</v>
      </c>
      <c r="D54" t="s">
        <v>18</v>
      </c>
      <c r="E54" t="s">
        <v>19</v>
      </c>
      <c r="F54" t="s">
        <v>175</v>
      </c>
      <c r="G54" s="8">
        <v>0.34050000000000002</v>
      </c>
      <c r="H54" s="29">
        <v>2.87</v>
      </c>
    </row>
    <row r="55" spans="1:8" x14ac:dyDescent="0.3">
      <c r="A55">
        <v>202607</v>
      </c>
      <c r="B55" t="s">
        <v>30</v>
      </c>
      <c r="C55">
        <v>1768984344</v>
      </c>
      <c r="D55" t="s">
        <v>18</v>
      </c>
      <c r="E55" t="s">
        <v>24</v>
      </c>
      <c r="F55" t="s">
        <v>176</v>
      </c>
      <c r="G55" s="8">
        <v>0.52150299</v>
      </c>
      <c r="H55" s="29">
        <v>3.84</v>
      </c>
    </row>
    <row r="56" spans="1:8" x14ac:dyDescent="0.3">
      <c r="A56">
        <v>202607</v>
      </c>
      <c r="B56" t="s">
        <v>30</v>
      </c>
      <c r="C56">
        <v>1768984646</v>
      </c>
      <c r="D56" t="s">
        <v>18</v>
      </c>
      <c r="E56" t="s">
        <v>24</v>
      </c>
      <c r="F56" t="s">
        <v>174</v>
      </c>
      <c r="G56" s="8">
        <v>0.85124999999999995</v>
      </c>
      <c r="H56" s="29">
        <v>0.35</v>
      </c>
    </row>
    <row r="57" spans="1:8" x14ac:dyDescent="0.3">
      <c r="A57">
        <v>202607</v>
      </c>
      <c r="B57" t="s">
        <v>30</v>
      </c>
      <c r="C57">
        <v>1769049045</v>
      </c>
      <c r="D57" t="s">
        <v>18</v>
      </c>
      <c r="E57" t="s">
        <v>24</v>
      </c>
      <c r="F57" t="s">
        <v>195</v>
      </c>
      <c r="G57" s="8">
        <v>1.38424356</v>
      </c>
      <c r="H57" s="29">
        <v>0.95</v>
      </c>
    </row>
    <row r="58" spans="1:8" x14ac:dyDescent="0.3">
      <c r="A58">
        <v>202607</v>
      </c>
      <c r="B58" t="s">
        <v>30</v>
      </c>
      <c r="C58">
        <v>1769049193</v>
      </c>
      <c r="D58" t="s">
        <v>18</v>
      </c>
      <c r="E58" t="s">
        <v>24</v>
      </c>
      <c r="F58" t="s">
        <v>195</v>
      </c>
      <c r="G58" s="8">
        <v>0.76489466399999995</v>
      </c>
      <c r="H58" s="29">
        <v>0.95</v>
      </c>
    </row>
    <row r="59" spans="1:8" x14ac:dyDescent="0.3">
      <c r="A59">
        <v>202607</v>
      </c>
      <c r="B59" t="s">
        <v>96</v>
      </c>
      <c r="C59">
        <v>1764734360</v>
      </c>
      <c r="D59" t="s">
        <v>18</v>
      </c>
      <c r="E59" t="s">
        <v>34</v>
      </c>
      <c r="F59" t="s">
        <v>121</v>
      </c>
      <c r="G59" s="8">
        <v>2.8933468590000001E-2</v>
      </c>
      <c r="H59" s="29">
        <v>9</v>
      </c>
    </row>
    <row r="60" spans="1:8" x14ac:dyDescent="0.3">
      <c r="A60">
        <v>202607</v>
      </c>
      <c r="B60" t="s">
        <v>96</v>
      </c>
      <c r="C60">
        <v>1764736656</v>
      </c>
      <c r="D60" t="s">
        <v>23</v>
      </c>
      <c r="E60" t="s">
        <v>34</v>
      </c>
      <c r="F60" t="s">
        <v>121</v>
      </c>
      <c r="G60" s="8">
        <v>7.9499559999999997E-2</v>
      </c>
      <c r="H60" s="29">
        <v>9.15</v>
      </c>
    </row>
    <row r="61" spans="1:8" x14ac:dyDescent="0.3">
      <c r="A61">
        <v>202607</v>
      </c>
      <c r="B61" t="s">
        <v>96</v>
      </c>
      <c r="C61">
        <v>1768850534</v>
      </c>
      <c r="D61" t="s">
        <v>18</v>
      </c>
      <c r="E61" t="s">
        <v>34</v>
      </c>
      <c r="F61" t="s">
        <v>121</v>
      </c>
      <c r="G61" s="8">
        <v>1.1510590770000001E-2</v>
      </c>
      <c r="H61" s="29">
        <v>9.4</v>
      </c>
    </row>
    <row r="62" spans="1:8" x14ac:dyDescent="0.3">
      <c r="A62">
        <v>202607</v>
      </c>
      <c r="B62" t="s">
        <v>96</v>
      </c>
      <c r="C62">
        <v>1768854017</v>
      </c>
      <c r="D62" t="s">
        <v>23</v>
      </c>
      <c r="E62" t="s">
        <v>34</v>
      </c>
      <c r="F62" t="s">
        <v>121</v>
      </c>
      <c r="G62" s="8">
        <v>3.1022209999999998E-2</v>
      </c>
      <c r="H62" s="29">
        <v>9.15</v>
      </c>
    </row>
    <row r="63" spans="1:8" x14ac:dyDescent="0.3">
      <c r="A63">
        <v>202607</v>
      </c>
      <c r="B63" t="s">
        <v>96</v>
      </c>
      <c r="C63">
        <v>1768914826</v>
      </c>
      <c r="D63" t="s">
        <v>18</v>
      </c>
      <c r="E63" t="s">
        <v>34</v>
      </c>
      <c r="F63" t="s">
        <v>121</v>
      </c>
      <c r="G63" s="8">
        <v>2.3200058879999999E-2</v>
      </c>
      <c r="H63" s="29">
        <v>9</v>
      </c>
    </row>
    <row r="64" spans="1:8" x14ac:dyDescent="0.3">
      <c r="A64">
        <v>202607</v>
      </c>
      <c r="B64" t="s">
        <v>96</v>
      </c>
      <c r="C64">
        <v>1768916160</v>
      </c>
      <c r="D64" t="s">
        <v>18</v>
      </c>
      <c r="E64" t="s">
        <v>34</v>
      </c>
      <c r="F64" t="s">
        <v>139</v>
      </c>
      <c r="G64" s="8">
        <v>4.4265769599999998E-2</v>
      </c>
      <c r="H64" s="29">
        <v>5.15</v>
      </c>
    </row>
    <row r="65" spans="1:8" x14ac:dyDescent="0.3">
      <c r="A65">
        <v>202607</v>
      </c>
      <c r="B65" t="s">
        <v>96</v>
      </c>
      <c r="C65">
        <v>1768917280</v>
      </c>
      <c r="D65" t="s">
        <v>23</v>
      </c>
      <c r="E65" t="s">
        <v>34</v>
      </c>
      <c r="F65" t="s">
        <v>121</v>
      </c>
      <c r="G65" s="8">
        <v>2.2376009999999998E-2</v>
      </c>
      <c r="H65" s="29">
        <v>9.15</v>
      </c>
    </row>
    <row r="66" spans="1:8" x14ac:dyDescent="0.3">
      <c r="A66">
        <v>202607</v>
      </c>
      <c r="B66" t="s">
        <v>96</v>
      </c>
      <c r="C66">
        <v>1768917299</v>
      </c>
      <c r="D66" t="s">
        <v>18</v>
      </c>
      <c r="E66" t="s">
        <v>34</v>
      </c>
      <c r="F66" t="s">
        <v>121</v>
      </c>
      <c r="G66" s="8">
        <v>1.199658816E-2</v>
      </c>
      <c r="H66" s="29">
        <v>9.15</v>
      </c>
    </row>
    <row r="67" spans="1:8" x14ac:dyDescent="0.3">
      <c r="A67">
        <v>202607</v>
      </c>
      <c r="B67" t="s">
        <v>96</v>
      </c>
      <c r="C67">
        <v>1768941220</v>
      </c>
      <c r="D67" t="s">
        <v>18</v>
      </c>
      <c r="E67" t="s">
        <v>34</v>
      </c>
      <c r="F67" t="s">
        <v>139</v>
      </c>
      <c r="G67" s="8">
        <v>2.5771735720000001E-2</v>
      </c>
      <c r="H67" s="29">
        <v>5.15</v>
      </c>
    </row>
    <row r="68" spans="1:8" x14ac:dyDescent="0.3">
      <c r="A68">
        <v>202607</v>
      </c>
      <c r="B68" t="s">
        <v>96</v>
      </c>
      <c r="C68">
        <v>1768950008</v>
      </c>
      <c r="D68" t="s">
        <v>23</v>
      </c>
      <c r="E68" t="s">
        <v>34</v>
      </c>
      <c r="F68" t="s">
        <v>163</v>
      </c>
      <c r="G68" s="8">
        <v>0.3974994</v>
      </c>
      <c r="H68" s="29">
        <v>5.15</v>
      </c>
    </row>
    <row r="69" spans="1:8" x14ac:dyDescent="0.3">
      <c r="A69">
        <v>202607</v>
      </c>
      <c r="B69" t="s">
        <v>96</v>
      </c>
      <c r="C69">
        <v>1768959234</v>
      </c>
      <c r="D69" t="s">
        <v>18</v>
      </c>
      <c r="E69" t="s">
        <v>34</v>
      </c>
      <c r="F69" t="s">
        <v>139</v>
      </c>
      <c r="G69" s="8">
        <v>2.3861109910000001E-2</v>
      </c>
      <c r="H69" s="29">
        <v>5.2</v>
      </c>
    </row>
    <row r="70" spans="1:8" x14ac:dyDescent="0.3">
      <c r="A70">
        <v>202607</v>
      </c>
      <c r="B70" t="s">
        <v>96</v>
      </c>
      <c r="C70">
        <v>1768959323</v>
      </c>
      <c r="D70" t="s">
        <v>23</v>
      </c>
      <c r="E70" t="s">
        <v>34</v>
      </c>
      <c r="F70" t="s">
        <v>121</v>
      </c>
      <c r="G70" s="8">
        <v>5.6106929999999999E-2</v>
      </c>
      <c r="H70" s="29">
        <v>9.15</v>
      </c>
    </row>
    <row r="71" spans="1:8" x14ac:dyDescent="0.3">
      <c r="A71">
        <v>202607</v>
      </c>
      <c r="B71" t="s">
        <v>96</v>
      </c>
      <c r="C71">
        <v>1768959447</v>
      </c>
      <c r="D71" t="s">
        <v>18</v>
      </c>
      <c r="E71" t="s">
        <v>34</v>
      </c>
      <c r="F71" t="s">
        <v>121</v>
      </c>
      <c r="G71" s="8">
        <v>7.0685533750000001E-2</v>
      </c>
      <c r="H71" s="29">
        <v>9.15</v>
      </c>
    </row>
    <row r="72" spans="1:8" x14ac:dyDescent="0.3">
      <c r="A72">
        <v>202607</v>
      </c>
      <c r="B72" t="s">
        <v>25</v>
      </c>
      <c r="C72">
        <v>1764737318</v>
      </c>
      <c r="D72" t="s">
        <v>23</v>
      </c>
      <c r="E72" t="s">
        <v>19</v>
      </c>
      <c r="F72" t="s">
        <v>99</v>
      </c>
      <c r="G72" s="8">
        <v>4.0999999999999996</v>
      </c>
      <c r="H72" s="29">
        <v>0.4</v>
      </c>
    </row>
    <row r="73" spans="1:8" x14ac:dyDescent="0.3">
      <c r="A73">
        <v>202607</v>
      </c>
      <c r="B73" t="s">
        <v>25</v>
      </c>
      <c r="C73">
        <v>1764777610</v>
      </c>
      <c r="D73" t="s">
        <v>18</v>
      </c>
      <c r="E73" t="s">
        <v>24</v>
      </c>
      <c r="F73" t="s">
        <v>72</v>
      </c>
      <c r="G73" s="8">
        <v>2.7240000000000002</v>
      </c>
      <c r="H73" s="29">
        <v>3.9</v>
      </c>
    </row>
    <row r="74" spans="1:8" x14ac:dyDescent="0.3">
      <c r="A74">
        <v>202607</v>
      </c>
      <c r="B74" t="s">
        <v>25</v>
      </c>
      <c r="C74">
        <v>1764777646</v>
      </c>
      <c r="D74" t="s">
        <v>18</v>
      </c>
      <c r="E74" t="s">
        <v>24</v>
      </c>
      <c r="F74" t="s">
        <v>72</v>
      </c>
      <c r="G74" s="8">
        <v>2.0430000000000001</v>
      </c>
      <c r="H74" s="29">
        <v>3.9</v>
      </c>
    </row>
    <row r="75" spans="1:8" x14ac:dyDescent="0.3">
      <c r="A75">
        <v>202607</v>
      </c>
      <c r="B75" t="s">
        <v>25</v>
      </c>
      <c r="C75">
        <v>1768832994</v>
      </c>
      <c r="D75" t="s">
        <v>18</v>
      </c>
      <c r="E75" t="s">
        <v>24</v>
      </c>
      <c r="F75" t="s">
        <v>122</v>
      </c>
      <c r="G75" s="8">
        <v>1.73655</v>
      </c>
      <c r="H75" s="29">
        <v>1.1000000000000001</v>
      </c>
    </row>
    <row r="76" spans="1:8" x14ac:dyDescent="0.3">
      <c r="A76">
        <v>202607</v>
      </c>
      <c r="B76" t="s">
        <v>25</v>
      </c>
      <c r="C76">
        <v>1768833095</v>
      </c>
      <c r="D76" t="s">
        <v>18</v>
      </c>
      <c r="E76" t="s">
        <v>24</v>
      </c>
      <c r="F76" t="s">
        <v>122</v>
      </c>
      <c r="G76" s="8">
        <v>0.98745000000000005</v>
      </c>
      <c r="H76" s="29">
        <v>1.1000000000000001</v>
      </c>
    </row>
    <row r="77" spans="1:8" x14ac:dyDescent="0.3">
      <c r="A77">
        <v>202607</v>
      </c>
      <c r="B77" t="s">
        <v>25</v>
      </c>
      <c r="C77">
        <v>1768843970</v>
      </c>
      <c r="D77" t="s">
        <v>23</v>
      </c>
      <c r="E77" t="s">
        <v>19</v>
      </c>
      <c r="F77" t="s">
        <v>90</v>
      </c>
      <c r="G77" s="8">
        <v>5.7050000000000001</v>
      </c>
      <c r="H77" s="29">
        <v>2.75</v>
      </c>
    </row>
    <row r="78" spans="1:8" x14ac:dyDescent="0.3">
      <c r="A78">
        <v>202607</v>
      </c>
      <c r="B78" t="s">
        <v>25</v>
      </c>
      <c r="C78">
        <v>1768844062</v>
      </c>
      <c r="D78" t="s">
        <v>23</v>
      </c>
      <c r="E78" t="s">
        <v>19</v>
      </c>
      <c r="F78" t="s">
        <v>90</v>
      </c>
      <c r="G78" s="8">
        <v>6.0949999999999998</v>
      </c>
      <c r="H78" s="29">
        <v>2.75</v>
      </c>
    </row>
    <row r="79" spans="1:8" x14ac:dyDescent="0.3">
      <c r="A79">
        <v>202607</v>
      </c>
      <c r="B79" t="s">
        <v>25</v>
      </c>
      <c r="C79">
        <v>1768854327</v>
      </c>
      <c r="D79" t="s">
        <v>18</v>
      </c>
      <c r="E79" t="s">
        <v>24</v>
      </c>
      <c r="F79" t="s">
        <v>123</v>
      </c>
      <c r="G79" s="8">
        <v>0.36958147506000005</v>
      </c>
      <c r="H79" s="29">
        <v>2</v>
      </c>
    </row>
    <row r="80" spans="1:8" x14ac:dyDescent="0.3">
      <c r="A80">
        <v>202607</v>
      </c>
      <c r="B80" t="s">
        <v>25</v>
      </c>
      <c r="C80">
        <v>1768855366</v>
      </c>
      <c r="D80" t="s">
        <v>18</v>
      </c>
      <c r="E80" t="s">
        <v>24</v>
      </c>
      <c r="F80" t="s">
        <v>73</v>
      </c>
      <c r="G80" s="8">
        <v>0.28554778853999996</v>
      </c>
      <c r="H80" s="29">
        <v>2.9</v>
      </c>
    </row>
    <row r="81" spans="1:8" x14ac:dyDescent="0.3">
      <c r="A81">
        <v>202607</v>
      </c>
      <c r="B81" t="s">
        <v>25</v>
      </c>
      <c r="C81">
        <v>1768855463</v>
      </c>
      <c r="D81" t="s">
        <v>18</v>
      </c>
      <c r="E81" t="s">
        <v>24</v>
      </c>
      <c r="F81" t="s">
        <v>123</v>
      </c>
      <c r="G81" s="8">
        <v>0.73916295012000011</v>
      </c>
      <c r="H81" s="29">
        <v>2.15</v>
      </c>
    </row>
    <row r="82" spans="1:8" x14ac:dyDescent="0.3">
      <c r="A82">
        <v>202607</v>
      </c>
      <c r="B82" t="s">
        <v>25</v>
      </c>
      <c r="C82">
        <v>1768856370</v>
      </c>
      <c r="D82" t="s">
        <v>23</v>
      </c>
      <c r="E82" t="s">
        <v>19</v>
      </c>
      <c r="F82" t="s">
        <v>103</v>
      </c>
      <c r="G82" s="8">
        <v>1.7</v>
      </c>
      <c r="H82" s="29">
        <v>0.6</v>
      </c>
    </row>
    <row r="83" spans="1:8" x14ac:dyDescent="0.3">
      <c r="A83">
        <v>202607</v>
      </c>
      <c r="B83" t="s">
        <v>25</v>
      </c>
      <c r="C83">
        <v>1768858720</v>
      </c>
      <c r="D83" t="s">
        <v>18</v>
      </c>
      <c r="E83" t="s">
        <v>34</v>
      </c>
      <c r="F83" t="s">
        <v>111</v>
      </c>
      <c r="G83" s="8">
        <v>9.2259654479999995E-2</v>
      </c>
      <c r="H83" s="29">
        <v>2.75</v>
      </c>
    </row>
    <row r="84" spans="1:8" x14ac:dyDescent="0.3">
      <c r="A84">
        <v>202607</v>
      </c>
      <c r="B84" t="s">
        <v>25</v>
      </c>
      <c r="C84">
        <v>1768869677</v>
      </c>
      <c r="D84" t="s">
        <v>18</v>
      </c>
      <c r="E84" t="s">
        <v>34</v>
      </c>
      <c r="F84" t="s">
        <v>111</v>
      </c>
      <c r="G84" s="8">
        <v>1.9936691190000001E-2</v>
      </c>
      <c r="H84" s="29">
        <v>2.75</v>
      </c>
    </row>
    <row r="85" spans="1:8" x14ac:dyDescent="0.3">
      <c r="A85">
        <v>202607</v>
      </c>
      <c r="B85" t="s">
        <v>25</v>
      </c>
      <c r="C85">
        <v>1768892903</v>
      </c>
      <c r="D85" t="s">
        <v>18</v>
      </c>
      <c r="E85" t="s">
        <v>24</v>
      </c>
      <c r="F85" t="s">
        <v>123</v>
      </c>
      <c r="G85" s="8">
        <v>0.5411210112</v>
      </c>
      <c r="H85" s="29">
        <v>2</v>
      </c>
    </row>
    <row r="86" spans="1:8" x14ac:dyDescent="0.3">
      <c r="A86">
        <v>202607</v>
      </c>
      <c r="B86" t="s">
        <v>25</v>
      </c>
      <c r="C86">
        <v>1768892910</v>
      </c>
      <c r="D86" t="s">
        <v>18</v>
      </c>
      <c r="E86" t="s">
        <v>24</v>
      </c>
      <c r="F86" t="s">
        <v>123</v>
      </c>
      <c r="G86" s="8">
        <v>1.90733598208</v>
      </c>
      <c r="H86" s="29">
        <v>2</v>
      </c>
    </row>
    <row r="87" spans="1:8" x14ac:dyDescent="0.3">
      <c r="A87">
        <v>202607</v>
      </c>
      <c r="B87" t="s">
        <v>25</v>
      </c>
      <c r="C87">
        <v>1768903743</v>
      </c>
      <c r="D87" t="s">
        <v>23</v>
      </c>
      <c r="E87" t="s">
        <v>19</v>
      </c>
      <c r="F87" t="s">
        <v>74</v>
      </c>
      <c r="G87" s="8">
        <v>3</v>
      </c>
      <c r="H87" s="29">
        <v>0.35</v>
      </c>
    </row>
    <row r="88" spans="1:8" x14ac:dyDescent="0.3">
      <c r="A88">
        <v>202607</v>
      </c>
      <c r="B88" t="s">
        <v>25</v>
      </c>
      <c r="C88">
        <v>1768924937</v>
      </c>
      <c r="D88" t="s">
        <v>18</v>
      </c>
      <c r="E88" t="s">
        <v>24</v>
      </c>
      <c r="F88" t="s">
        <v>123</v>
      </c>
      <c r="G88" s="8">
        <v>0.26701400505</v>
      </c>
      <c r="H88" s="29">
        <v>2</v>
      </c>
    </row>
    <row r="89" spans="1:8" x14ac:dyDescent="0.3">
      <c r="A89">
        <v>202607</v>
      </c>
      <c r="B89" t="s">
        <v>25</v>
      </c>
      <c r="C89">
        <v>1768924945</v>
      </c>
      <c r="D89" t="s">
        <v>18</v>
      </c>
      <c r="E89" t="s">
        <v>24</v>
      </c>
      <c r="F89" t="s">
        <v>123</v>
      </c>
      <c r="G89" s="8">
        <v>2.0354052496499997</v>
      </c>
      <c r="H89" s="29">
        <v>2</v>
      </c>
    </row>
    <row r="90" spans="1:8" x14ac:dyDescent="0.3">
      <c r="A90">
        <v>202607</v>
      </c>
      <c r="B90" t="s">
        <v>25</v>
      </c>
      <c r="C90">
        <v>1768938750</v>
      </c>
      <c r="D90" t="s">
        <v>18</v>
      </c>
      <c r="E90" t="s">
        <v>19</v>
      </c>
      <c r="F90" t="s">
        <v>99</v>
      </c>
      <c r="G90" s="8">
        <v>8.1671999999999993</v>
      </c>
      <c r="H90" s="29">
        <v>0.38</v>
      </c>
    </row>
    <row r="91" spans="1:8" x14ac:dyDescent="0.3">
      <c r="A91">
        <v>202607</v>
      </c>
      <c r="B91" t="s">
        <v>25</v>
      </c>
      <c r="C91">
        <v>1768949484</v>
      </c>
      <c r="D91" t="s">
        <v>18</v>
      </c>
      <c r="E91" t="s">
        <v>24</v>
      </c>
      <c r="F91" t="s">
        <v>123</v>
      </c>
      <c r="G91" s="8">
        <v>6.7960000000000003</v>
      </c>
      <c r="H91" s="29">
        <v>2</v>
      </c>
    </row>
    <row r="92" spans="1:8" x14ac:dyDescent="0.3">
      <c r="A92">
        <v>202607</v>
      </c>
      <c r="B92" t="s">
        <v>25</v>
      </c>
      <c r="C92">
        <v>1768949506</v>
      </c>
      <c r="D92" t="s">
        <v>18</v>
      </c>
      <c r="E92" t="s">
        <v>24</v>
      </c>
      <c r="F92" t="s">
        <v>123</v>
      </c>
      <c r="G92" s="8">
        <v>6.7960000000000003</v>
      </c>
      <c r="H92" s="29">
        <v>2</v>
      </c>
    </row>
    <row r="93" spans="1:8" x14ac:dyDescent="0.3">
      <c r="A93">
        <v>202607</v>
      </c>
      <c r="B93" t="s">
        <v>25</v>
      </c>
      <c r="C93">
        <v>1768953775</v>
      </c>
      <c r="D93" t="s">
        <v>23</v>
      </c>
      <c r="E93" t="s">
        <v>19</v>
      </c>
      <c r="F93" t="s">
        <v>178</v>
      </c>
      <c r="G93" s="8">
        <v>4</v>
      </c>
      <c r="H93" s="29">
        <v>0.6</v>
      </c>
    </row>
    <row r="94" spans="1:8" x14ac:dyDescent="0.3">
      <c r="A94">
        <v>202607</v>
      </c>
      <c r="B94" t="s">
        <v>25</v>
      </c>
      <c r="C94">
        <v>1768958637</v>
      </c>
      <c r="D94" t="s">
        <v>18</v>
      </c>
      <c r="E94" t="s">
        <v>24</v>
      </c>
      <c r="F94" t="s">
        <v>122</v>
      </c>
      <c r="G94" s="8">
        <v>1.73451</v>
      </c>
      <c r="H94" s="29">
        <v>1.05</v>
      </c>
    </row>
    <row r="95" spans="1:8" x14ac:dyDescent="0.3">
      <c r="A95">
        <v>202607</v>
      </c>
      <c r="B95" t="s">
        <v>25</v>
      </c>
      <c r="C95">
        <v>1768965790</v>
      </c>
      <c r="D95" t="s">
        <v>18</v>
      </c>
      <c r="E95" t="s">
        <v>24</v>
      </c>
      <c r="F95" t="s">
        <v>73</v>
      </c>
      <c r="G95" s="8">
        <v>0.18835959465000002</v>
      </c>
      <c r="H95" s="29">
        <v>2.9</v>
      </c>
    </row>
    <row r="96" spans="1:8" x14ac:dyDescent="0.3">
      <c r="A96">
        <v>202607</v>
      </c>
      <c r="B96" t="s">
        <v>25</v>
      </c>
      <c r="C96">
        <v>1769027920</v>
      </c>
      <c r="D96" t="s">
        <v>23</v>
      </c>
      <c r="E96" t="s">
        <v>48</v>
      </c>
      <c r="F96" t="s">
        <v>196</v>
      </c>
      <c r="G96" s="8">
        <v>6</v>
      </c>
      <c r="H96" s="29">
        <v>0.4</v>
      </c>
    </row>
    <row r="97" spans="1:8" x14ac:dyDescent="0.3">
      <c r="A97">
        <v>202607</v>
      </c>
      <c r="B97" t="s">
        <v>25</v>
      </c>
      <c r="C97">
        <v>1769028242</v>
      </c>
      <c r="D97" t="s">
        <v>23</v>
      </c>
      <c r="E97" t="s">
        <v>48</v>
      </c>
      <c r="F97" t="s">
        <v>196</v>
      </c>
      <c r="G97" s="8">
        <v>6</v>
      </c>
      <c r="H97" s="29">
        <v>0.4</v>
      </c>
    </row>
    <row r="98" spans="1:8" x14ac:dyDescent="0.3">
      <c r="A98">
        <v>202607</v>
      </c>
      <c r="B98" t="s">
        <v>25</v>
      </c>
      <c r="C98">
        <v>1769030190</v>
      </c>
      <c r="D98" t="s">
        <v>18</v>
      </c>
      <c r="E98" t="s">
        <v>24</v>
      </c>
      <c r="F98" t="s">
        <v>123</v>
      </c>
      <c r="G98" s="8">
        <v>1.27983429888</v>
      </c>
      <c r="H98" s="29">
        <v>2.0499999999999998</v>
      </c>
    </row>
    <row r="99" spans="1:8" x14ac:dyDescent="0.3">
      <c r="A99">
        <v>202607</v>
      </c>
      <c r="B99" t="s">
        <v>25</v>
      </c>
      <c r="C99">
        <v>1769033610</v>
      </c>
      <c r="D99" t="s">
        <v>18</v>
      </c>
      <c r="E99" t="s">
        <v>24</v>
      </c>
      <c r="F99" t="s">
        <v>123</v>
      </c>
      <c r="G99" s="8">
        <v>1.04513754216</v>
      </c>
      <c r="H99" s="29">
        <v>2.0499999999999998</v>
      </c>
    </row>
    <row r="100" spans="1:8" x14ac:dyDescent="0.3">
      <c r="A100">
        <v>202607</v>
      </c>
      <c r="B100" t="s">
        <v>25</v>
      </c>
      <c r="C100">
        <v>1769034838</v>
      </c>
      <c r="D100" t="s">
        <v>18</v>
      </c>
      <c r="E100" t="s">
        <v>24</v>
      </c>
      <c r="F100" t="s">
        <v>99</v>
      </c>
      <c r="G100" s="8">
        <v>6.8502278159999999E-2</v>
      </c>
      <c r="H100" s="29">
        <v>0.6</v>
      </c>
    </row>
    <row r="101" spans="1:8" x14ac:dyDescent="0.3">
      <c r="A101">
        <v>202607</v>
      </c>
      <c r="B101" t="s">
        <v>25</v>
      </c>
      <c r="C101">
        <v>1769038700</v>
      </c>
      <c r="D101" t="s">
        <v>18</v>
      </c>
      <c r="E101" t="s">
        <v>24</v>
      </c>
      <c r="F101" t="s">
        <v>99</v>
      </c>
      <c r="G101" s="8">
        <v>0.35657911704</v>
      </c>
      <c r="H101" s="29">
        <v>0.6</v>
      </c>
    </row>
    <row r="102" spans="1:8" x14ac:dyDescent="0.3">
      <c r="A102">
        <v>202607</v>
      </c>
      <c r="B102" t="s">
        <v>25</v>
      </c>
      <c r="C102">
        <v>1769038809</v>
      </c>
      <c r="D102" t="s">
        <v>18</v>
      </c>
      <c r="E102" t="s">
        <v>24</v>
      </c>
      <c r="F102" t="s">
        <v>99</v>
      </c>
      <c r="G102" s="8">
        <v>0.9384883356</v>
      </c>
      <c r="H102" s="29">
        <v>0.5</v>
      </c>
    </row>
    <row r="103" spans="1:8" x14ac:dyDescent="0.3">
      <c r="A103">
        <v>202607</v>
      </c>
      <c r="B103" t="s">
        <v>36</v>
      </c>
      <c r="C103">
        <v>1764734475</v>
      </c>
      <c r="D103" t="s">
        <v>23</v>
      </c>
      <c r="E103" t="s">
        <v>19</v>
      </c>
      <c r="F103" t="s">
        <v>97</v>
      </c>
      <c r="G103" s="8">
        <v>0.5</v>
      </c>
      <c r="H103" s="29">
        <v>2.9</v>
      </c>
    </row>
    <row r="104" spans="1:8" x14ac:dyDescent="0.3">
      <c r="A104">
        <v>202607</v>
      </c>
      <c r="B104" t="s">
        <v>36</v>
      </c>
      <c r="C104">
        <v>1764757939</v>
      </c>
      <c r="D104" t="s">
        <v>18</v>
      </c>
      <c r="E104" t="s">
        <v>19</v>
      </c>
      <c r="F104" t="s">
        <v>110</v>
      </c>
      <c r="G104" s="8">
        <v>1.6990000000000001</v>
      </c>
      <c r="H104" s="29">
        <v>1.8</v>
      </c>
    </row>
    <row r="105" spans="1:8" x14ac:dyDescent="0.3">
      <c r="A105">
        <v>202607</v>
      </c>
      <c r="B105" t="s">
        <v>36</v>
      </c>
      <c r="C105">
        <v>1768826730</v>
      </c>
      <c r="D105" t="s">
        <v>23</v>
      </c>
      <c r="E105" t="s">
        <v>34</v>
      </c>
      <c r="F105" t="s">
        <v>44</v>
      </c>
      <c r="G105" s="8">
        <v>6.3906459999999998E-2</v>
      </c>
      <c r="H105" s="29">
        <v>2.15</v>
      </c>
    </row>
    <row r="106" spans="1:8" x14ac:dyDescent="0.3">
      <c r="A106">
        <v>202607</v>
      </c>
      <c r="B106" t="s">
        <v>36</v>
      </c>
      <c r="C106">
        <v>1768833257</v>
      </c>
      <c r="D106" t="s">
        <v>23</v>
      </c>
      <c r="E106" t="s">
        <v>19</v>
      </c>
      <c r="F106" t="s">
        <v>97</v>
      </c>
      <c r="G106" s="8">
        <v>0.5</v>
      </c>
      <c r="H106" s="29">
        <v>2.9</v>
      </c>
    </row>
    <row r="107" spans="1:8" x14ac:dyDescent="0.3">
      <c r="A107">
        <v>202607</v>
      </c>
      <c r="B107" t="s">
        <v>36</v>
      </c>
      <c r="C107">
        <v>1768850585</v>
      </c>
      <c r="D107" t="s">
        <v>18</v>
      </c>
      <c r="E107" t="s">
        <v>34</v>
      </c>
      <c r="F107" t="s">
        <v>44</v>
      </c>
      <c r="G107" s="8">
        <v>0.21691627223000001</v>
      </c>
      <c r="H107" s="29">
        <v>2.38</v>
      </c>
    </row>
    <row r="108" spans="1:8" x14ac:dyDescent="0.3">
      <c r="A108">
        <v>202607</v>
      </c>
      <c r="B108" t="s">
        <v>36</v>
      </c>
      <c r="C108">
        <v>1768911002</v>
      </c>
      <c r="D108" t="s">
        <v>18</v>
      </c>
      <c r="E108" t="s">
        <v>24</v>
      </c>
      <c r="F108" t="s">
        <v>141</v>
      </c>
      <c r="G108" s="8">
        <v>1.0176000000000001</v>
      </c>
      <c r="H108" s="29">
        <v>1.6</v>
      </c>
    </row>
    <row r="109" spans="1:8" x14ac:dyDescent="0.3">
      <c r="A109">
        <v>202607</v>
      </c>
      <c r="B109" t="s">
        <v>36</v>
      </c>
      <c r="C109">
        <v>1768965463</v>
      </c>
      <c r="D109" t="s">
        <v>23</v>
      </c>
      <c r="E109" t="s">
        <v>19</v>
      </c>
      <c r="F109" t="s">
        <v>97</v>
      </c>
      <c r="G109" s="8">
        <v>0.12</v>
      </c>
      <c r="H109" s="29">
        <v>2.9</v>
      </c>
    </row>
    <row r="110" spans="1:8" x14ac:dyDescent="0.3">
      <c r="A110">
        <v>202607</v>
      </c>
      <c r="B110" t="s">
        <v>117</v>
      </c>
      <c r="C110">
        <v>1764741510</v>
      </c>
      <c r="D110" t="s">
        <v>18</v>
      </c>
      <c r="E110" t="s">
        <v>34</v>
      </c>
      <c r="F110" t="s">
        <v>94</v>
      </c>
      <c r="G110" s="8">
        <v>8.5553670999999993E-4</v>
      </c>
      <c r="H110" s="29">
        <v>15</v>
      </c>
    </row>
    <row r="111" spans="1:8" x14ac:dyDescent="0.3">
      <c r="A111">
        <v>202607</v>
      </c>
      <c r="B111" t="s">
        <v>117</v>
      </c>
      <c r="C111">
        <v>1764757238</v>
      </c>
      <c r="D111" t="s">
        <v>18</v>
      </c>
      <c r="E111" t="s">
        <v>34</v>
      </c>
      <c r="F111" t="s">
        <v>94</v>
      </c>
      <c r="G111" s="8">
        <v>1.03754532E-3</v>
      </c>
      <c r="H111" s="29">
        <v>14.65</v>
      </c>
    </row>
    <row r="112" spans="1:8" x14ac:dyDescent="0.3">
      <c r="A112">
        <v>202607</v>
      </c>
      <c r="B112" t="s">
        <v>117</v>
      </c>
      <c r="C112">
        <v>1764761952</v>
      </c>
      <c r="D112" t="s">
        <v>23</v>
      </c>
      <c r="E112" t="s">
        <v>34</v>
      </c>
      <c r="F112" t="s">
        <v>100</v>
      </c>
      <c r="G112" s="8">
        <v>0.14020635999999997</v>
      </c>
      <c r="H112" s="29">
        <v>8.85</v>
      </c>
    </row>
    <row r="113" spans="1:8" x14ac:dyDescent="0.3">
      <c r="A113">
        <v>202607</v>
      </c>
      <c r="B113" t="s">
        <v>117</v>
      </c>
      <c r="C113">
        <v>1769038050</v>
      </c>
      <c r="D113" t="s">
        <v>23</v>
      </c>
      <c r="E113" t="s">
        <v>34</v>
      </c>
      <c r="F113" t="s">
        <v>197</v>
      </c>
      <c r="G113" s="8">
        <v>1.0115782199999999</v>
      </c>
      <c r="H113" s="29">
        <v>8.6</v>
      </c>
    </row>
    <row r="114" spans="1:8" x14ac:dyDescent="0.3">
      <c r="A114">
        <v>202607</v>
      </c>
      <c r="B114" t="s">
        <v>117</v>
      </c>
      <c r="C114">
        <v>1769040862</v>
      </c>
      <c r="D114" t="s">
        <v>23</v>
      </c>
      <c r="E114" t="s">
        <v>34</v>
      </c>
      <c r="F114" t="s">
        <v>100</v>
      </c>
      <c r="G114" s="8">
        <v>0.56694989000000007</v>
      </c>
      <c r="H114" s="29">
        <v>8.85</v>
      </c>
    </row>
    <row r="115" spans="1:8" x14ac:dyDescent="0.3">
      <c r="A115">
        <v>202607</v>
      </c>
      <c r="B115" t="s">
        <v>37</v>
      </c>
      <c r="C115">
        <v>1746819650</v>
      </c>
      <c r="D115" t="s">
        <v>18</v>
      </c>
      <c r="E115" t="s">
        <v>24</v>
      </c>
      <c r="F115" t="s">
        <v>45</v>
      </c>
      <c r="G115" s="8">
        <v>0.34060000000000001</v>
      </c>
      <c r="H115" s="29">
        <v>5.7</v>
      </c>
    </row>
    <row r="116" spans="1:8" x14ac:dyDescent="0.3">
      <c r="A116">
        <v>202607</v>
      </c>
      <c r="B116" t="s">
        <v>37</v>
      </c>
      <c r="C116">
        <v>1751088367</v>
      </c>
      <c r="D116" t="s">
        <v>18</v>
      </c>
      <c r="E116" t="s">
        <v>24</v>
      </c>
      <c r="F116" t="s">
        <v>45</v>
      </c>
      <c r="G116" s="8"/>
      <c r="H116" s="29">
        <v>5.6</v>
      </c>
    </row>
    <row r="117" spans="1:8" x14ac:dyDescent="0.3">
      <c r="A117">
        <v>202607</v>
      </c>
      <c r="B117" t="s">
        <v>37</v>
      </c>
      <c r="C117">
        <v>1751099296</v>
      </c>
      <c r="D117" t="s">
        <v>18</v>
      </c>
      <c r="E117" t="s">
        <v>24</v>
      </c>
      <c r="F117" t="s">
        <v>45</v>
      </c>
      <c r="G117" s="8"/>
      <c r="H117" s="29">
        <v>5.75</v>
      </c>
    </row>
    <row r="118" spans="1:8" x14ac:dyDescent="0.3">
      <c r="A118">
        <v>202607</v>
      </c>
      <c r="B118" t="s">
        <v>37</v>
      </c>
      <c r="C118">
        <v>1751124860</v>
      </c>
      <c r="D118" t="s">
        <v>18</v>
      </c>
      <c r="E118" t="s">
        <v>24</v>
      </c>
      <c r="F118" t="s">
        <v>45</v>
      </c>
      <c r="G118" s="8">
        <v>0.3402</v>
      </c>
      <c r="H118" s="29">
        <v>5.6</v>
      </c>
    </row>
    <row r="119" spans="1:8" x14ac:dyDescent="0.3">
      <c r="A119">
        <v>202607</v>
      </c>
      <c r="B119" t="s">
        <v>37</v>
      </c>
      <c r="C119">
        <v>1751190900</v>
      </c>
      <c r="D119" t="s">
        <v>18</v>
      </c>
      <c r="E119" t="s">
        <v>24</v>
      </c>
      <c r="F119" t="s">
        <v>45</v>
      </c>
      <c r="G119" s="8">
        <v>0.1696</v>
      </c>
      <c r="H119" s="29">
        <v>5.6</v>
      </c>
    </row>
    <row r="120" spans="1:8" x14ac:dyDescent="0.3">
      <c r="A120">
        <v>202607</v>
      </c>
      <c r="B120" t="s">
        <v>37</v>
      </c>
      <c r="C120">
        <v>1751251550</v>
      </c>
      <c r="D120" t="s">
        <v>18</v>
      </c>
      <c r="E120" t="s">
        <v>24</v>
      </c>
      <c r="F120" t="s">
        <v>45</v>
      </c>
      <c r="G120" s="8">
        <v>0.34029999999999999</v>
      </c>
      <c r="H120" s="29">
        <v>5.6</v>
      </c>
    </row>
    <row r="121" spans="1:8" x14ac:dyDescent="0.3">
      <c r="A121">
        <v>202607</v>
      </c>
      <c r="B121" t="s">
        <v>37</v>
      </c>
      <c r="C121">
        <v>1751358488</v>
      </c>
      <c r="D121" t="s">
        <v>18</v>
      </c>
      <c r="E121" t="s">
        <v>24</v>
      </c>
      <c r="F121" t="s">
        <v>45</v>
      </c>
      <c r="G121" s="8">
        <v>0.33960000000000001</v>
      </c>
      <c r="H121" s="29">
        <v>5.6</v>
      </c>
    </row>
    <row r="122" spans="1:8" x14ac:dyDescent="0.3">
      <c r="A122">
        <v>202607</v>
      </c>
      <c r="B122" t="s">
        <v>37</v>
      </c>
      <c r="C122">
        <v>1764747917</v>
      </c>
      <c r="D122" t="s">
        <v>18</v>
      </c>
      <c r="E122" t="s">
        <v>24</v>
      </c>
      <c r="F122" t="s">
        <v>45</v>
      </c>
      <c r="G122" s="8">
        <v>0.17030000000000001</v>
      </c>
      <c r="H122" s="29">
        <v>5.35</v>
      </c>
    </row>
    <row r="123" spans="1:8" x14ac:dyDescent="0.3">
      <c r="A123">
        <v>202607</v>
      </c>
      <c r="B123" t="s">
        <v>37</v>
      </c>
      <c r="C123">
        <v>1764760972</v>
      </c>
      <c r="D123" t="s">
        <v>18</v>
      </c>
      <c r="E123" t="s">
        <v>34</v>
      </c>
      <c r="F123" t="s">
        <v>101</v>
      </c>
      <c r="G123" s="8">
        <v>0.92468751201999999</v>
      </c>
      <c r="H123" s="29">
        <v>2.65</v>
      </c>
    </row>
    <row r="124" spans="1:8" x14ac:dyDescent="0.3">
      <c r="A124">
        <v>202607</v>
      </c>
      <c r="B124" t="s">
        <v>37</v>
      </c>
      <c r="C124">
        <v>1764764528</v>
      </c>
      <c r="D124" t="s">
        <v>18</v>
      </c>
      <c r="E124" t="s">
        <v>24</v>
      </c>
      <c r="F124" t="s">
        <v>124</v>
      </c>
      <c r="G124" s="8">
        <v>1.6990000000000001</v>
      </c>
      <c r="H124" s="29">
        <v>0.8</v>
      </c>
    </row>
    <row r="125" spans="1:8" x14ac:dyDescent="0.3">
      <c r="A125">
        <v>202607</v>
      </c>
      <c r="B125" t="s">
        <v>37</v>
      </c>
      <c r="C125">
        <v>1768838135</v>
      </c>
      <c r="D125" t="s">
        <v>18</v>
      </c>
      <c r="E125" t="s">
        <v>24</v>
      </c>
      <c r="F125" t="s">
        <v>47</v>
      </c>
      <c r="G125" s="8">
        <v>0.29385987629999999</v>
      </c>
      <c r="H125" s="29">
        <v>2.35</v>
      </c>
    </row>
    <row r="126" spans="1:8" x14ac:dyDescent="0.3">
      <c r="A126">
        <v>202607</v>
      </c>
      <c r="B126" t="s">
        <v>37</v>
      </c>
      <c r="C126">
        <v>1768844150</v>
      </c>
      <c r="D126" t="s">
        <v>18</v>
      </c>
      <c r="E126" t="s">
        <v>24</v>
      </c>
      <c r="F126" t="s">
        <v>57</v>
      </c>
      <c r="G126" s="8">
        <v>1.3635999999999999</v>
      </c>
      <c r="H126" s="29">
        <v>1.9</v>
      </c>
    </row>
    <row r="127" spans="1:8" x14ac:dyDescent="0.3">
      <c r="A127">
        <v>202607</v>
      </c>
      <c r="B127" t="s">
        <v>37</v>
      </c>
      <c r="C127">
        <v>1768855447</v>
      </c>
      <c r="D127" t="s">
        <v>23</v>
      </c>
      <c r="E127" t="s">
        <v>19</v>
      </c>
      <c r="F127" t="s">
        <v>125</v>
      </c>
      <c r="G127" s="8">
        <v>4</v>
      </c>
      <c r="H127" s="29">
        <v>1.3</v>
      </c>
    </row>
    <row r="128" spans="1:8" x14ac:dyDescent="0.3">
      <c r="A128">
        <v>202607</v>
      </c>
      <c r="B128" t="s">
        <v>37</v>
      </c>
      <c r="C128">
        <v>1768857547</v>
      </c>
      <c r="D128" t="s">
        <v>18</v>
      </c>
      <c r="E128" t="s">
        <v>24</v>
      </c>
      <c r="F128" t="s">
        <v>45</v>
      </c>
      <c r="G128" s="8">
        <v>0.3402</v>
      </c>
      <c r="H128" s="29">
        <v>5.35</v>
      </c>
    </row>
    <row r="129" spans="1:8" x14ac:dyDescent="0.3">
      <c r="A129">
        <v>202607</v>
      </c>
      <c r="B129" t="s">
        <v>37</v>
      </c>
      <c r="C129">
        <v>1768881464</v>
      </c>
      <c r="D129" t="s">
        <v>18</v>
      </c>
      <c r="E129" t="s">
        <v>24</v>
      </c>
      <c r="F129" t="s">
        <v>45</v>
      </c>
      <c r="G129" s="8">
        <v>6.8000000000000005E-2</v>
      </c>
      <c r="H129" s="29">
        <v>5.45</v>
      </c>
    </row>
    <row r="130" spans="1:8" x14ac:dyDescent="0.3">
      <c r="A130">
        <v>202607</v>
      </c>
      <c r="B130" t="s">
        <v>37</v>
      </c>
      <c r="C130">
        <v>1768900124</v>
      </c>
      <c r="D130" t="s">
        <v>18</v>
      </c>
      <c r="E130" t="s">
        <v>24</v>
      </c>
      <c r="F130" t="s">
        <v>45</v>
      </c>
      <c r="G130" s="8">
        <v>0.23702000000000001</v>
      </c>
      <c r="H130" s="29">
        <v>5.45</v>
      </c>
    </row>
    <row r="131" spans="1:8" x14ac:dyDescent="0.3">
      <c r="A131">
        <v>202607</v>
      </c>
      <c r="B131" t="s">
        <v>37</v>
      </c>
      <c r="C131">
        <v>1768900760</v>
      </c>
      <c r="D131" t="s">
        <v>23</v>
      </c>
      <c r="E131" t="s">
        <v>24</v>
      </c>
      <c r="F131" t="s">
        <v>46</v>
      </c>
      <c r="G131" s="8">
        <v>3.1E-2</v>
      </c>
      <c r="H131" s="29">
        <v>4.3</v>
      </c>
    </row>
    <row r="132" spans="1:8" x14ac:dyDescent="0.3">
      <c r="A132">
        <v>202607</v>
      </c>
      <c r="B132" t="s">
        <v>37</v>
      </c>
      <c r="C132">
        <v>1768900990</v>
      </c>
      <c r="D132" t="s">
        <v>23</v>
      </c>
      <c r="E132" t="s">
        <v>24</v>
      </c>
      <c r="F132" t="s">
        <v>46</v>
      </c>
      <c r="G132" s="8">
        <v>4.2999999999999997E-2</v>
      </c>
      <c r="H132" s="29">
        <v>4.3</v>
      </c>
    </row>
    <row r="133" spans="1:8" x14ac:dyDescent="0.3">
      <c r="A133">
        <v>202607</v>
      </c>
      <c r="B133" t="s">
        <v>37</v>
      </c>
      <c r="C133">
        <v>1768901040</v>
      </c>
      <c r="D133" t="s">
        <v>23</v>
      </c>
      <c r="E133" t="s">
        <v>24</v>
      </c>
      <c r="F133" t="s">
        <v>46</v>
      </c>
      <c r="G133" s="8">
        <v>3.5999999999999997E-2</v>
      </c>
      <c r="H133" s="29">
        <v>4.3</v>
      </c>
    </row>
    <row r="134" spans="1:8" x14ac:dyDescent="0.3">
      <c r="A134">
        <v>202607</v>
      </c>
      <c r="B134" t="s">
        <v>37</v>
      </c>
      <c r="C134">
        <v>1768904928</v>
      </c>
      <c r="D134" t="s">
        <v>18</v>
      </c>
      <c r="E134" t="s">
        <v>24</v>
      </c>
      <c r="F134" t="s">
        <v>45</v>
      </c>
      <c r="G134" s="8">
        <v>0.16930000000000001</v>
      </c>
      <c r="H134" s="29">
        <v>5.45</v>
      </c>
    </row>
    <row r="135" spans="1:8" x14ac:dyDescent="0.3">
      <c r="A135">
        <v>202607</v>
      </c>
      <c r="B135" t="s">
        <v>37</v>
      </c>
      <c r="C135">
        <v>1768915120</v>
      </c>
      <c r="D135" t="s">
        <v>18</v>
      </c>
      <c r="E135" t="s">
        <v>24</v>
      </c>
      <c r="F135" t="s">
        <v>45</v>
      </c>
      <c r="G135" s="8">
        <v>0.27135999999999999</v>
      </c>
      <c r="H135" s="29">
        <v>5.35</v>
      </c>
    </row>
    <row r="136" spans="1:8" x14ac:dyDescent="0.3">
      <c r="A136">
        <v>202607</v>
      </c>
      <c r="B136" t="s">
        <v>37</v>
      </c>
      <c r="C136">
        <v>1768915814</v>
      </c>
      <c r="D136" t="s">
        <v>23</v>
      </c>
      <c r="E136" t="s">
        <v>19</v>
      </c>
      <c r="F136" t="s">
        <v>125</v>
      </c>
      <c r="G136" s="8">
        <v>1</v>
      </c>
      <c r="H136" s="29">
        <v>1.1499999999999999</v>
      </c>
    </row>
    <row r="137" spans="1:8" x14ac:dyDescent="0.3">
      <c r="A137">
        <v>202607</v>
      </c>
      <c r="B137" t="s">
        <v>37</v>
      </c>
      <c r="C137">
        <v>1768916047</v>
      </c>
      <c r="D137" t="s">
        <v>18</v>
      </c>
      <c r="E137" t="s">
        <v>19</v>
      </c>
      <c r="F137" t="s">
        <v>142</v>
      </c>
      <c r="G137" s="8">
        <v>0.59360000000000002</v>
      </c>
      <c r="H137" s="29">
        <v>1.5</v>
      </c>
    </row>
    <row r="138" spans="1:8" x14ac:dyDescent="0.3">
      <c r="A138">
        <v>202607</v>
      </c>
      <c r="B138" t="s">
        <v>37</v>
      </c>
      <c r="C138">
        <v>1768921458</v>
      </c>
      <c r="D138" t="s">
        <v>23</v>
      </c>
      <c r="E138" t="s">
        <v>24</v>
      </c>
      <c r="F138" t="s">
        <v>46</v>
      </c>
      <c r="G138" s="8">
        <v>6.7000000000000004E-2</v>
      </c>
      <c r="H138" s="29">
        <v>4.3</v>
      </c>
    </row>
    <row r="139" spans="1:8" x14ac:dyDescent="0.3">
      <c r="A139">
        <v>202607</v>
      </c>
      <c r="B139" t="s">
        <v>37</v>
      </c>
      <c r="C139">
        <v>1768921555</v>
      </c>
      <c r="D139" t="s">
        <v>23</v>
      </c>
      <c r="E139" t="s">
        <v>24</v>
      </c>
      <c r="F139" t="s">
        <v>46</v>
      </c>
      <c r="G139" s="8">
        <v>0.08</v>
      </c>
      <c r="H139" s="29">
        <v>4.3</v>
      </c>
    </row>
    <row r="140" spans="1:8" x14ac:dyDescent="0.3">
      <c r="A140">
        <v>202607</v>
      </c>
      <c r="B140" t="s">
        <v>37</v>
      </c>
      <c r="C140">
        <v>1768922276</v>
      </c>
      <c r="D140" t="s">
        <v>18</v>
      </c>
      <c r="E140" t="s">
        <v>34</v>
      </c>
      <c r="F140" t="s">
        <v>143</v>
      </c>
      <c r="G140" s="8">
        <v>1.85244309075</v>
      </c>
      <c r="H140" s="29">
        <v>2.35</v>
      </c>
    </row>
    <row r="141" spans="1:8" x14ac:dyDescent="0.3">
      <c r="A141">
        <v>202607</v>
      </c>
      <c r="B141" t="s">
        <v>37</v>
      </c>
      <c r="C141">
        <v>1768923442</v>
      </c>
      <c r="D141" t="s">
        <v>18</v>
      </c>
      <c r="E141" t="s">
        <v>19</v>
      </c>
      <c r="F141" t="s">
        <v>125</v>
      </c>
      <c r="G141" s="8">
        <v>1.7024999999999999</v>
      </c>
      <c r="H141" s="29">
        <v>1.85</v>
      </c>
    </row>
    <row r="142" spans="1:8" x14ac:dyDescent="0.3">
      <c r="A142">
        <v>202607</v>
      </c>
      <c r="B142" t="s">
        <v>37</v>
      </c>
      <c r="C142">
        <v>1768923507</v>
      </c>
      <c r="D142" t="s">
        <v>18</v>
      </c>
      <c r="E142" t="s">
        <v>19</v>
      </c>
      <c r="F142" t="s">
        <v>125</v>
      </c>
      <c r="G142" s="8">
        <v>1.7024999999999999</v>
      </c>
      <c r="H142" s="29">
        <v>1.85</v>
      </c>
    </row>
    <row r="143" spans="1:8" x14ac:dyDescent="0.3">
      <c r="A143">
        <v>202607</v>
      </c>
      <c r="B143" t="s">
        <v>37</v>
      </c>
      <c r="C143">
        <v>1768923922</v>
      </c>
      <c r="D143" t="s">
        <v>23</v>
      </c>
      <c r="E143" t="s">
        <v>19</v>
      </c>
      <c r="F143" t="s">
        <v>125</v>
      </c>
      <c r="G143" s="8">
        <v>1.5</v>
      </c>
      <c r="H143" s="29">
        <v>1.1499999999999999</v>
      </c>
    </row>
    <row r="144" spans="1:8" x14ac:dyDescent="0.3">
      <c r="A144">
        <v>202607</v>
      </c>
      <c r="B144" t="s">
        <v>37</v>
      </c>
      <c r="C144">
        <v>1768924066</v>
      </c>
      <c r="D144" t="s">
        <v>23</v>
      </c>
      <c r="E144" t="s">
        <v>19</v>
      </c>
      <c r="F144" t="s">
        <v>125</v>
      </c>
      <c r="G144" s="8">
        <v>1.5</v>
      </c>
      <c r="H144" s="29">
        <v>1.1499999999999999</v>
      </c>
    </row>
    <row r="145" spans="1:8" x14ac:dyDescent="0.3">
      <c r="A145">
        <v>202607</v>
      </c>
      <c r="B145" t="s">
        <v>37</v>
      </c>
      <c r="C145">
        <v>1768940185</v>
      </c>
      <c r="D145" t="s">
        <v>23</v>
      </c>
      <c r="E145" t="s">
        <v>19</v>
      </c>
      <c r="F145" t="s">
        <v>125</v>
      </c>
      <c r="G145" s="8">
        <v>4.5</v>
      </c>
      <c r="H145" s="29">
        <v>1.1499999999999999</v>
      </c>
    </row>
    <row r="146" spans="1:8" x14ac:dyDescent="0.3">
      <c r="A146">
        <v>202607</v>
      </c>
      <c r="B146" t="s">
        <v>37</v>
      </c>
      <c r="C146">
        <v>1768940428</v>
      </c>
      <c r="D146" t="s">
        <v>23</v>
      </c>
      <c r="E146" t="s">
        <v>19</v>
      </c>
      <c r="F146" t="s">
        <v>125</v>
      </c>
      <c r="G146" s="8">
        <v>4</v>
      </c>
      <c r="H146" s="29">
        <v>1.1499999999999999</v>
      </c>
    </row>
    <row r="147" spans="1:8" x14ac:dyDescent="0.3">
      <c r="A147">
        <v>202607</v>
      </c>
      <c r="B147" t="s">
        <v>37</v>
      </c>
      <c r="C147">
        <v>1768945233</v>
      </c>
      <c r="D147" t="s">
        <v>23</v>
      </c>
      <c r="E147" t="s">
        <v>34</v>
      </c>
      <c r="F147" t="s">
        <v>166</v>
      </c>
      <c r="G147" s="8">
        <v>0.86955268999999991</v>
      </c>
      <c r="H147" s="29">
        <v>0.86</v>
      </c>
    </row>
    <row r="148" spans="1:8" x14ac:dyDescent="0.3">
      <c r="A148">
        <v>202607</v>
      </c>
      <c r="B148" t="s">
        <v>37</v>
      </c>
      <c r="C148">
        <v>1768949352</v>
      </c>
      <c r="D148" t="s">
        <v>18</v>
      </c>
      <c r="E148" t="s">
        <v>24</v>
      </c>
      <c r="F148" t="s">
        <v>45</v>
      </c>
      <c r="G148" s="8">
        <v>0.33979999999999999</v>
      </c>
      <c r="H148" s="29">
        <v>5.35</v>
      </c>
    </row>
    <row r="149" spans="1:8" x14ac:dyDescent="0.3">
      <c r="A149">
        <v>202607</v>
      </c>
      <c r="B149" t="s">
        <v>37</v>
      </c>
      <c r="C149">
        <v>1768950430</v>
      </c>
      <c r="D149" t="s">
        <v>23</v>
      </c>
      <c r="E149" t="s">
        <v>34</v>
      </c>
      <c r="F149" t="s">
        <v>166</v>
      </c>
      <c r="G149" s="8">
        <v>0.19754395999999999</v>
      </c>
      <c r="H149" s="29">
        <v>0.86</v>
      </c>
    </row>
    <row r="150" spans="1:8" x14ac:dyDescent="0.3">
      <c r="A150">
        <v>202607</v>
      </c>
      <c r="B150" t="s">
        <v>37</v>
      </c>
      <c r="C150">
        <v>1768953430</v>
      </c>
      <c r="D150" t="s">
        <v>23</v>
      </c>
      <c r="E150" t="s">
        <v>24</v>
      </c>
      <c r="F150" t="s">
        <v>46</v>
      </c>
      <c r="G150" s="8">
        <v>3.7999999999999999E-2</v>
      </c>
      <c r="H150" s="29">
        <v>4.3</v>
      </c>
    </row>
    <row r="151" spans="1:8" x14ac:dyDescent="0.3">
      <c r="A151">
        <v>202607</v>
      </c>
      <c r="B151" t="s">
        <v>37</v>
      </c>
      <c r="C151">
        <v>1768953457</v>
      </c>
      <c r="D151" t="s">
        <v>23</v>
      </c>
      <c r="E151" t="s">
        <v>24</v>
      </c>
      <c r="F151" t="s">
        <v>46</v>
      </c>
      <c r="G151" s="8">
        <v>5.5E-2</v>
      </c>
      <c r="H151" s="29">
        <v>4.3</v>
      </c>
    </row>
    <row r="152" spans="1:8" x14ac:dyDescent="0.3">
      <c r="A152">
        <v>202607</v>
      </c>
      <c r="B152" t="s">
        <v>37</v>
      </c>
      <c r="C152">
        <v>1768954020</v>
      </c>
      <c r="D152" t="s">
        <v>18</v>
      </c>
      <c r="E152" t="s">
        <v>24</v>
      </c>
      <c r="F152" t="s">
        <v>179</v>
      </c>
      <c r="G152" s="8">
        <v>0.31833359999999999</v>
      </c>
      <c r="H152" s="29">
        <v>2.65</v>
      </c>
    </row>
    <row r="153" spans="1:8" x14ac:dyDescent="0.3">
      <c r="A153">
        <v>202607</v>
      </c>
      <c r="B153" t="s">
        <v>37</v>
      </c>
      <c r="C153">
        <v>1768954097</v>
      </c>
      <c r="D153" t="s">
        <v>18</v>
      </c>
      <c r="E153" t="s">
        <v>19</v>
      </c>
      <c r="F153" t="s">
        <v>179</v>
      </c>
      <c r="G153" s="8">
        <v>0.14624300000000001</v>
      </c>
      <c r="H153" s="29">
        <v>2.65</v>
      </c>
    </row>
    <row r="154" spans="1:8" x14ac:dyDescent="0.3">
      <c r="A154">
        <v>202607</v>
      </c>
      <c r="B154" t="s">
        <v>37</v>
      </c>
      <c r="C154">
        <v>1768954283</v>
      </c>
      <c r="D154" t="s">
        <v>18</v>
      </c>
      <c r="E154" t="s">
        <v>19</v>
      </c>
      <c r="F154" t="s">
        <v>180</v>
      </c>
      <c r="G154" s="8">
        <v>1.7004999999999999</v>
      </c>
      <c r="H154" s="29">
        <v>2.4500000000000002</v>
      </c>
    </row>
    <row r="155" spans="1:8" x14ac:dyDescent="0.3">
      <c r="A155">
        <v>202607</v>
      </c>
      <c r="B155" t="s">
        <v>37</v>
      </c>
      <c r="C155">
        <v>1768957738</v>
      </c>
      <c r="D155" t="s">
        <v>18</v>
      </c>
      <c r="E155" t="s">
        <v>24</v>
      </c>
      <c r="F155" t="s">
        <v>45</v>
      </c>
      <c r="G155" s="8">
        <v>0.27207999999999999</v>
      </c>
      <c r="H155" s="29">
        <v>5.35</v>
      </c>
    </row>
    <row r="156" spans="1:8" x14ac:dyDescent="0.3">
      <c r="A156">
        <v>202607</v>
      </c>
      <c r="B156" t="s">
        <v>37</v>
      </c>
      <c r="C156">
        <v>1768957850</v>
      </c>
      <c r="D156" t="s">
        <v>18</v>
      </c>
      <c r="E156" t="s">
        <v>24</v>
      </c>
      <c r="F156" t="s">
        <v>142</v>
      </c>
      <c r="G156" s="8">
        <v>0.34010000000000001</v>
      </c>
      <c r="H156" s="29">
        <v>1.69</v>
      </c>
    </row>
    <row r="157" spans="1:8" x14ac:dyDescent="0.3">
      <c r="A157">
        <v>202607</v>
      </c>
      <c r="B157" t="s">
        <v>37</v>
      </c>
      <c r="C157">
        <v>1768957894</v>
      </c>
      <c r="D157" t="s">
        <v>18</v>
      </c>
      <c r="E157" t="s">
        <v>24</v>
      </c>
      <c r="F157" t="s">
        <v>142</v>
      </c>
      <c r="G157" s="8">
        <v>1.0203</v>
      </c>
      <c r="H157" s="29">
        <v>1.69</v>
      </c>
    </row>
    <row r="158" spans="1:8" x14ac:dyDescent="0.3">
      <c r="A158">
        <v>202607</v>
      </c>
      <c r="B158" t="s">
        <v>37</v>
      </c>
      <c r="C158">
        <v>1768982643</v>
      </c>
      <c r="D158" t="s">
        <v>18</v>
      </c>
      <c r="E158" t="s">
        <v>24</v>
      </c>
      <c r="F158" t="s">
        <v>181</v>
      </c>
      <c r="G158" s="8">
        <v>0.51961951424999997</v>
      </c>
      <c r="H158" s="29">
        <v>2.5499999999999998</v>
      </c>
    </row>
    <row r="159" spans="1:8" x14ac:dyDescent="0.3">
      <c r="A159">
        <v>202607</v>
      </c>
      <c r="B159" t="s">
        <v>37</v>
      </c>
      <c r="C159">
        <v>1769001514</v>
      </c>
      <c r="D159" t="s">
        <v>18</v>
      </c>
      <c r="E159" t="s">
        <v>19</v>
      </c>
      <c r="F159" t="s">
        <v>182</v>
      </c>
      <c r="G159" s="8">
        <v>0.10215</v>
      </c>
      <c r="H159" s="29">
        <v>6.75</v>
      </c>
    </row>
    <row r="160" spans="1:8" x14ac:dyDescent="0.3">
      <c r="A160">
        <v>202607</v>
      </c>
      <c r="B160" t="s">
        <v>37</v>
      </c>
      <c r="C160">
        <v>1769033114</v>
      </c>
      <c r="D160" t="s">
        <v>18</v>
      </c>
      <c r="E160" t="s">
        <v>19</v>
      </c>
      <c r="F160" t="s">
        <v>198</v>
      </c>
      <c r="G160" s="8">
        <v>0.67920000000000003</v>
      </c>
      <c r="H160" s="29">
        <v>1.5</v>
      </c>
    </row>
    <row r="161" spans="1:8" x14ac:dyDescent="0.3">
      <c r="A161">
        <v>202607</v>
      </c>
      <c r="B161" t="s">
        <v>37</v>
      </c>
      <c r="C161">
        <v>1769033130</v>
      </c>
      <c r="D161" t="s">
        <v>18</v>
      </c>
      <c r="E161" t="s">
        <v>19</v>
      </c>
      <c r="F161" t="s">
        <v>198</v>
      </c>
      <c r="G161" s="8">
        <v>0.67920000000000003</v>
      </c>
      <c r="H161" s="29">
        <v>1.5</v>
      </c>
    </row>
    <row r="162" spans="1:8" x14ac:dyDescent="0.3">
      <c r="A162">
        <v>202607</v>
      </c>
      <c r="B162" t="s">
        <v>144</v>
      </c>
      <c r="C162">
        <v>1768915245</v>
      </c>
      <c r="D162" t="s">
        <v>23</v>
      </c>
      <c r="E162" t="s">
        <v>19</v>
      </c>
      <c r="F162" t="s">
        <v>145</v>
      </c>
      <c r="G162" s="8">
        <v>0.32600000000000001</v>
      </c>
      <c r="H162" s="29">
        <v>2.65</v>
      </c>
    </row>
    <row r="163" spans="1:8" x14ac:dyDescent="0.3">
      <c r="A163">
        <v>202607</v>
      </c>
      <c r="B163" t="s">
        <v>144</v>
      </c>
      <c r="C163">
        <v>1768915695</v>
      </c>
      <c r="D163" t="s">
        <v>18</v>
      </c>
      <c r="E163" t="s">
        <v>19</v>
      </c>
      <c r="F163" t="s">
        <v>146</v>
      </c>
      <c r="G163" s="8">
        <v>16.96</v>
      </c>
      <c r="H163" s="29">
        <v>1</v>
      </c>
    </row>
    <row r="164" spans="1:8" x14ac:dyDescent="0.3">
      <c r="A164">
        <v>202607</v>
      </c>
      <c r="B164" t="s">
        <v>144</v>
      </c>
      <c r="C164">
        <v>1768922896</v>
      </c>
      <c r="D164" t="s">
        <v>18</v>
      </c>
      <c r="E164" t="s">
        <v>19</v>
      </c>
      <c r="F164" t="s">
        <v>147</v>
      </c>
      <c r="G164" s="8">
        <v>6.81</v>
      </c>
      <c r="H164" s="29">
        <v>0.95</v>
      </c>
    </row>
    <row r="165" spans="1:8" x14ac:dyDescent="0.3">
      <c r="A165">
        <v>202607</v>
      </c>
      <c r="B165" t="s">
        <v>32</v>
      </c>
      <c r="C165">
        <v>1768895694</v>
      </c>
      <c r="D165" t="s">
        <v>23</v>
      </c>
      <c r="E165" t="s">
        <v>19</v>
      </c>
      <c r="F165" t="s">
        <v>91</v>
      </c>
      <c r="G165" s="8">
        <v>2</v>
      </c>
      <c r="H165" s="29">
        <v>1</v>
      </c>
    </row>
    <row r="166" spans="1:8" x14ac:dyDescent="0.3">
      <c r="A166">
        <v>202607</v>
      </c>
      <c r="B166" t="s">
        <v>32</v>
      </c>
      <c r="C166">
        <v>1768897425</v>
      </c>
      <c r="D166" t="s">
        <v>18</v>
      </c>
      <c r="E166" t="s">
        <v>24</v>
      </c>
      <c r="F166" t="s">
        <v>76</v>
      </c>
      <c r="G166" s="8">
        <v>1.3568</v>
      </c>
      <c r="H166" s="29">
        <v>2.4300000000000002</v>
      </c>
    </row>
    <row r="167" spans="1:8" x14ac:dyDescent="0.3">
      <c r="A167">
        <v>202607</v>
      </c>
      <c r="B167" t="s">
        <v>32</v>
      </c>
      <c r="C167">
        <v>1768940738</v>
      </c>
      <c r="D167" t="s">
        <v>23</v>
      </c>
      <c r="E167" t="s">
        <v>19</v>
      </c>
      <c r="F167" t="s">
        <v>167</v>
      </c>
      <c r="G167" s="8">
        <v>0.34575</v>
      </c>
      <c r="H167" s="29">
        <v>9.6</v>
      </c>
    </row>
    <row r="168" spans="1:8" x14ac:dyDescent="0.3">
      <c r="A168">
        <v>202607</v>
      </c>
      <c r="B168" t="s">
        <v>32</v>
      </c>
      <c r="C168">
        <v>1768949760</v>
      </c>
      <c r="D168" t="s">
        <v>23</v>
      </c>
      <c r="E168" t="s">
        <v>19</v>
      </c>
      <c r="F168" t="s">
        <v>91</v>
      </c>
      <c r="G168" s="8">
        <v>2.25</v>
      </c>
      <c r="H168" s="29">
        <v>1</v>
      </c>
    </row>
    <row r="169" spans="1:8" x14ac:dyDescent="0.3">
      <c r="A169">
        <v>202607</v>
      </c>
      <c r="B169" t="s">
        <v>32</v>
      </c>
      <c r="C169">
        <v>1768984140</v>
      </c>
      <c r="D169" t="s">
        <v>18</v>
      </c>
      <c r="E169" t="s">
        <v>19</v>
      </c>
      <c r="F169" t="s">
        <v>183</v>
      </c>
      <c r="G169" s="8">
        <v>3.0644999999999998</v>
      </c>
      <c r="H169" s="29">
        <v>2.4</v>
      </c>
    </row>
    <row r="170" spans="1:8" x14ac:dyDescent="0.3">
      <c r="A170">
        <v>202607</v>
      </c>
      <c r="B170" t="s">
        <v>33</v>
      </c>
      <c r="C170">
        <v>1764757459</v>
      </c>
      <c r="D170" t="s">
        <v>18</v>
      </c>
      <c r="E170" t="s">
        <v>24</v>
      </c>
      <c r="F170" t="s">
        <v>81</v>
      </c>
      <c r="G170" s="8">
        <v>6.7960000000000003</v>
      </c>
      <c r="H170" s="29">
        <v>0.4</v>
      </c>
    </row>
    <row r="171" spans="1:8" x14ac:dyDescent="0.3">
      <c r="A171">
        <v>202607</v>
      </c>
      <c r="B171" t="s">
        <v>33</v>
      </c>
      <c r="C171">
        <v>1764764269</v>
      </c>
      <c r="D171" t="s">
        <v>23</v>
      </c>
      <c r="E171" t="s">
        <v>19</v>
      </c>
      <c r="F171" t="s">
        <v>82</v>
      </c>
      <c r="G171" s="8">
        <v>0.35</v>
      </c>
      <c r="H171" s="29">
        <v>1.5</v>
      </c>
    </row>
    <row r="172" spans="1:8" x14ac:dyDescent="0.3">
      <c r="A172">
        <v>202607</v>
      </c>
      <c r="B172" t="s">
        <v>33</v>
      </c>
      <c r="C172">
        <v>1764777379</v>
      </c>
      <c r="D172" t="s">
        <v>18</v>
      </c>
      <c r="E172" t="s">
        <v>19</v>
      </c>
      <c r="F172" t="s">
        <v>78</v>
      </c>
      <c r="G172" s="8">
        <v>0.43584000000000001</v>
      </c>
      <c r="H172" s="29">
        <v>4.95</v>
      </c>
    </row>
    <row r="173" spans="1:8" x14ac:dyDescent="0.3">
      <c r="A173">
        <v>202607</v>
      </c>
      <c r="B173" t="s">
        <v>33</v>
      </c>
      <c r="C173">
        <v>1764780728</v>
      </c>
      <c r="D173" t="s">
        <v>23</v>
      </c>
      <c r="E173" t="s">
        <v>19</v>
      </c>
      <c r="F173" t="s">
        <v>82</v>
      </c>
      <c r="G173" s="8">
        <v>0.35</v>
      </c>
      <c r="H173" s="29">
        <v>1.5</v>
      </c>
    </row>
    <row r="174" spans="1:8" x14ac:dyDescent="0.3">
      <c r="A174">
        <v>202607</v>
      </c>
      <c r="B174" t="s">
        <v>33</v>
      </c>
      <c r="C174">
        <v>1764781430</v>
      </c>
      <c r="D174" t="s">
        <v>23</v>
      </c>
      <c r="E174" t="s">
        <v>19</v>
      </c>
      <c r="F174" t="s">
        <v>80</v>
      </c>
      <c r="G174" s="8">
        <v>0.5</v>
      </c>
      <c r="H174" s="29">
        <v>0.8</v>
      </c>
    </row>
    <row r="175" spans="1:8" x14ac:dyDescent="0.3">
      <c r="A175">
        <v>202607</v>
      </c>
      <c r="B175" t="s">
        <v>33</v>
      </c>
      <c r="C175">
        <v>1768844320</v>
      </c>
      <c r="D175" t="s">
        <v>18</v>
      </c>
      <c r="E175" t="s">
        <v>24</v>
      </c>
      <c r="F175" t="s">
        <v>92</v>
      </c>
      <c r="G175" s="8">
        <v>0.51134999999999997</v>
      </c>
      <c r="H175" s="29">
        <v>3.1</v>
      </c>
    </row>
    <row r="176" spans="1:8" x14ac:dyDescent="0.3">
      <c r="A176">
        <v>202607</v>
      </c>
      <c r="B176" t="s">
        <v>33</v>
      </c>
      <c r="C176">
        <v>1768845557</v>
      </c>
      <c r="D176" t="s">
        <v>18</v>
      </c>
      <c r="E176" t="s">
        <v>19</v>
      </c>
      <c r="F176" t="s">
        <v>79</v>
      </c>
      <c r="G176" s="8">
        <v>0.85224999999999995</v>
      </c>
      <c r="H176" s="29">
        <v>1</v>
      </c>
    </row>
    <row r="177" spans="1:8" x14ac:dyDescent="0.3">
      <c r="A177">
        <v>202607</v>
      </c>
      <c r="B177" t="s">
        <v>33</v>
      </c>
      <c r="C177">
        <v>1768863490</v>
      </c>
      <c r="D177" t="s">
        <v>18</v>
      </c>
      <c r="E177" t="s">
        <v>19</v>
      </c>
      <c r="F177" t="s">
        <v>78</v>
      </c>
      <c r="G177" s="8">
        <v>0.36305100000000001</v>
      </c>
      <c r="H177" s="29">
        <v>3.25</v>
      </c>
    </row>
    <row r="178" spans="1:8" x14ac:dyDescent="0.3">
      <c r="A178">
        <v>202607</v>
      </c>
      <c r="B178" t="s">
        <v>33</v>
      </c>
      <c r="C178">
        <v>1768865639</v>
      </c>
      <c r="D178" t="s">
        <v>18</v>
      </c>
      <c r="E178" t="s">
        <v>19</v>
      </c>
      <c r="F178" t="s">
        <v>78</v>
      </c>
      <c r="G178" s="8">
        <v>0.39019500000000001</v>
      </c>
      <c r="H178" s="29">
        <v>3.25</v>
      </c>
    </row>
    <row r="179" spans="1:8" x14ac:dyDescent="0.3">
      <c r="A179">
        <v>202607</v>
      </c>
      <c r="B179" t="s">
        <v>33</v>
      </c>
      <c r="C179">
        <v>1768891400</v>
      </c>
      <c r="D179" t="s">
        <v>23</v>
      </c>
      <c r="E179" t="s">
        <v>19</v>
      </c>
      <c r="F179" t="s">
        <v>77</v>
      </c>
      <c r="G179" s="8">
        <v>0.255</v>
      </c>
      <c r="H179" s="29">
        <v>3.5</v>
      </c>
    </row>
    <row r="180" spans="1:8" x14ac:dyDescent="0.3">
      <c r="A180">
        <v>202607</v>
      </c>
      <c r="B180" t="s">
        <v>33</v>
      </c>
      <c r="C180">
        <v>1768895783</v>
      </c>
      <c r="D180" t="s">
        <v>23</v>
      </c>
      <c r="E180" t="s">
        <v>19</v>
      </c>
      <c r="F180" t="s">
        <v>80</v>
      </c>
      <c r="G180" s="8">
        <v>0.5</v>
      </c>
      <c r="H180" s="29">
        <v>0.95</v>
      </c>
    </row>
    <row r="181" spans="1:8" x14ac:dyDescent="0.3">
      <c r="A181">
        <v>202607</v>
      </c>
      <c r="B181" t="s">
        <v>33</v>
      </c>
      <c r="C181">
        <v>1768896127</v>
      </c>
      <c r="D181" t="s">
        <v>23</v>
      </c>
      <c r="E181" t="s">
        <v>19</v>
      </c>
      <c r="F181" t="s">
        <v>77</v>
      </c>
      <c r="G181" s="8">
        <v>0.25</v>
      </c>
      <c r="H181" s="29">
        <v>3.5</v>
      </c>
    </row>
    <row r="182" spans="1:8" x14ac:dyDescent="0.3">
      <c r="A182">
        <v>202607</v>
      </c>
      <c r="B182" t="s">
        <v>33</v>
      </c>
      <c r="C182">
        <v>1768896577</v>
      </c>
      <c r="D182" t="s">
        <v>23</v>
      </c>
      <c r="E182" t="s">
        <v>19</v>
      </c>
      <c r="F182" t="s">
        <v>80</v>
      </c>
      <c r="G182" s="8">
        <v>0.5</v>
      </c>
      <c r="H182" s="29">
        <v>0.95</v>
      </c>
    </row>
    <row r="183" spans="1:8" x14ac:dyDescent="0.3">
      <c r="A183">
        <v>202607</v>
      </c>
      <c r="B183" t="s">
        <v>33</v>
      </c>
      <c r="C183">
        <v>1768896704</v>
      </c>
      <c r="D183" t="s">
        <v>23</v>
      </c>
      <c r="E183" t="s">
        <v>19</v>
      </c>
      <c r="F183" t="s">
        <v>77</v>
      </c>
      <c r="G183" s="8">
        <v>0.25</v>
      </c>
      <c r="H183" s="29">
        <v>3.5</v>
      </c>
    </row>
    <row r="184" spans="1:8" x14ac:dyDescent="0.3">
      <c r="A184">
        <v>202607</v>
      </c>
      <c r="B184" t="s">
        <v>33</v>
      </c>
      <c r="C184">
        <v>1768901023</v>
      </c>
      <c r="D184" t="s">
        <v>18</v>
      </c>
      <c r="E184" t="s">
        <v>19</v>
      </c>
      <c r="F184" t="s">
        <v>78</v>
      </c>
      <c r="G184" s="8">
        <v>0.60948000000000002</v>
      </c>
      <c r="H184" s="29">
        <v>3.35</v>
      </c>
    </row>
    <row r="185" spans="1:8" x14ac:dyDescent="0.3">
      <c r="A185">
        <v>202607</v>
      </c>
      <c r="B185" t="s">
        <v>33</v>
      </c>
      <c r="C185">
        <v>1768901155</v>
      </c>
      <c r="D185" t="s">
        <v>23</v>
      </c>
      <c r="E185" t="s">
        <v>19</v>
      </c>
      <c r="F185" t="s">
        <v>77</v>
      </c>
      <c r="G185" s="8">
        <v>0.3</v>
      </c>
      <c r="H185" s="29">
        <v>3.5</v>
      </c>
    </row>
    <row r="186" spans="1:8" x14ac:dyDescent="0.3">
      <c r="A186">
        <v>202607</v>
      </c>
      <c r="B186" t="s">
        <v>33</v>
      </c>
      <c r="C186">
        <v>1768903670</v>
      </c>
      <c r="D186" t="s">
        <v>23</v>
      </c>
      <c r="E186" t="s">
        <v>19</v>
      </c>
      <c r="F186" t="s">
        <v>77</v>
      </c>
      <c r="G186" s="8">
        <v>0.26500000000000001</v>
      </c>
      <c r="H186" s="29">
        <v>3.5</v>
      </c>
    </row>
    <row r="187" spans="1:8" x14ac:dyDescent="0.3">
      <c r="A187">
        <v>202607</v>
      </c>
      <c r="B187" t="s">
        <v>33</v>
      </c>
      <c r="C187">
        <v>1768903719</v>
      </c>
      <c r="D187" t="s">
        <v>23</v>
      </c>
      <c r="E187" t="s">
        <v>19</v>
      </c>
      <c r="F187" t="s">
        <v>77</v>
      </c>
      <c r="G187" s="8">
        <v>0.26500000000000001</v>
      </c>
      <c r="H187" s="29">
        <v>3.5</v>
      </c>
    </row>
    <row r="188" spans="1:8" x14ac:dyDescent="0.3">
      <c r="A188">
        <v>202607</v>
      </c>
      <c r="B188" t="s">
        <v>33</v>
      </c>
      <c r="C188">
        <v>1768905312</v>
      </c>
      <c r="D188" t="s">
        <v>18</v>
      </c>
      <c r="E188" t="s">
        <v>19</v>
      </c>
      <c r="F188" t="s">
        <v>79</v>
      </c>
      <c r="G188" s="8">
        <v>1.0158</v>
      </c>
      <c r="H188" s="29">
        <v>1</v>
      </c>
    </row>
    <row r="189" spans="1:8" x14ac:dyDescent="0.3">
      <c r="A189">
        <v>202607</v>
      </c>
      <c r="B189" t="s">
        <v>33</v>
      </c>
      <c r="C189">
        <v>1768906483</v>
      </c>
      <c r="D189" t="s">
        <v>23</v>
      </c>
      <c r="E189" t="s">
        <v>19</v>
      </c>
      <c r="F189" t="s">
        <v>77</v>
      </c>
      <c r="G189" s="8">
        <v>0.253</v>
      </c>
      <c r="H189" s="29">
        <v>3.5</v>
      </c>
    </row>
    <row r="190" spans="1:8" x14ac:dyDescent="0.3">
      <c r="A190">
        <v>202607</v>
      </c>
      <c r="B190" t="s">
        <v>33</v>
      </c>
      <c r="C190">
        <v>1768915474</v>
      </c>
      <c r="D190" t="s">
        <v>23</v>
      </c>
      <c r="E190" t="s">
        <v>19</v>
      </c>
      <c r="F190" t="s">
        <v>77</v>
      </c>
      <c r="G190" s="8">
        <v>0.27200000000000002</v>
      </c>
      <c r="H190" s="29">
        <v>3.5</v>
      </c>
    </row>
    <row r="191" spans="1:8" x14ac:dyDescent="0.3">
      <c r="A191">
        <v>202607</v>
      </c>
      <c r="B191" t="s">
        <v>33</v>
      </c>
      <c r="C191">
        <v>1768915504</v>
      </c>
      <c r="D191" t="s">
        <v>23</v>
      </c>
      <c r="E191" t="s">
        <v>19</v>
      </c>
      <c r="F191" t="s">
        <v>77</v>
      </c>
      <c r="G191" s="8">
        <v>0.25</v>
      </c>
      <c r="H191" s="29">
        <v>3.5</v>
      </c>
    </row>
    <row r="192" spans="1:8" x14ac:dyDescent="0.3">
      <c r="A192">
        <v>202607</v>
      </c>
      <c r="B192" t="s">
        <v>33</v>
      </c>
      <c r="C192">
        <v>1768915733</v>
      </c>
      <c r="D192" t="s">
        <v>23</v>
      </c>
      <c r="E192" t="s">
        <v>19</v>
      </c>
      <c r="F192" t="s">
        <v>77</v>
      </c>
      <c r="G192" s="8">
        <v>0.25</v>
      </c>
      <c r="H192" s="29">
        <v>3.5</v>
      </c>
    </row>
    <row r="193" spans="1:8" x14ac:dyDescent="0.3">
      <c r="A193">
        <v>202607</v>
      </c>
      <c r="B193" t="s">
        <v>33</v>
      </c>
      <c r="C193">
        <v>1768915849</v>
      </c>
      <c r="D193" t="s">
        <v>23</v>
      </c>
      <c r="E193" t="s">
        <v>19</v>
      </c>
      <c r="F193" t="s">
        <v>77</v>
      </c>
      <c r="G193" s="8">
        <v>0.25</v>
      </c>
      <c r="H193" s="29">
        <v>3.5</v>
      </c>
    </row>
    <row r="194" spans="1:8" x14ac:dyDescent="0.3">
      <c r="A194">
        <v>202607</v>
      </c>
      <c r="B194" t="s">
        <v>33</v>
      </c>
      <c r="C194">
        <v>1768915910</v>
      </c>
      <c r="D194" t="s">
        <v>23</v>
      </c>
      <c r="E194" t="s">
        <v>19</v>
      </c>
      <c r="F194" t="s">
        <v>77</v>
      </c>
      <c r="G194" s="8">
        <v>0.25</v>
      </c>
      <c r="H194" s="29">
        <v>3.5</v>
      </c>
    </row>
    <row r="195" spans="1:8" x14ac:dyDescent="0.3">
      <c r="A195">
        <v>202607</v>
      </c>
      <c r="B195" t="s">
        <v>33</v>
      </c>
      <c r="C195">
        <v>1768924686</v>
      </c>
      <c r="D195" t="s">
        <v>18</v>
      </c>
      <c r="E195" t="s">
        <v>24</v>
      </c>
      <c r="F195" t="s">
        <v>148</v>
      </c>
      <c r="G195" s="8">
        <v>0.350715</v>
      </c>
      <c r="H195" s="29">
        <v>3.25</v>
      </c>
    </row>
    <row r="196" spans="1:8" x14ac:dyDescent="0.3">
      <c r="A196">
        <v>202607</v>
      </c>
      <c r="B196" t="s">
        <v>33</v>
      </c>
      <c r="C196">
        <v>1768924716</v>
      </c>
      <c r="D196" t="s">
        <v>18</v>
      </c>
      <c r="E196" t="s">
        <v>24</v>
      </c>
      <c r="F196" t="s">
        <v>148</v>
      </c>
      <c r="G196" s="8">
        <v>0.40860000000000002</v>
      </c>
      <c r="H196" s="29">
        <v>3.25</v>
      </c>
    </row>
    <row r="197" spans="1:8" x14ac:dyDescent="0.3">
      <c r="A197">
        <v>202607</v>
      </c>
      <c r="B197" t="s">
        <v>33</v>
      </c>
      <c r="C197">
        <v>1768939217</v>
      </c>
      <c r="D197" t="s">
        <v>23</v>
      </c>
      <c r="E197" t="s">
        <v>19</v>
      </c>
      <c r="F197" t="s">
        <v>77</v>
      </c>
      <c r="G197" s="8">
        <v>0.20499999999999999</v>
      </c>
      <c r="H197" s="29">
        <v>3.5</v>
      </c>
    </row>
    <row r="198" spans="1:8" x14ac:dyDescent="0.3">
      <c r="A198">
        <v>202607</v>
      </c>
      <c r="B198" t="s">
        <v>33</v>
      </c>
      <c r="C198">
        <v>1768939330</v>
      </c>
      <c r="D198" t="s">
        <v>23</v>
      </c>
      <c r="E198" t="s">
        <v>19</v>
      </c>
      <c r="F198" t="s">
        <v>77</v>
      </c>
      <c r="G198" s="8">
        <v>0.22</v>
      </c>
      <c r="H198" s="29">
        <v>3.5</v>
      </c>
    </row>
    <row r="199" spans="1:8" x14ac:dyDescent="0.3">
      <c r="A199">
        <v>202607</v>
      </c>
      <c r="B199" t="s">
        <v>33</v>
      </c>
      <c r="C199">
        <v>1768945314</v>
      </c>
      <c r="D199" t="s">
        <v>23</v>
      </c>
      <c r="E199" t="s">
        <v>19</v>
      </c>
      <c r="F199" t="s">
        <v>77</v>
      </c>
      <c r="G199" s="8">
        <v>0.32</v>
      </c>
      <c r="H199" s="29">
        <v>3.5</v>
      </c>
    </row>
    <row r="200" spans="1:8" x14ac:dyDescent="0.3">
      <c r="A200">
        <v>202607</v>
      </c>
      <c r="B200" t="s">
        <v>33</v>
      </c>
      <c r="C200">
        <v>1768954208</v>
      </c>
      <c r="D200" t="s">
        <v>23</v>
      </c>
      <c r="E200" t="s">
        <v>19</v>
      </c>
      <c r="F200" t="s">
        <v>77</v>
      </c>
      <c r="G200" s="8">
        <v>0.14199999999999999</v>
      </c>
      <c r="H200" s="29">
        <v>3.5</v>
      </c>
    </row>
    <row r="201" spans="1:8" x14ac:dyDescent="0.3">
      <c r="A201">
        <v>202607</v>
      </c>
      <c r="B201" t="s">
        <v>33</v>
      </c>
      <c r="C201">
        <v>1768965676</v>
      </c>
      <c r="D201" t="s">
        <v>23</v>
      </c>
      <c r="E201" t="s">
        <v>19</v>
      </c>
      <c r="F201" t="s">
        <v>77</v>
      </c>
      <c r="G201" s="8">
        <v>0.158</v>
      </c>
      <c r="H201" s="29">
        <v>3.5</v>
      </c>
    </row>
    <row r="202" spans="1:8" x14ac:dyDescent="0.3">
      <c r="A202">
        <v>202607</v>
      </c>
      <c r="B202" t="s">
        <v>33</v>
      </c>
      <c r="C202">
        <v>1768965986</v>
      </c>
      <c r="D202" t="s">
        <v>23</v>
      </c>
      <c r="E202" t="s">
        <v>19</v>
      </c>
      <c r="F202" t="s">
        <v>77</v>
      </c>
      <c r="G202" s="8">
        <v>0.25</v>
      </c>
      <c r="H202" s="29">
        <v>3.5</v>
      </c>
    </row>
    <row r="203" spans="1:8" x14ac:dyDescent="0.3">
      <c r="A203">
        <v>202607</v>
      </c>
      <c r="B203" t="s">
        <v>33</v>
      </c>
      <c r="C203">
        <v>1768966125</v>
      </c>
      <c r="D203" t="s">
        <v>23</v>
      </c>
      <c r="E203" t="s">
        <v>19</v>
      </c>
      <c r="F203" t="s">
        <v>77</v>
      </c>
      <c r="G203" s="8">
        <v>0.25</v>
      </c>
      <c r="H203" s="29">
        <v>3.5</v>
      </c>
    </row>
    <row r="204" spans="1:8" x14ac:dyDescent="0.3">
      <c r="A204">
        <v>202607</v>
      </c>
      <c r="B204" t="s">
        <v>33</v>
      </c>
      <c r="C204">
        <v>1768983950</v>
      </c>
      <c r="D204" t="s">
        <v>23</v>
      </c>
      <c r="E204" t="s">
        <v>19</v>
      </c>
      <c r="F204" t="s">
        <v>184</v>
      </c>
      <c r="G204" s="8">
        <v>0.15</v>
      </c>
      <c r="H204" s="29">
        <v>8.58</v>
      </c>
    </row>
    <row r="205" spans="1:8" x14ac:dyDescent="0.3">
      <c r="A205">
        <v>202607</v>
      </c>
      <c r="B205" t="s">
        <v>33</v>
      </c>
      <c r="C205">
        <v>1769022805</v>
      </c>
      <c r="D205" t="s">
        <v>23</v>
      </c>
      <c r="E205" t="s">
        <v>19</v>
      </c>
      <c r="F205" t="s">
        <v>82</v>
      </c>
      <c r="G205" s="8">
        <v>0.3</v>
      </c>
      <c r="H205" s="29">
        <v>1.5</v>
      </c>
    </row>
    <row r="206" spans="1:8" x14ac:dyDescent="0.3">
      <c r="A206">
        <v>202607</v>
      </c>
      <c r="B206" t="s">
        <v>33</v>
      </c>
      <c r="C206">
        <v>1769023267</v>
      </c>
      <c r="D206" t="s">
        <v>23</v>
      </c>
      <c r="E206" t="s">
        <v>19</v>
      </c>
      <c r="F206" t="s">
        <v>82</v>
      </c>
      <c r="G206" s="8">
        <v>0.34</v>
      </c>
      <c r="H206" s="29">
        <v>1.5</v>
      </c>
    </row>
    <row r="207" spans="1:8" x14ac:dyDescent="0.3">
      <c r="A207">
        <v>202607</v>
      </c>
      <c r="B207" t="s">
        <v>33</v>
      </c>
      <c r="C207">
        <v>1769023305</v>
      </c>
      <c r="D207" t="s">
        <v>23</v>
      </c>
      <c r="E207" t="s">
        <v>19</v>
      </c>
      <c r="F207" t="s">
        <v>77</v>
      </c>
      <c r="G207" s="8">
        <v>0.20899999999999999</v>
      </c>
      <c r="H207" s="29">
        <v>3.5</v>
      </c>
    </row>
    <row r="208" spans="1:8" x14ac:dyDescent="0.3">
      <c r="A208">
        <v>202607</v>
      </c>
      <c r="B208" t="s">
        <v>33</v>
      </c>
      <c r="C208">
        <v>1769023429</v>
      </c>
      <c r="D208" t="s">
        <v>23</v>
      </c>
      <c r="E208" t="s">
        <v>19</v>
      </c>
      <c r="F208" t="s">
        <v>77</v>
      </c>
      <c r="G208" s="8">
        <v>0.2</v>
      </c>
      <c r="H208" s="29">
        <v>3.5</v>
      </c>
    </row>
    <row r="209" spans="1:8" x14ac:dyDescent="0.3">
      <c r="A209">
        <v>202607</v>
      </c>
      <c r="B209" t="s">
        <v>33</v>
      </c>
      <c r="C209">
        <v>1769023550</v>
      </c>
      <c r="D209" t="s">
        <v>18</v>
      </c>
      <c r="E209" t="s">
        <v>24</v>
      </c>
      <c r="F209" t="s">
        <v>148</v>
      </c>
      <c r="G209" s="8">
        <v>0.40704000000000001</v>
      </c>
      <c r="H209" s="29">
        <v>3.25</v>
      </c>
    </row>
    <row r="210" spans="1:8" x14ac:dyDescent="0.3">
      <c r="A210">
        <v>202607</v>
      </c>
      <c r="B210" t="s">
        <v>33</v>
      </c>
      <c r="C210">
        <v>1769027033</v>
      </c>
      <c r="D210" t="s">
        <v>23</v>
      </c>
      <c r="E210" t="s">
        <v>19</v>
      </c>
      <c r="F210" t="s">
        <v>77</v>
      </c>
      <c r="G210" s="8">
        <v>0.3</v>
      </c>
      <c r="H210" s="29">
        <v>3.5</v>
      </c>
    </row>
    <row r="211" spans="1:8" x14ac:dyDescent="0.3">
      <c r="A211">
        <v>202607</v>
      </c>
      <c r="B211" t="s">
        <v>33</v>
      </c>
      <c r="C211">
        <v>1769027106</v>
      </c>
      <c r="D211" t="s">
        <v>23</v>
      </c>
      <c r="E211" t="s">
        <v>19</v>
      </c>
      <c r="F211" t="s">
        <v>77</v>
      </c>
      <c r="G211" s="8">
        <v>0.23799999999999999</v>
      </c>
      <c r="H211" s="29">
        <v>3.5</v>
      </c>
    </row>
    <row r="212" spans="1:8" x14ac:dyDescent="0.3">
      <c r="A212">
        <v>202607</v>
      </c>
      <c r="B212" t="s">
        <v>107</v>
      </c>
      <c r="C212">
        <v>1764759907</v>
      </c>
      <c r="D212" t="s">
        <v>18</v>
      </c>
      <c r="E212" t="s">
        <v>24</v>
      </c>
      <c r="F212" t="s">
        <v>106</v>
      </c>
      <c r="G212" s="8">
        <v>0.28762371000000003</v>
      </c>
      <c r="H212" s="29">
        <v>0.55000000000000004</v>
      </c>
    </row>
    <row r="213" spans="1:8" x14ac:dyDescent="0.3">
      <c r="A213">
        <v>202607</v>
      </c>
      <c r="B213" t="s">
        <v>107</v>
      </c>
      <c r="C213">
        <v>1768838720</v>
      </c>
      <c r="D213" t="s">
        <v>18</v>
      </c>
      <c r="E213" t="s">
        <v>24</v>
      </c>
      <c r="F213" t="s">
        <v>89</v>
      </c>
      <c r="G213" s="8">
        <v>1.3620000000000001</v>
      </c>
      <c r="H213" s="29">
        <v>0.95</v>
      </c>
    </row>
    <row r="214" spans="1:8" x14ac:dyDescent="0.3">
      <c r="A214">
        <v>202607</v>
      </c>
      <c r="B214" t="s">
        <v>107</v>
      </c>
      <c r="C214">
        <v>1768844534</v>
      </c>
      <c r="D214" t="s">
        <v>18</v>
      </c>
      <c r="E214" t="s">
        <v>19</v>
      </c>
      <c r="F214" t="s">
        <v>66</v>
      </c>
      <c r="G214" s="8">
        <v>0.85224999999999995</v>
      </c>
      <c r="H214" s="29">
        <v>0.35</v>
      </c>
    </row>
    <row r="215" spans="1:8" x14ac:dyDescent="0.3">
      <c r="A215">
        <v>202607</v>
      </c>
      <c r="B215" t="s">
        <v>107</v>
      </c>
      <c r="C215">
        <v>1768845468</v>
      </c>
      <c r="D215" t="s">
        <v>18</v>
      </c>
      <c r="E215" t="s">
        <v>24</v>
      </c>
      <c r="F215" t="s">
        <v>89</v>
      </c>
      <c r="G215" s="8">
        <v>1.5340499999999999</v>
      </c>
      <c r="H215" s="29">
        <v>0.95</v>
      </c>
    </row>
    <row r="216" spans="1:8" x14ac:dyDescent="0.3">
      <c r="A216">
        <v>202607</v>
      </c>
      <c r="B216" t="s">
        <v>107</v>
      </c>
      <c r="C216">
        <v>1768868727</v>
      </c>
      <c r="D216" t="s">
        <v>18</v>
      </c>
      <c r="E216" t="s">
        <v>24</v>
      </c>
      <c r="F216" t="s">
        <v>102</v>
      </c>
      <c r="G216" s="8">
        <v>0.33929999999999999</v>
      </c>
      <c r="H216" s="29">
        <v>3.35</v>
      </c>
    </row>
    <row r="217" spans="1:8" x14ac:dyDescent="0.3">
      <c r="A217">
        <v>202607</v>
      </c>
      <c r="B217" t="s">
        <v>107</v>
      </c>
      <c r="C217">
        <v>1768870004</v>
      </c>
      <c r="D217" t="s">
        <v>18</v>
      </c>
      <c r="E217" t="s">
        <v>24</v>
      </c>
      <c r="F217" t="s">
        <v>67</v>
      </c>
      <c r="G217" s="8">
        <v>1.0179</v>
      </c>
      <c r="H217" s="29">
        <v>5.14</v>
      </c>
    </row>
    <row r="218" spans="1:8" x14ac:dyDescent="0.3">
      <c r="A218">
        <v>202607</v>
      </c>
      <c r="B218" t="s">
        <v>107</v>
      </c>
      <c r="C218">
        <v>1768895899</v>
      </c>
      <c r="D218" t="s">
        <v>18</v>
      </c>
      <c r="E218" t="s">
        <v>24</v>
      </c>
      <c r="F218" t="s">
        <v>64</v>
      </c>
      <c r="G218" s="8">
        <v>0.3392</v>
      </c>
      <c r="H218" s="29">
        <v>1.3</v>
      </c>
    </row>
    <row r="219" spans="1:8" x14ac:dyDescent="0.3">
      <c r="A219">
        <v>202607</v>
      </c>
      <c r="B219" t="s">
        <v>107</v>
      </c>
      <c r="C219">
        <v>1768896046</v>
      </c>
      <c r="D219" t="s">
        <v>18</v>
      </c>
      <c r="E219" t="s">
        <v>24</v>
      </c>
      <c r="F219" t="s">
        <v>64</v>
      </c>
      <c r="G219" s="8">
        <v>0.6784</v>
      </c>
      <c r="H219" s="29">
        <v>1.3</v>
      </c>
    </row>
    <row r="220" spans="1:8" x14ac:dyDescent="0.3">
      <c r="A220">
        <v>202607</v>
      </c>
      <c r="B220" t="s">
        <v>107</v>
      </c>
      <c r="C220">
        <v>1768907234</v>
      </c>
      <c r="D220" t="s">
        <v>18</v>
      </c>
      <c r="E220" t="s">
        <v>24</v>
      </c>
      <c r="F220" t="s">
        <v>89</v>
      </c>
      <c r="G220" s="8">
        <v>1.3916459999999999</v>
      </c>
      <c r="H220" s="29">
        <v>0.95</v>
      </c>
    </row>
    <row r="221" spans="1:8" x14ac:dyDescent="0.3">
      <c r="A221">
        <v>202607</v>
      </c>
      <c r="B221" t="s">
        <v>107</v>
      </c>
      <c r="C221">
        <v>1768933790</v>
      </c>
      <c r="D221" t="s">
        <v>18</v>
      </c>
      <c r="E221" t="s">
        <v>24</v>
      </c>
      <c r="F221" t="s">
        <v>106</v>
      </c>
      <c r="G221" s="8">
        <v>0.22871563</v>
      </c>
      <c r="H221" s="29">
        <v>0.6</v>
      </c>
    </row>
    <row r="222" spans="1:8" x14ac:dyDescent="0.3">
      <c r="A222">
        <v>202607</v>
      </c>
      <c r="B222" t="s">
        <v>107</v>
      </c>
      <c r="C222">
        <v>1768939560</v>
      </c>
      <c r="D222" t="s">
        <v>23</v>
      </c>
      <c r="E222" t="s">
        <v>24</v>
      </c>
      <c r="F222" t="s">
        <v>168</v>
      </c>
      <c r="G222" s="8">
        <v>1</v>
      </c>
      <c r="H222" s="29">
        <v>1.2</v>
      </c>
    </row>
    <row r="223" spans="1:8" x14ac:dyDescent="0.3">
      <c r="A223">
        <v>202607</v>
      </c>
      <c r="B223" t="s">
        <v>107</v>
      </c>
      <c r="C223">
        <v>1768941718</v>
      </c>
      <c r="D223" t="s">
        <v>18</v>
      </c>
      <c r="E223" t="s">
        <v>24</v>
      </c>
      <c r="F223" t="s">
        <v>67</v>
      </c>
      <c r="G223" s="8">
        <v>0.13611999999999999</v>
      </c>
      <c r="H223" s="29">
        <v>5.14</v>
      </c>
    </row>
    <row r="224" spans="1:8" x14ac:dyDescent="0.3">
      <c r="A224">
        <v>202607</v>
      </c>
      <c r="B224" t="s">
        <v>107</v>
      </c>
      <c r="C224">
        <v>1768956812</v>
      </c>
      <c r="D224" t="s">
        <v>18</v>
      </c>
      <c r="E224" t="s">
        <v>24</v>
      </c>
      <c r="F224" t="s">
        <v>106</v>
      </c>
      <c r="G224" s="8">
        <v>0.84344799999999998</v>
      </c>
      <c r="H224" s="29">
        <v>0.6</v>
      </c>
    </row>
    <row r="225" spans="1:8" x14ac:dyDescent="0.3">
      <c r="A225">
        <v>202607</v>
      </c>
      <c r="B225" t="s">
        <v>107</v>
      </c>
      <c r="C225">
        <v>1768969124</v>
      </c>
      <c r="D225" t="s">
        <v>18</v>
      </c>
      <c r="E225" t="s">
        <v>24</v>
      </c>
      <c r="F225" t="s">
        <v>66</v>
      </c>
      <c r="G225" s="8">
        <v>1.0609950376500001</v>
      </c>
      <c r="H225" s="29">
        <v>0.35</v>
      </c>
    </row>
    <row r="226" spans="1:8" x14ac:dyDescent="0.3">
      <c r="A226">
        <v>202607</v>
      </c>
      <c r="B226" t="s">
        <v>107</v>
      </c>
      <c r="C226">
        <v>1768984450</v>
      </c>
      <c r="D226" t="s">
        <v>18</v>
      </c>
      <c r="E226" t="s">
        <v>24</v>
      </c>
      <c r="F226" t="s">
        <v>89</v>
      </c>
      <c r="G226" s="8">
        <v>1.4947950000000001</v>
      </c>
      <c r="H226" s="29">
        <v>0.95</v>
      </c>
    </row>
    <row r="227" spans="1:8" x14ac:dyDescent="0.3">
      <c r="A227">
        <v>202607</v>
      </c>
      <c r="B227" t="s">
        <v>107</v>
      </c>
      <c r="C227">
        <v>1769001166</v>
      </c>
      <c r="D227" t="s">
        <v>18</v>
      </c>
      <c r="E227" t="s">
        <v>19</v>
      </c>
      <c r="F227" t="s">
        <v>185</v>
      </c>
      <c r="G227" s="8">
        <v>3.4049999999999998</v>
      </c>
      <c r="H227" s="29">
        <v>1.85</v>
      </c>
    </row>
    <row r="228" spans="1:8" x14ac:dyDescent="0.3">
      <c r="A228">
        <v>202607</v>
      </c>
      <c r="B228" t="s">
        <v>107</v>
      </c>
      <c r="C228">
        <v>1769049185</v>
      </c>
      <c r="D228" t="s">
        <v>18</v>
      </c>
      <c r="E228" t="s">
        <v>24</v>
      </c>
      <c r="F228" t="s">
        <v>199</v>
      </c>
      <c r="G228" s="8">
        <v>0.64524000000000004</v>
      </c>
      <c r="H228" s="29">
        <v>5.35</v>
      </c>
    </row>
    <row r="229" spans="1:8" x14ac:dyDescent="0.3">
      <c r="A229">
        <v>202607</v>
      </c>
      <c r="B229" t="s">
        <v>41</v>
      </c>
      <c r="C229">
        <v>1764761472</v>
      </c>
      <c r="D229" t="s">
        <v>23</v>
      </c>
      <c r="E229" t="s">
        <v>19</v>
      </c>
      <c r="F229" t="s">
        <v>126</v>
      </c>
      <c r="G229" s="8">
        <v>0.7</v>
      </c>
      <c r="H229" s="29">
        <v>0.4</v>
      </c>
    </row>
    <row r="230" spans="1:8" x14ac:dyDescent="0.3">
      <c r="A230">
        <v>202607</v>
      </c>
      <c r="B230" t="s">
        <v>41</v>
      </c>
      <c r="C230">
        <v>1764761529</v>
      </c>
      <c r="D230" t="s">
        <v>23</v>
      </c>
      <c r="E230" t="s">
        <v>19</v>
      </c>
      <c r="F230" t="s">
        <v>126</v>
      </c>
      <c r="G230" s="8">
        <v>1</v>
      </c>
      <c r="H230" s="29">
        <v>0.4</v>
      </c>
    </row>
    <row r="231" spans="1:8" x14ac:dyDescent="0.3">
      <c r="A231">
        <v>202607</v>
      </c>
      <c r="B231" t="s">
        <v>41</v>
      </c>
      <c r="C231">
        <v>1764761553</v>
      </c>
      <c r="D231" t="s">
        <v>23</v>
      </c>
      <c r="E231" t="s">
        <v>19</v>
      </c>
      <c r="F231" t="s">
        <v>126</v>
      </c>
      <c r="G231" s="8">
        <v>1</v>
      </c>
      <c r="H231" s="29">
        <v>0.4</v>
      </c>
    </row>
    <row r="232" spans="1:8" x14ac:dyDescent="0.3">
      <c r="A232">
        <v>202607</v>
      </c>
      <c r="B232" t="s">
        <v>41</v>
      </c>
      <c r="C232">
        <v>1768835349</v>
      </c>
      <c r="D232" t="s">
        <v>23</v>
      </c>
      <c r="E232" t="s">
        <v>19</v>
      </c>
      <c r="F232" t="s">
        <v>126</v>
      </c>
      <c r="G232" s="8">
        <v>1</v>
      </c>
      <c r="H232" s="29">
        <v>0.4</v>
      </c>
    </row>
    <row r="233" spans="1:8" x14ac:dyDescent="0.3">
      <c r="A233">
        <v>202607</v>
      </c>
      <c r="B233" t="s">
        <v>41</v>
      </c>
      <c r="C233">
        <v>1768835489</v>
      </c>
      <c r="D233" t="s">
        <v>23</v>
      </c>
      <c r="E233" t="s">
        <v>19</v>
      </c>
      <c r="F233" t="s">
        <v>126</v>
      </c>
      <c r="G233" s="8">
        <v>1</v>
      </c>
      <c r="H233" s="29">
        <v>0.4</v>
      </c>
    </row>
    <row r="234" spans="1:8" x14ac:dyDescent="0.3">
      <c r="A234">
        <v>202607</v>
      </c>
      <c r="B234" t="s">
        <v>41</v>
      </c>
      <c r="C234">
        <v>1768838062</v>
      </c>
      <c r="D234" t="s">
        <v>23</v>
      </c>
      <c r="E234" t="s">
        <v>19</v>
      </c>
      <c r="F234" t="s">
        <v>126</v>
      </c>
      <c r="G234" s="8">
        <v>0.3</v>
      </c>
      <c r="H234" s="29">
        <v>0.4</v>
      </c>
    </row>
    <row r="235" spans="1:8" x14ac:dyDescent="0.3">
      <c r="A235">
        <v>202607</v>
      </c>
      <c r="B235" t="s">
        <v>41</v>
      </c>
      <c r="C235">
        <v>1768838097</v>
      </c>
      <c r="D235" t="s">
        <v>23</v>
      </c>
      <c r="E235" t="s">
        <v>19</v>
      </c>
      <c r="F235" t="s">
        <v>126</v>
      </c>
      <c r="G235" s="8">
        <v>1</v>
      </c>
      <c r="H235" s="29">
        <v>0.4</v>
      </c>
    </row>
    <row r="236" spans="1:8" x14ac:dyDescent="0.3">
      <c r="A236">
        <v>202607</v>
      </c>
      <c r="B236" t="s">
        <v>41</v>
      </c>
      <c r="C236">
        <v>1768839557</v>
      </c>
      <c r="D236" t="s">
        <v>18</v>
      </c>
      <c r="E236" t="s">
        <v>48</v>
      </c>
      <c r="F236" t="s">
        <v>108</v>
      </c>
      <c r="G236" s="8">
        <v>1.7453757599999999</v>
      </c>
      <c r="H236" s="29">
        <v>1.3</v>
      </c>
    </row>
    <row r="237" spans="1:8" x14ac:dyDescent="0.3">
      <c r="A237">
        <v>202607</v>
      </c>
      <c r="B237" t="s">
        <v>27</v>
      </c>
      <c r="C237">
        <v>1742102409</v>
      </c>
      <c r="D237" t="s">
        <v>18</v>
      </c>
      <c r="E237" t="s">
        <v>24</v>
      </c>
      <c r="F237" t="s">
        <v>267</v>
      </c>
      <c r="G237" s="8">
        <v>10.215</v>
      </c>
      <c r="H237" s="29">
        <v>0.33</v>
      </c>
    </row>
    <row r="238" spans="1:8" x14ac:dyDescent="0.3">
      <c r="A238">
        <v>202607</v>
      </c>
      <c r="B238" t="s">
        <v>27</v>
      </c>
      <c r="C238">
        <v>1764739124</v>
      </c>
      <c r="D238" t="s">
        <v>23</v>
      </c>
      <c r="E238" t="s">
        <v>19</v>
      </c>
      <c r="F238" t="s">
        <v>127</v>
      </c>
      <c r="G238" s="8">
        <v>2.000915E-2</v>
      </c>
      <c r="H238" s="29">
        <v>0</v>
      </c>
    </row>
    <row r="239" spans="1:8" x14ac:dyDescent="0.3">
      <c r="A239">
        <v>202607</v>
      </c>
      <c r="B239" t="s">
        <v>27</v>
      </c>
      <c r="C239">
        <v>1768831610</v>
      </c>
      <c r="D239" t="s">
        <v>23</v>
      </c>
      <c r="E239" t="s">
        <v>19</v>
      </c>
      <c r="F239" t="s">
        <v>128</v>
      </c>
      <c r="G239" s="8">
        <v>7.2</v>
      </c>
      <c r="H239" s="29">
        <v>0.3</v>
      </c>
    </row>
    <row r="240" spans="1:8" x14ac:dyDescent="0.3">
      <c r="A240">
        <v>202607</v>
      </c>
      <c r="B240" t="s">
        <v>27</v>
      </c>
      <c r="C240">
        <v>1768855749</v>
      </c>
      <c r="D240" t="s">
        <v>18</v>
      </c>
      <c r="E240" t="s">
        <v>24</v>
      </c>
      <c r="F240" t="s">
        <v>93</v>
      </c>
      <c r="G240" s="8">
        <v>2.206778742</v>
      </c>
      <c r="H240" s="29">
        <v>0.3</v>
      </c>
    </row>
    <row r="241" spans="1:8" x14ac:dyDescent="0.3">
      <c r="A241">
        <v>202607</v>
      </c>
      <c r="B241" t="s">
        <v>27</v>
      </c>
      <c r="C241">
        <v>1768880387</v>
      </c>
      <c r="D241" t="s">
        <v>23</v>
      </c>
      <c r="E241" t="s">
        <v>19</v>
      </c>
      <c r="F241" t="s">
        <v>83</v>
      </c>
      <c r="G241" s="8">
        <v>2.5</v>
      </c>
      <c r="H241" s="29">
        <v>4.1500000000000004</v>
      </c>
    </row>
    <row r="242" spans="1:8" x14ac:dyDescent="0.3">
      <c r="A242">
        <v>202607</v>
      </c>
      <c r="B242" t="s">
        <v>27</v>
      </c>
      <c r="C242">
        <v>1768882010</v>
      </c>
      <c r="D242" t="s">
        <v>23</v>
      </c>
      <c r="E242" t="s">
        <v>19</v>
      </c>
      <c r="F242" t="s">
        <v>128</v>
      </c>
      <c r="G242" s="8">
        <v>9.4</v>
      </c>
      <c r="H242" s="29">
        <v>0.35</v>
      </c>
    </row>
    <row r="243" spans="1:8" x14ac:dyDescent="0.3">
      <c r="A243">
        <v>202607</v>
      </c>
      <c r="B243" t="s">
        <v>27</v>
      </c>
      <c r="C243">
        <v>1768898677</v>
      </c>
      <c r="D243" t="s">
        <v>18</v>
      </c>
      <c r="E243" t="s">
        <v>48</v>
      </c>
      <c r="F243" t="s">
        <v>84</v>
      </c>
      <c r="G243" s="8">
        <v>1.6252800000000001</v>
      </c>
      <c r="H243" s="29">
        <v>0.9</v>
      </c>
    </row>
    <row r="244" spans="1:8" x14ac:dyDescent="0.3">
      <c r="A244">
        <v>202607</v>
      </c>
      <c r="B244" t="s">
        <v>27</v>
      </c>
      <c r="C244">
        <v>1768903336</v>
      </c>
      <c r="D244" t="s">
        <v>18</v>
      </c>
      <c r="E244" t="s">
        <v>48</v>
      </c>
      <c r="F244" t="s">
        <v>85</v>
      </c>
      <c r="G244" s="8">
        <v>16.93</v>
      </c>
      <c r="H244" s="29">
        <v>1.05</v>
      </c>
    </row>
    <row r="245" spans="1:8" x14ac:dyDescent="0.3">
      <c r="A245">
        <v>202607</v>
      </c>
      <c r="B245" t="s">
        <v>27</v>
      </c>
      <c r="C245">
        <v>1768921105</v>
      </c>
      <c r="D245" t="s">
        <v>18</v>
      </c>
      <c r="E245" t="s">
        <v>24</v>
      </c>
      <c r="F245" t="s">
        <v>149</v>
      </c>
      <c r="G245" s="8">
        <v>1.3620000000000001</v>
      </c>
      <c r="H245" s="29">
        <v>1.75</v>
      </c>
    </row>
    <row r="246" spans="1:8" x14ac:dyDescent="0.3">
      <c r="A246">
        <v>202607</v>
      </c>
      <c r="B246" t="s">
        <v>27</v>
      </c>
      <c r="C246">
        <v>1768922314</v>
      </c>
      <c r="D246" t="s">
        <v>18</v>
      </c>
      <c r="E246" t="s">
        <v>24</v>
      </c>
      <c r="F246" t="s">
        <v>150</v>
      </c>
      <c r="G246" s="8">
        <v>5.3560650000000001</v>
      </c>
      <c r="H246" s="29">
        <v>0.5</v>
      </c>
    </row>
    <row r="247" spans="1:8" x14ac:dyDescent="0.3">
      <c r="A247">
        <v>202607</v>
      </c>
      <c r="B247" t="s">
        <v>27</v>
      </c>
      <c r="C247">
        <v>1768926182</v>
      </c>
      <c r="D247" t="s">
        <v>23</v>
      </c>
      <c r="E247" t="s">
        <v>34</v>
      </c>
      <c r="F247" t="s">
        <v>151</v>
      </c>
      <c r="G247" s="8">
        <v>7.0987449999999994E-2</v>
      </c>
      <c r="H247" s="29">
        <v>3</v>
      </c>
    </row>
    <row r="248" spans="1:8" x14ac:dyDescent="0.3">
      <c r="A248">
        <v>202607</v>
      </c>
      <c r="B248" t="s">
        <v>27</v>
      </c>
      <c r="C248">
        <v>1768934002</v>
      </c>
      <c r="D248" t="s">
        <v>23</v>
      </c>
      <c r="E248" t="s">
        <v>34</v>
      </c>
      <c r="F248" t="s">
        <v>151</v>
      </c>
      <c r="G248" s="8">
        <v>0.13291454999999999</v>
      </c>
      <c r="H248" s="29">
        <v>3.1</v>
      </c>
    </row>
    <row r="249" spans="1:8" x14ac:dyDescent="0.3">
      <c r="A249">
        <v>202607</v>
      </c>
      <c r="B249" t="s">
        <v>27</v>
      </c>
      <c r="C249">
        <v>1768944792</v>
      </c>
      <c r="D249" t="s">
        <v>23</v>
      </c>
      <c r="E249" t="s">
        <v>24</v>
      </c>
      <c r="F249" t="s">
        <v>151</v>
      </c>
      <c r="G249" s="8">
        <v>3.4</v>
      </c>
      <c r="H249" s="29">
        <v>3.05</v>
      </c>
    </row>
    <row r="250" spans="1:8" x14ac:dyDescent="0.3">
      <c r="A250">
        <v>202607</v>
      </c>
      <c r="B250" t="s">
        <v>27</v>
      </c>
      <c r="C250">
        <v>1768945276</v>
      </c>
      <c r="D250" t="s">
        <v>23</v>
      </c>
      <c r="E250" t="s">
        <v>19</v>
      </c>
      <c r="F250" t="s">
        <v>169</v>
      </c>
      <c r="G250" s="8">
        <v>3.38</v>
      </c>
      <c r="H250" s="29">
        <v>3.5</v>
      </c>
    </row>
    <row r="251" spans="1:8" x14ac:dyDescent="0.3">
      <c r="A251">
        <v>202607</v>
      </c>
      <c r="B251" t="s">
        <v>27</v>
      </c>
      <c r="C251">
        <v>1768957843</v>
      </c>
      <c r="D251" t="s">
        <v>18</v>
      </c>
      <c r="E251" t="s">
        <v>24</v>
      </c>
      <c r="F251" t="s">
        <v>186</v>
      </c>
      <c r="G251" s="8">
        <v>10.202999999999999</v>
      </c>
      <c r="H251" s="29">
        <v>0.7</v>
      </c>
    </row>
    <row r="252" spans="1:8" x14ac:dyDescent="0.3">
      <c r="A252">
        <v>202607</v>
      </c>
      <c r="B252" t="s">
        <v>114</v>
      </c>
      <c r="C252">
        <v>1764752333</v>
      </c>
      <c r="D252" t="s">
        <v>23</v>
      </c>
      <c r="E252" t="s">
        <v>34</v>
      </c>
      <c r="F252" t="s">
        <v>70</v>
      </c>
      <c r="G252" s="8">
        <v>0.28499999999999998</v>
      </c>
      <c r="H252" s="29">
        <v>10.08</v>
      </c>
    </row>
    <row r="253" spans="1:8" x14ac:dyDescent="0.3">
      <c r="A253">
        <v>202607</v>
      </c>
      <c r="B253" t="s">
        <v>114</v>
      </c>
      <c r="C253">
        <v>1768883106</v>
      </c>
      <c r="D253" t="s">
        <v>18</v>
      </c>
      <c r="E253" t="s">
        <v>24</v>
      </c>
      <c r="F253" t="s">
        <v>129</v>
      </c>
      <c r="G253" s="8">
        <v>1.36</v>
      </c>
      <c r="H253" s="29">
        <v>1.08</v>
      </c>
    </row>
    <row r="254" spans="1:8" x14ac:dyDescent="0.3">
      <c r="A254">
        <v>202607</v>
      </c>
      <c r="B254" t="s">
        <v>114</v>
      </c>
      <c r="C254">
        <v>1768905230</v>
      </c>
      <c r="D254" t="s">
        <v>18</v>
      </c>
      <c r="E254" t="s">
        <v>19</v>
      </c>
      <c r="F254" t="s">
        <v>130</v>
      </c>
      <c r="G254" s="8">
        <v>0.16930000000000001</v>
      </c>
      <c r="H254" s="29">
        <v>2.25</v>
      </c>
    </row>
    <row r="255" spans="1:8" x14ac:dyDescent="0.3">
      <c r="A255">
        <v>202607</v>
      </c>
      <c r="B255" t="s">
        <v>114</v>
      </c>
      <c r="C255">
        <v>1768959129</v>
      </c>
      <c r="D255" t="s">
        <v>23</v>
      </c>
      <c r="E255" t="s">
        <v>34</v>
      </c>
      <c r="F255" t="s">
        <v>187</v>
      </c>
      <c r="G255" s="8">
        <v>0.24660715</v>
      </c>
      <c r="H255" s="29">
        <v>3.21</v>
      </c>
    </row>
    <row r="256" spans="1:8" x14ac:dyDescent="0.3">
      <c r="A256">
        <v>202607</v>
      </c>
      <c r="B256" t="s">
        <v>114</v>
      </c>
      <c r="C256">
        <v>1769001557</v>
      </c>
      <c r="D256" t="s">
        <v>23</v>
      </c>
      <c r="E256" t="s">
        <v>34</v>
      </c>
      <c r="F256" t="s">
        <v>187</v>
      </c>
      <c r="G256" s="8">
        <v>0.15382208</v>
      </c>
      <c r="H256" s="29">
        <v>4.5</v>
      </c>
    </row>
    <row r="257" spans="1:8" x14ac:dyDescent="0.3">
      <c r="A257">
        <v>202607</v>
      </c>
      <c r="B257" t="s">
        <v>114</v>
      </c>
      <c r="C257">
        <v>1769029028</v>
      </c>
      <c r="D257" t="s">
        <v>23</v>
      </c>
      <c r="E257" t="s">
        <v>34</v>
      </c>
      <c r="F257" t="s">
        <v>70</v>
      </c>
      <c r="G257" s="8">
        <v>0.15001402</v>
      </c>
      <c r="H257" s="29">
        <v>10.18</v>
      </c>
    </row>
    <row r="258" spans="1:8" x14ac:dyDescent="0.3">
      <c r="A258">
        <v>202607</v>
      </c>
      <c r="B258" t="s">
        <v>114</v>
      </c>
      <c r="C258">
        <v>1769041516</v>
      </c>
      <c r="D258" t="s">
        <v>23</v>
      </c>
      <c r="E258" t="s">
        <v>34</v>
      </c>
      <c r="F258" t="s">
        <v>70</v>
      </c>
      <c r="G258" s="8">
        <v>0.32000354999999997</v>
      </c>
      <c r="H258" s="29">
        <v>10.23</v>
      </c>
    </row>
    <row r="259" spans="1:8" x14ac:dyDescent="0.3">
      <c r="A259">
        <v>202607</v>
      </c>
      <c r="B259" t="s">
        <v>56</v>
      </c>
      <c r="C259">
        <v>1764761286</v>
      </c>
      <c r="D259" t="s">
        <v>23</v>
      </c>
      <c r="E259" t="s">
        <v>19</v>
      </c>
      <c r="F259" t="s">
        <v>86</v>
      </c>
      <c r="G259" s="8">
        <v>1.7</v>
      </c>
      <c r="H259" s="29">
        <v>0.9</v>
      </c>
    </row>
    <row r="260" spans="1:8" x14ac:dyDescent="0.3">
      <c r="A260">
        <v>202607</v>
      </c>
      <c r="B260" t="s">
        <v>56</v>
      </c>
      <c r="C260">
        <v>1768850208</v>
      </c>
      <c r="D260" t="s">
        <v>18</v>
      </c>
      <c r="E260" t="s">
        <v>24</v>
      </c>
      <c r="F260" t="s">
        <v>104</v>
      </c>
      <c r="G260" s="8">
        <v>7.6350657110000002</v>
      </c>
      <c r="H260" s="29">
        <v>0.45</v>
      </c>
    </row>
    <row r="261" spans="1:8" x14ac:dyDescent="0.3">
      <c r="A261">
        <v>202607</v>
      </c>
      <c r="B261" t="s">
        <v>56</v>
      </c>
      <c r="C261">
        <v>1768911819</v>
      </c>
      <c r="D261" t="s">
        <v>18</v>
      </c>
      <c r="E261" t="s">
        <v>24</v>
      </c>
      <c r="F261" t="s">
        <v>152</v>
      </c>
      <c r="G261" s="8">
        <v>0.9135059647999999</v>
      </c>
      <c r="H261" s="29">
        <v>1.2</v>
      </c>
    </row>
    <row r="262" spans="1:8" x14ac:dyDescent="0.3">
      <c r="A262">
        <v>202607</v>
      </c>
      <c r="B262" t="s">
        <v>56</v>
      </c>
      <c r="C262">
        <v>1768911843</v>
      </c>
      <c r="D262" t="s">
        <v>18</v>
      </c>
      <c r="E262" t="s">
        <v>24</v>
      </c>
      <c r="F262" t="s">
        <v>152</v>
      </c>
      <c r="G262" s="8">
        <v>1.03003018752</v>
      </c>
      <c r="H262" s="29">
        <v>1.2</v>
      </c>
    </row>
    <row r="263" spans="1:8" x14ac:dyDescent="0.3">
      <c r="A263">
        <v>202607</v>
      </c>
      <c r="B263" t="s">
        <v>56</v>
      </c>
      <c r="C263">
        <v>1768916195</v>
      </c>
      <c r="D263" t="s">
        <v>18</v>
      </c>
      <c r="E263" t="s">
        <v>24</v>
      </c>
      <c r="F263" t="s">
        <v>153</v>
      </c>
      <c r="G263" s="8">
        <v>6.7839999999999998</v>
      </c>
      <c r="H263" s="29">
        <v>0.85</v>
      </c>
    </row>
    <row r="264" spans="1:8" x14ac:dyDescent="0.3">
      <c r="A264">
        <v>202607</v>
      </c>
      <c r="B264" t="s">
        <v>56</v>
      </c>
      <c r="C264">
        <v>1768917256</v>
      </c>
      <c r="D264" t="s">
        <v>18</v>
      </c>
      <c r="E264" t="s">
        <v>24</v>
      </c>
      <c r="F264" t="s">
        <v>154</v>
      </c>
      <c r="G264" s="8">
        <v>5.2444336467199992</v>
      </c>
      <c r="H264" s="29">
        <v>0.4</v>
      </c>
    </row>
    <row r="265" spans="1:8" x14ac:dyDescent="0.3">
      <c r="A265">
        <v>202607</v>
      </c>
      <c r="B265" t="s">
        <v>56</v>
      </c>
      <c r="C265">
        <v>1768918627</v>
      </c>
      <c r="D265" t="s">
        <v>18</v>
      </c>
      <c r="E265" t="s">
        <v>19</v>
      </c>
      <c r="F265" t="s">
        <v>155</v>
      </c>
      <c r="G265" s="8">
        <v>18.223559999999999</v>
      </c>
      <c r="H265" s="29">
        <v>0.25</v>
      </c>
    </row>
    <row r="266" spans="1:8" x14ac:dyDescent="0.3">
      <c r="A266">
        <v>202607</v>
      </c>
      <c r="B266" t="s">
        <v>56</v>
      </c>
      <c r="C266">
        <v>1768922470</v>
      </c>
      <c r="D266" t="s">
        <v>18</v>
      </c>
      <c r="E266" t="s">
        <v>19</v>
      </c>
      <c r="F266" t="s">
        <v>156</v>
      </c>
      <c r="G266" s="8">
        <v>3.4049999999999998</v>
      </c>
      <c r="H266" s="29">
        <v>1.6</v>
      </c>
    </row>
    <row r="267" spans="1:8" x14ac:dyDescent="0.3">
      <c r="A267">
        <v>202607</v>
      </c>
      <c r="B267" t="s">
        <v>56</v>
      </c>
      <c r="C267">
        <v>1768947953</v>
      </c>
      <c r="D267" t="s">
        <v>18</v>
      </c>
      <c r="E267" t="s">
        <v>24</v>
      </c>
      <c r="F267" t="s">
        <v>104</v>
      </c>
      <c r="G267" s="8">
        <v>3.7451589806400003</v>
      </c>
      <c r="H267" s="29">
        <v>0.4</v>
      </c>
    </row>
    <row r="268" spans="1:8" x14ac:dyDescent="0.3">
      <c r="A268">
        <v>202607</v>
      </c>
      <c r="B268" t="s">
        <v>56</v>
      </c>
      <c r="C268">
        <v>1768959420</v>
      </c>
      <c r="D268" t="s">
        <v>23</v>
      </c>
      <c r="E268" t="s">
        <v>19</v>
      </c>
      <c r="F268" t="s">
        <v>86</v>
      </c>
      <c r="G268" s="8">
        <v>3</v>
      </c>
      <c r="H268" s="29">
        <v>0.9</v>
      </c>
    </row>
    <row r="269" spans="1:8" x14ac:dyDescent="0.3">
      <c r="A269">
        <v>202607</v>
      </c>
      <c r="B269" t="s">
        <v>56</v>
      </c>
      <c r="C269">
        <v>1769028960</v>
      </c>
      <c r="D269" t="s">
        <v>23</v>
      </c>
      <c r="E269" t="s">
        <v>19</v>
      </c>
      <c r="F269" t="s">
        <v>86</v>
      </c>
      <c r="G269" s="8">
        <v>2</v>
      </c>
      <c r="H269" s="29">
        <v>0.9</v>
      </c>
    </row>
    <row r="270" spans="1:8" x14ac:dyDescent="0.3">
      <c r="A270">
        <v>202607</v>
      </c>
      <c r="B270" t="s">
        <v>56</v>
      </c>
      <c r="C270">
        <v>1769048420</v>
      </c>
      <c r="D270" t="s">
        <v>18</v>
      </c>
      <c r="E270" t="s">
        <v>24</v>
      </c>
      <c r="F270" t="s">
        <v>200</v>
      </c>
      <c r="G270" s="8">
        <v>21.427999295999999</v>
      </c>
      <c r="H270" s="29">
        <v>0.35</v>
      </c>
    </row>
    <row r="271" spans="1:8" x14ac:dyDescent="0.3">
      <c r="A271">
        <v>202607</v>
      </c>
      <c r="B271" t="s">
        <v>115</v>
      </c>
      <c r="C271">
        <v>1742173543</v>
      </c>
      <c r="D271" t="s">
        <v>18</v>
      </c>
      <c r="E271" t="s">
        <v>24</v>
      </c>
      <c r="F271" t="s">
        <v>229</v>
      </c>
      <c r="G271" s="8">
        <v>0.62486399999999998</v>
      </c>
      <c r="H271" s="29">
        <v>3.01</v>
      </c>
    </row>
    <row r="272" spans="1:8" x14ac:dyDescent="0.3">
      <c r="A272">
        <v>202607</v>
      </c>
      <c r="B272" t="s">
        <v>115</v>
      </c>
      <c r="C272">
        <v>1764780670</v>
      </c>
      <c r="D272" t="s">
        <v>23</v>
      </c>
      <c r="E272" t="s">
        <v>34</v>
      </c>
      <c r="F272" t="s">
        <v>59</v>
      </c>
      <c r="G272" s="8">
        <v>0.21680569</v>
      </c>
      <c r="H272" s="29">
        <v>1.51</v>
      </c>
    </row>
    <row r="273" spans="1:8" x14ac:dyDescent="0.3">
      <c r="A273">
        <v>202607</v>
      </c>
      <c r="B273" t="s">
        <v>115</v>
      </c>
      <c r="C273">
        <v>1768842035</v>
      </c>
      <c r="D273" t="s">
        <v>18</v>
      </c>
      <c r="E273" t="s">
        <v>19</v>
      </c>
      <c r="F273" t="s">
        <v>61</v>
      </c>
      <c r="G273" s="8">
        <v>2.3862999999999999</v>
      </c>
      <c r="H273" s="29">
        <v>0.55000000000000004</v>
      </c>
    </row>
    <row r="274" spans="1:8" x14ac:dyDescent="0.3">
      <c r="A274">
        <v>202607</v>
      </c>
      <c r="B274" t="s">
        <v>115</v>
      </c>
      <c r="C274">
        <v>1768849668</v>
      </c>
      <c r="D274" t="s">
        <v>18</v>
      </c>
      <c r="E274" t="s">
        <v>34</v>
      </c>
      <c r="F274" t="s">
        <v>59</v>
      </c>
      <c r="G274" s="8">
        <v>0.84780739119999993</v>
      </c>
      <c r="H274" s="29">
        <v>1.61</v>
      </c>
    </row>
    <row r="275" spans="1:8" x14ac:dyDescent="0.3">
      <c r="A275">
        <v>202607</v>
      </c>
      <c r="B275" t="s">
        <v>115</v>
      </c>
      <c r="C275">
        <v>1768850542</v>
      </c>
      <c r="D275" t="s">
        <v>23</v>
      </c>
      <c r="E275" t="s">
        <v>19</v>
      </c>
      <c r="F275" t="s">
        <v>62</v>
      </c>
      <c r="G275" s="8">
        <v>0.06</v>
      </c>
      <c r="H275" s="29">
        <v>9.35</v>
      </c>
    </row>
    <row r="276" spans="1:8" x14ac:dyDescent="0.3">
      <c r="A276">
        <v>202607</v>
      </c>
      <c r="B276" t="s">
        <v>115</v>
      </c>
      <c r="C276">
        <v>1768862508</v>
      </c>
      <c r="D276" t="s">
        <v>18</v>
      </c>
      <c r="E276" t="s">
        <v>19</v>
      </c>
      <c r="F276" t="s">
        <v>61</v>
      </c>
      <c r="G276" s="8">
        <v>0.97379099999999996</v>
      </c>
      <c r="H276" s="29">
        <v>0.55000000000000004</v>
      </c>
    </row>
    <row r="277" spans="1:8" x14ac:dyDescent="0.3">
      <c r="A277">
        <v>202607</v>
      </c>
      <c r="B277" t="s">
        <v>115</v>
      </c>
      <c r="C277">
        <v>1768881057</v>
      </c>
      <c r="D277" t="s">
        <v>23</v>
      </c>
      <c r="E277" t="s">
        <v>24</v>
      </c>
      <c r="F277" t="s">
        <v>60</v>
      </c>
      <c r="G277" s="8">
        <v>0.47</v>
      </c>
      <c r="H277" s="29">
        <v>2.4500000000000002</v>
      </c>
    </row>
    <row r="278" spans="1:8" x14ac:dyDescent="0.3">
      <c r="A278">
        <v>202607</v>
      </c>
      <c r="B278" t="s">
        <v>115</v>
      </c>
      <c r="C278">
        <v>1768881723</v>
      </c>
      <c r="D278" t="s">
        <v>18</v>
      </c>
      <c r="E278" t="s">
        <v>24</v>
      </c>
      <c r="F278" t="s">
        <v>105</v>
      </c>
      <c r="G278" s="8">
        <v>0.36375647999999999</v>
      </c>
      <c r="H278" s="29">
        <v>3.38</v>
      </c>
    </row>
    <row r="279" spans="1:8" x14ac:dyDescent="0.3">
      <c r="A279">
        <v>202607</v>
      </c>
      <c r="B279" t="s">
        <v>115</v>
      </c>
      <c r="C279">
        <v>1768921385</v>
      </c>
      <c r="D279" t="s">
        <v>18</v>
      </c>
      <c r="E279" t="s">
        <v>24</v>
      </c>
      <c r="F279" t="s">
        <v>157</v>
      </c>
      <c r="G279" s="8">
        <v>5.1074999999999999</v>
      </c>
      <c r="H279" s="29">
        <v>0.3</v>
      </c>
    </row>
    <row r="280" spans="1:8" x14ac:dyDescent="0.3">
      <c r="A280">
        <v>202607</v>
      </c>
      <c r="B280" t="s">
        <v>115</v>
      </c>
      <c r="C280">
        <v>1768922233</v>
      </c>
      <c r="D280" t="s">
        <v>18</v>
      </c>
      <c r="E280" t="s">
        <v>19</v>
      </c>
      <c r="F280" t="s">
        <v>158</v>
      </c>
      <c r="G280" s="8">
        <v>0.40860000000000002</v>
      </c>
      <c r="H280" s="29">
        <v>3.37</v>
      </c>
    </row>
    <row r="281" spans="1:8" x14ac:dyDescent="0.3">
      <c r="A281">
        <v>202607</v>
      </c>
      <c r="B281" t="s">
        <v>115</v>
      </c>
      <c r="C281">
        <v>1768933626</v>
      </c>
      <c r="D281" t="s">
        <v>18</v>
      </c>
      <c r="E281" t="s">
        <v>34</v>
      </c>
      <c r="F281" t="s">
        <v>59</v>
      </c>
      <c r="G281" s="8">
        <v>0.54959042122000001</v>
      </c>
      <c r="H281" s="29">
        <v>1.91</v>
      </c>
    </row>
    <row r="282" spans="1:8" x14ac:dyDescent="0.3">
      <c r="A282">
        <v>202607</v>
      </c>
      <c r="B282" t="s">
        <v>115</v>
      </c>
      <c r="C282">
        <v>1768958769</v>
      </c>
      <c r="D282" t="s">
        <v>18</v>
      </c>
      <c r="E282" t="s">
        <v>24</v>
      </c>
      <c r="F282" t="s">
        <v>188</v>
      </c>
      <c r="G282" s="8">
        <v>1.7004999999999999</v>
      </c>
      <c r="H282" s="29">
        <v>0.3</v>
      </c>
    </row>
    <row r="283" spans="1:8" x14ac:dyDescent="0.3">
      <c r="A283">
        <v>202607</v>
      </c>
      <c r="B283" t="s">
        <v>115</v>
      </c>
      <c r="C283">
        <v>1768958840</v>
      </c>
      <c r="D283" t="s">
        <v>18</v>
      </c>
      <c r="E283" t="s">
        <v>24</v>
      </c>
      <c r="F283" t="s">
        <v>188</v>
      </c>
      <c r="G283" s="8">
        <v>1.7004999999999999</v>
      </c>
      <c r="H283" s="29">
        <v>0.3</v>
      </c>
    </row>
    <row r="284" spans="1:8" x14ac:dyDescent="0.3">
      <c r="A284">
        <v>202607</v>
      </c>
      <c r="B284" t="s">
        <v>40</v>
      </c>
      <c r="C284">
        <v>1764767160</v>
      </c>
      <c r="D284" t="s">
        <v>18</v>
      </c>
      <c r="E284" t="s">
        <v>19</v>
      </c>
      <c r="F284" t="s">
        <v>58</v>
      </c>
      <c r="G284" s="8">
        <v>0.232763</v>
      </c>
      <c r="H284" s="29">
        <v>4.0999999999999996</v>
      </c>
    </row>
    <row r="285" spans="1:8" x14ac:dyDescent="0.3">
      <c r="A285">
        <v>202607</v>
      </c>
      <c r="B285" t="s">
        <v>40</v>
      </c>
      <c r="C285">
        <v>1768834120</v>
      </c>
      <c r="D285" t="s">
        <v>23</v>
      </c>
      <c r="E285" t="s">
        <v>34</v>
      </c>
      <c r="F285" t="s">
        <v>54</v>
      </c>
      <c r="G285" s="8">
        <v>8.0286240000000009E-2</v>
      </c>
      <c r="H285" s="29">
        <v>2.2000000000000002</v>
      </c>
    </row>
    <row r="286" spans="1:8" x14ac:dyDescent="0.3">
      <c r="A286">
        <v>202607</v>
      </c>
      <c r="B286" t="s">
        <v>40</v>
      </c>
      <c r="C286">
        <v>1768854904</v>
      </c>
      <c r="D286" t="s">
        <v>18</v>
      </c>
      <c r="E286" t="s">
        <v>19</v>
      </c>
      <c r="F286" t="s">
        <v>131</v>
      </c>
      <c r="G286" s="8">
        <v>4.0823999999999998</v>
      </c>
      <c r="H286" s="29">
        <v>0.35</v>
      </c>
    </row>
    <row r="287" spans="1:8" x14ac:dyDescent="0.3">
      <c r="A287">
        <v>202607</v>
      </c>
      <c r="B287" t="s">
        <v>40</v>
      </c>
      <c r="C287">
        <v>1768874050</v>
      </c>
      <c r="D287" t="s">
        <v>23</v>
      </c>
      <c r="E287" t="s">
        <v>19</v>
      </c>
      <c r="F287" t="s">
        <v>132</v>
      </c>
      <c r="G287" s="8">
        <v>12.638012</v>
      </c>
      <c r="H287" s="29">
        <v>2.9</v>
      </c>
    </row>
    <row r="288" spans="1:8" x14ac:dyDescent="0.3">
      <c r="A288">
        <v>202607</v>
      </c>
      <c r="B288" t="s">
        <v>40</v>
      </c>
      <c r="C288">
        <v>1768882827</v>
      </c>
      <c r="D288" t="s">
        <v>18</v>
      </c>
      <c r="E288" t="s">
        <v>34</v>
      </c>
      <c r="F288" t="s">
        <v>53</v>
      </c>
      <c r="G288" s="8">
        <v>3.0531290759999998</v>
      </c>
      <c r="H288" s="29">
        <v>3</v>
      </c>
    </row>
    <row r="289" spans="1:8" x14ac:dyDescent="0.3">
      <c r="A289">
        <v>202607</v>
      </c>
      <c r="B289" t="s">
        <v>40</v>
      </c>
      <c r="C289">
        <v>1768985626</v>
      </c>
      <c r="D289" t="s">
        <v>23</v>
      </c>
      <c r="E289" t="s">
        <v>19</v>
      </c>
      <c r="F289" t="s">
        <v>189</v>
      </c>
      <c r="G289" s="8">
        <v>1.6950000000000001</v>
      </c>
      <c r="H289" s="29">
        <v>1.2</v>
      </c>
    </row>
    <row r="290" spans="1:8" x14ac:dyDescent="0.3">
      <c r="A290">
        <v>202607</v>
      </c>
      <c r="B290" t="s">
        <v>40</v>
      </c>
      <c r="C290">
        <v>1768985723</v>
      </c>
      <c r="D290" t="s">
        <v>18</v>
      </c>
      <c r="E290" t="s">
        <v>34</v>
      </c>
      <c r="F290" t="s">
        <v>53</v>
      </c>
      <c r="G290" s="8">
        <v>5.9606675257500008</v>
      </c>
      <c r="H290" s="29">
        <v>2.9</v>
      </c>
    </row>
    <row r="291" spans="1:8" x14ac:dyDescent="0.3">
      <c r="A291">
        <v>202607</v>
      </c>
      <c r="B291" t="s">
        <v>40</v>
      </c>
      <c r="C291">
        <v>1768985740</v>
      </c>
      <c r="D291" t="s">
        <v>18</v>
      </c>
      <c r="E291" t="s">
        <v>34</v>
      </c>
      <c r="F291" t="s">
        <v>53</v>
      </c>
      <c r="G291" s="8">
        <v>1.5815576007000001</v>
      </c>
      <c r="H291" s="29">
        <v>2.9</v>
      </c>
    </row>
    <row r="292" spans="1:8" x14ac:dyDescent="0.3">
      <c r="A292">
        <v>202607</v>
      </c>
      <c r="B292" t="s">
        <v>40</v>
      </c>
      <c r="C292">
        <v>1769028722</v>
      </c>
      <c r="D292" t="s">
        <v>23</v>
      </c>
      <c r="E292" t="s">
        <v>19</v>
      </c>
      <c r="F292" t="s">
        <v>201</v>
      </c>
      <c r="G292" s="8">
        <v>0.22334599999999999</v>
      </c>
      <c r="H292" s="29">
        <v>3.25</v>
      </c>
    </row>
    <row r="293" spans="1:8" x14ac:dyDescent="0.3">
      <c r="A293">
        <v>202607</v>
      </c>
      <c r="B293" t="s">
        <v>40</v>
      </c>
      <c r="C293">
        <v>1769042423</v>
      </c>
      <c r="D293" t="s">
        <v>23</v>
      </c>
      <c r="E293" t="s">
        <v>19</v>
      </c>
      <c r="F293" t="s">
        <v>202</v>
      </c>
      <c r="G293" s="8">
        <v>1.3</v>
      </c>
      <c r="H293" s="29">
        <v>1.1000000000000001</v>
      </c>
    </row>
    <row r="294" spans="1:8" x14ac:dyDescent="0.3">
      <c r="A294">
        <v>202607</v>
      </c>
      <c r="B294" t="s">
        <v>116</v>
      </c>
      <c r="C294">
        <v>1764762479</v>
      </c>
      <c r="D294" t="s">
        <v>18</v>
      </c>
      <c r="E294" t="s">
        <v>24</v>
      </c>
      <c r="F294" t="s">
        <v>51</v>
      </c>
      <c r="G294" s="8">
        <v>0.67959999999999998</v>
      </c>
      <c r="H294" s="29">
        <v>2.65</v>
      </c>
    </row>
    <row r="295" spans="1:8" x14ac:dyDescent="0.3">
      <c r="A295">
        <v>202607</v>
      </c>
      <c r="B295" t="s">
        <v>116</v>
      </c>
      <c r="C295">
        <v>1768839522</v>
      </c>
      <c r="D295" t="s">
        <v>18</v>
      </c>
      <c r="E295" t="s">
        <v>24</v>
      </c>
      <c r="F295" t="s">
        <v>49</v>
      </c>
      <c r="G295" s="8">
        <v>0.68100000000000005</v>
      </c>
      <c r="H295" s="29">
        <v>1.1000000000000001</v>
      </c>
    </row>
    <row r="296" spans="1:8" x14ac:dyDescent="0.3">
      <c r="A296">
        <v>202607</v>
      </c>
      <c r="B296" t="s">
        <v>116</v>
      </c>
      <c r="C296">
        <v>1768839603</v>
      </c>
      <c r="D296" t="s">
        <v>18</v>
      </c>
      <c r="E296" t="s">
        <v>24</v>
      </c>
      <c r="F296" t="s">
        <v>49</v>
      </c>
      <c r="G296" s="8">
        <v>0.68100000000000005</v>
      </c>
      <c r="H296" s="29">
        <v>1.1000000000000001</v>
      </c>
    </row>
    <row r="297" spans="1:8" x14ac:dyDescent="0.3">
      <c r="A297">
        <v>202607</v>
      </c>
      <c r="B297" t="s">
        <v>116</v>
      </c>
      <c r="C297">
        <v>1768855617</v>
      </c>
      <c r="D297" t="s">
        <v>18</v>
      </c>
      <c r="E297" t="s">
        <v>48</v>
      </c>
      <c r="F297" t="s">
        <v>50</v>
      </c>
      <c r="G297" s="8">
        <v>1.1566799999999999</v>
      </c>
      <c r="H297" s="29">
        <v>3.15</v>
      </c>
    </row>
    <row r="298" spans="1:8" x14ac:dyDescent="0.3">
      <c r="A298">
        <v>202607</v>
      </c>
      <c r="B298" t="s">
        <v>116</v>
      </c>
      <c r="C298">
        <v>1768882169</v>
      </c>
      <c r="D298" t="s">
        <v>23</v>
      </c>
      <c r="E298" t="s">
        <v>34</v>
      </c>
      <c r="F298" t="s">
        <v>52</v>
      </c>
      <c r="G298" s="8">
        <v>4.1595E-2</v>
      </c>
      <c r="H298" s="29">
        <v>3.55</v>
      </c>
    </row>
    <row r="299" spans="1:8" x14ac:dyDescent="0.3">
      <c r="A299">
        <v>202607</v>
      </c>
      <c r="B299" t="s">
        <v>116</v>
      </c>
      <c r="C299">
        <v>1768897440</v>
      </c>
      <c r="D299" t="s">
        <v>23</v>
      </c>
      <c r="E299" t="s">
        <v>24</v>
      </c>
      <c r="F299" t="s">
        <v>71</v>
      </c>
      <c r="G299" s="8">
        <v>2.83</v>
      </c>
      <c r="H299" s="29">
        <v>0.5</v>
      </c>
    </row>
    <row r="300" spans="1:8" x14ac:dyDescent="0.3">
      <c r="A300">
        <v>202607</v>
      </c>
      <c r="B300" t="s">
        <v>116</v>
      </c>
      <c r="C300">
        <v>1768950970</v>
      </c>
      <c r="D300" t="s">
        <v>18</v>
      </c>
      <c r="E300" t="s">
        <v>19</v>
      </c>
      <c r="F300" t="s">
        <v>170</v>
      </c>
      <c r="G300" s="8">
        <v>1.0194000000000001</v>
      </c>
      <c r="H300" s="29">
        <v>1.05</v>
      </c>
    </row>
    <row r="301" spans="1:8" x14ac:dyDescent="0.3">
      <c r="A301">
        <v>202607</v>
      </c>
      <c r="B301" t="s">
        <v>116</v>
      </c>
      <c r="C301">
        <v>1768963410</v>
      </c>
      <c r="D301" t="s">
        <v>23</v>
      </c>
      <c r="E301" t="s">
        <v>19</v>
      </c>
      <c r="F301" t="s">
        <v>190</v>
      </c>
      <c r="G301" s="8">
        <v>0.68</v>
      </c>
      <c r="H301" s="29">
        <v>3.25</v>
      </c>
    </row>
    <row r="302" spans="1:8" x14ac:dyDescent="0.3">
      <c r="A302">
        <v>202607</v>
      </c>
      <c r="B302" t="s">
        <v>116</v>
      </c>
      <c r="C302">
        <v>1769022392</v>
      </c>
      <c r="D302" t="s">
        <v>23</v>
      </c>
      <c r="E302" t="s">
        <v>34</v>
      </c>
      <c r="F302" t="s">
        <v>203</v>
      </c>
      <c r="G302" s="8">
        <v>0.59020649999999997</v>
      </c>
      <c r="H302" s="29">
        <v>3.4</v>
      </c>
    </row>
    <row r="303" spans="1:8" x14ac:dyDescent="0.3">
      <c r="A303">
        <v>202607</v>
      </c>
      <c r="B303" t="s">
        <v>116</v>
      </c>
      <c r="C303">
        <v>1769033866</v>
      </c>
      <c r="D303" t="s">
        <v>23</v>
      </c>
      <c r="E303" t="s">
        <v>24</v>
      </c>
      <c r="F303" t="s">
        <v>204</v>
      </c>
      <c r="G303" s="8">
        <v>0.32500000000000001</v>
      </c>
      <c r="H303" s="29">
        <v>2.15</v>
      </c>
    </row>
    <row r="304" spans="1:8" x14ac:dyDescent="0.3">
      <c r="A304">
        <v>202607</v>
      </c>
      <c r="B304" t="s">
        <v>116</v>
      </c>
      <c r="C304">
        <v>1769042440</v>
      </c>
      <c r="D304" t="s">
        <v>18</v>
      </c>
      <c r="E304" t="s">
        <v>34</v>
      </c>
      <c r="F304" t="s">
        <v>52</v>
      </c>
      <c r="G304" s="8">
        <v>2.3337108240000001E-2</v>
      </c>
      <c r="H304" s="29">
        <v>3.95</v>
      </c>
    </row>
    <row r="305" spans="1:8" x14ac:dyDescent="0.3">
      <c r="A305">
        <v>202607</v>
      </c>
      <c r="B305" t="s">
        <v>42</v>
      </c>
      <c r="C305">
        <v>1764781392</v>
      </c>
      <c r="D305" t="s">
        <v>18</v>
      </c>
      <c r="E305" t="s">
        <v>24</v>
      </c>
      <c r="F305" t="s">
        <v>95</v>
      </c>
      <c r="G305" s="8">
        <v>0.68100000000000005</v>
      </c>
      <c r="H305" s="29">
        <v>1</v>
      </c>
    </row>
    <row r="306" spans="1:8" x14ac:dyDescent="0.3">
      <c r="A306">
        <v>202607</v>
      </c>
      <c r="B306" t="s">
        <v>42</v>
      </c>
      <c r="C306">
        <v>1768838712</v>
      </c>
      <c r="D306" t="s">
        <v>23</v>
      </c>
      <c r="E306" t="s">
        <v>34</v>
      </c>
      <c r="F306" t="s">
        <v>87</v>
      </c>
      <c r="G306" s="8">
        <v>2.9726990000000002E-2</v>
      </c>
      <c r="H306" s="29">
        <v>2.25</v>
      </c>
    </row>
    <row r="307" spans="1:8" x14ac:dyDescent="0.3">
      <c r="A307">
        <v>202607</v>
      </c>
      <c r="B307" t="s">
        <v>42</v>
      </c>
      <c r="C307">
        <v>1768845689</v>
      </c>
      <c r="D307" t="s">
        <v>23</v>
      </c>
      <c r="E307" t="s">
        <v>19</v>
      </c>
      <c r="F307" t="s">
        <v>133</v>
      </c>
      <c r="G307" s="8">
        <v>2.6339999999999999</v>
      </c>
      <c r="H307" s="29">
        <v>0.3</v>
      </c>
    </row>
    <row r="308" spans="1:8" x14ac:dyDescent="0.3">
      <c r="A308">
        <v>202607</v>
      </c>
      <c r="B308" t="s">
        <v>42</v>
      </c>
      <c r="C308">
        <v>1768857512</v>
      </c>
      <c r="D308" t="s">
        <v>23</v>
      </c>
      <c r="E308" t="s">
        <v>19</v>
      </c>
      <c r="F308" t="s">
        <v>134</v>
      </c>
      <c r="G308" s="8">
        <v>15</v>
      </c>
      <c r="H308" s="29">
        <v>0.3</v>
      </c>
    </row>
    <row r="309" spans="1:8" x14ac:dyDescent="0.3">
      <c r="A309">
        <v>202607</v>
      </c>
      <c r="B309" t="s">
        <v>42</v>
      </c>
      <c r="C309">
        <v>1768869189</v>
      </c>
      <c r="D309" t="s">
        <v>18</v>
      </c>
      <c r="E309" t="s">
        <v>34</v>
      </c>
      <c r="F309" t="s">
        <v>87</v>
      </c>
      <c r="G309" s="8">
        <v>4.3253692560000001E-2</v>
      </c>
      <c r="H309" s="29">
        <v>2.5</v>
      </c>
    </row>
    <row r="310" spans="1:8" x14ac:dyDescent="0.3">
      <c r="A310">
        <v>202607</v>
      </c>
      <c r="B310" t="s">
        <v>42</v>
      </c>
      <c r="C310">
        <v>1768869900</v>
      </c>
      <c r="D310" t="s">
        <v>18</v>
      </c>
      <c r="E310" t="s">
        <v>34</v>
      </c>
      <c r="F310" t="s">
        <v>87</v>
      </c>
      <c r="G310" s="8">
        <v>7.5999399839999995E-2</v>
      </c>
      <c r="H310" s="29">
        <v>2.5</v>
      </c>
    </row>
    <row r="311" spans="1:8" x14ac:dyDescent="0.3">
      <c r="A311">
        <v>202607</v>
      </c>
      <c r="B311" t="s">
        <v>42</v>
      </c>
      <c r="C311">
        <v>1768888604</v>
      </c>
      <c r="D311" t="s">
        <v>23</v>
      </c>
      <c r="E311" t="s">
        <v>34</v>
      </c>
      <c r="F311" t="s">
        <v>87</v>
      </c>
      <c r="G311" s="8">
        <v>9.1922440000000008E-2</v>
      </c>
      <c r="H311" s="29">
        <v>2.1</v>
      </c>
    </row>
    <row r="312" spans="1:8" x14ac:dyDescent="0.3">
      <c r="A312">
        <v>202607</v>
      </c>
      <c r="B312" t="s">
        <v>42</v>
      </c>
      <c r="C312">
        <v>1768896160</v>
      </c>
      <c r="D312" t="s">
        <v>23</v>
      </c>
      <c r="E312" t="s">
        <v>34</v>
      </c>
      <c r="F312" t="s">
        <v>87</v>
      </c>
      <c r="G312" s="8">
        <v>2.9726990000000002E-2</v>
      </c>
      <c r="H312" s="29">
        <v>2.1</v>
      </c>
    </row>
    <row r="313" spans="1:8" x14ac:dyDescent="0.3">
      <c r="A313">
        <v>202607</v>
      </c>
      <c r="B313" t="s">
        <v>42</v>
      </c>
      <c r="C313">
        <v>1768896275</v>
      </c>
      <c r="D313" t="s">
        <v>23</v>
      </c>
      <c r="E313" t="s">
        <v>34</v>
      </c>
      <c r="F313" t="s">
        <v>87</v>
      </c>
      <c r="G313" s="8">
        <v>5.412583E-2</v>
      </c>
      <c r="H313" s="29">
        <v>2.1</v>
      </c>
    </row>
    <row r="314" spans="1:8" x14ac:dyDescent="0.3">
      <c r="A314">
        <v>202607</v>
      </c>
      <c r="B314" t="s">
        <v>42</v>
      </c>
      <c r="C314">
        <v>1768907790</v>
      </c>
      <c r="D314" t="s">
        <v>23</v>
      </c>
      <c r="E314" t="s">
        <v>34</v>
      </c>
      <c r="F314" t="s">
        <v>88</v>
      </c>
      <c r="G314" s="8">
        <v>3.2949000000000002</v>
      </c>
      <c r="H314" s="29">
        <v>0.6</v>
      </c>
    </row>
    <row r="315" spans="1:8" x14ac:dyDescent="0.3">
      <c r="A315">
        <v>202607</v>
      </c>
      <c r="B315" t="s">
        <v>42</v>
      </c>
      <c r="C315">
        <v>1768909865</v>
      </c>
      <c r="D315" t="s">
        <v>23</v>
      </c>
      <c r="E315" t="s">
        <v>34</v>
      </c>
      <c r="F315" t="s">
        <v>87</v>
      </c>
      <c r="G315" s="8">
        <v>1.4862999999999999E-2</v>
      </c>
      <c r="H315" s="29">
        <v>2.1</v>
      </c>
    </row>
    <row r="316" spans="1:8" x14ac:dyDescent="0.3">
      <c r="A316">
        <v>202607</v>
      </c>
      <c r="B316" t="s">
        <v>42</v>
      </c>
      <c r="C316">
        <v>1768922160</v>
      </c>
      <c r="D316" t="s">
        <v>23</v>
      </c>
      <c r="E316" t="s">
        <v>19</v>
      </c>
      <c r="F316" t="s">
        <v>159</v>
      </c>
      <c r="G316" s="8">
        <v>6.5</v>
      </c>
      <c r="H316" s="29">
        <v>0.42</v>
      </c>
    </row>
    <row r="317" spans="1:8" x14ac:dyDescent="0.3">
      <c r="A317">
        <v>202607</v>
      </c>
      <c r="B317" t="s">
        <v>42</v>
      </c>
      <c r="C317">
        <v>1768924210</v>
      </c>
      <c r="D317" t="s">
        <v>23</v>
      </c>
      <c r="E317" t="s">
        <v>34</v>
      </c>
      <c r="F317" t="s">
        <v>87</v>
      </c>
      <c r="G317" s="8">
        <v>5.7773650000000003E-2</v>
      </c>
      <c r="H317" s="29">
        <v>2.1</v>
      </c>
    </row>
    <row r="318" spans="1:8" x14ac:dyDescent="0.3">
      <c r="A318">
        <v>202607</v>
      </c>
      <c r="B318" t="s">
        <v>42</v>
      </c>
      <c r="C318">
        <v>1768939497</v>
      </c>
      <c r="D318" t="s">
        <v>18</v>
      </c>
      <c r="E318" t="s">
        <v>24</v>
      </c>
      <c r="F318" t="s">
        <v>171</v>
      </c>
      <c r="G318" s="8">
        <v>0.47642000000000001</v>
      </c>
      <c r="H318" s="29">
        <v>1.01</v>
      </c>
    </row>
    <row r="319" spans="1:8" x14ac:dyDescent="0.3">
      <c r="A319">
        <v>202607</v>
      </c>
      <c r="B319" t="s">
        <v>42</v>
      </c>
      <c r="C319">
        <v>1768985677</v>
      </c>
      <c r="D319" t="s">
        <v>23</v>
      </c>
      <c r="E319" t="s">
        <v>34</v>
      </c>
      <c r="F319" t="s">
        <v>88</v>
      </c>
      <c r="G319" s="8">
        <v>3.5855100000000002</v>
      </c>
      <c r="H319" s="29">
        <v>0.6</v>
      </c>
    </row>
    <row r="320" spans="1:8" x14ac:dyDescent="0.3">
      <c r="A320">
        <v>202608</v>
      </c>
      <c r="B320" t="s">
        <v>17</v>
      </c>
      <c r="C320">
        <v>1769095012</v>
      </c>
      <c r="D320" t="s">
        <v>18</v>
      </c>
      <c r="E320" t="s">
        <v>34</v>
      </c>
      <c r="F320" t="s">
        <v>118</v>
      </c>
      <c r="G320" s="8">
        <v>0.12697850976</v>
      </c>
      <c r="H320" s="29">
        <v>2.8</v>
      </c>
    </row>
    <row r="321" spans="1:8" x14ac:dyDescent="0.3">
      <c r="A321">
        <v>202608</v>
      </c>
      <c r="B321" t="s">
        <v>17</v>
      </c>
      <c r="C321">
        <v>1769110186</v>
      </c>
      <c r="D321" t="s">
        <v>23</v>
      </c>
      <c r="E321" t="s">
        <v>19</v>
      </c>
      <c r="F321" t="s">
        <v>191</v>
      </c>
      <c r="G321" s="8">
        <v>1.671</v>
      </c>
      <c r="H321" s="29">
        <v>3</v>
      </c>
    </row>
    <row r="322" spans="1:8" x14ac:dyDescent="0.3">
      <c r="A322">
        <v>202608</v>
      </c>
      <c r="B322" t="s">
        <v>17</v>
      </c>
      <c r="C322">
        <v>1773281534</v>
      </c>
      <c r="D322" t="s">
        <v>18</v>
      </c>
      <c r="E322" t="s">
        <v>24</v>
      </c>
      <c r="F322" t="s">
        <v>256</v>
      </c>
      <c r="G322" s="8">
        <v>0.66879999999999995</v>
      </c>
      <c r="H322" s="29">
        <v>4.6500000000000004</v>
      </c>
    </row>
    <row r="323" spans="1:8" x14ac:dyDescent="0.3">
      <c r="A323">
        <v>202608</v>
      </c>
      <c r="B323" t="s">
        <v>17</v>
      </c>
      <c r="C323">
        <v>1773321927</v>
      </c>
      <c r="D323" t="s">
        <v>18</v>
      </c>
      <c r="E323" t="s">
        <v>34</v>
      </c>
      <c r="F323" t="s">
        <v>160</v>
      </c>
      <c r="G323" s="8">
        <v>0.23382120783999999</v>
      </c>
      <c r="H323" s="29">
        <v>3.5</v>
      </c>
    </row>
    <row r="324" spans="1:8" x14ac:dyDescent="0.3">
      <c r="A324">
        <v>202608</v>
      </c>
      <c r="B324" t="s">
        <v>55</v>
      </c>
      <c r="C324">
        <v>1760142573</v>
      </c>
      <c r="D324" t="s">
        <v>18</v>
      </c>
      <c r="E324" t="s">
        <v>24</v>
      </c>
      <c r="F324" t="s">
        <v>194</v>
      </c>
      <c r="G324" s="8">
        <v>1.6890000000000001</v>
      </c>
      <c r="H324" s="29">
        <v>1.65</v>
      </c>
    </row>
    <row r="325" spans="1:8" x14ac:dyDescent="0.3">
      <c r="A325">
        <v>202608</v>
      </c>
      <c r="B325" t="s">
        <v>55</v>
      </c>
      <c r="C325">
        <v>1764584813</v>
      </c>
      <c r="D325" t="s">
        <v>18</v>
      </c>
      <c r="E325" t="s">
        <v>24</v>
      </c>
      <c r="F325" t="s">
        <v>194</v>
      </c>
      <c r="G325" s="8">
        <v>3.3780000000000001</v>
      </c>
      <c r="H325" s="29">
        <v>1.65</v>
      </c>
    </row>
    <row r="326" spans="1:8" x14ac:dyDescent="0.3">
      <c r="A326">
        <v>202608</v>
      </c>
      <c r="B326" t="s">
        <v>55</v>
      </c>
      <c r="C326">
        <v>1769112870</v>
      </c>
      <c r="D326" t="s">
        <v>18</v>
      </c>
      <c r="E326" t="s">
        <v>24</v>
      </c>
      <c r="F326" t="s">
        <v>65</v>
      </c>
      <c r="G326" s="8">
        <v>0.17014460200000001</v>
      </c>
      <c r="H326" s="29">
        <v>2.79</v>
      </c>
    </row>
    <row r="327" spans="1:8" x14ac:dyDescent="0.3">
      <c r="A327">
        <v>202608</v>
      </c>
      <c r="B327" t="s">
        <v>55</v>
      </c>
      <c r="C327">
        <v>1773154796</v>
      </c>
      <c r="D327" t="s">
        <v>18</v>
      </c>
      <c r="E327" t="s">
        <v>19</v>
      </c>
      <c r="F327" t="s">
        <v>63</v>
      </c>
      <c r="G327" s="8">
        <v>0.67359999999999998</v>
      </c>
      <c r="H327" s="29">
        <v>1</v>
      </c>
    </row>
    <row r="328" spans="1:8" x14ac:dyDescent="0.3">
      <c r="A328">
        <v>202608</v>
      </c>
      <c r="B328" t="s">
        <v>55</v>
      </c>
      <c r="C328">
        <v>1773157515</v>
      </c>
      <c r="D328" t="s">
        <v>23</v>
      </c>
      <c r="E328" t="s">
        <v>19</v>
      </c>
      <c r="F328" t="s">
        <v>173</v>
      </c>
      <c r="G328" s="8">
        <v>1.08</v>
      </c>
      <c r="H328" s="29">
        <v>2.0499999999999998</v>
      </c>
    </row>
    <row r="329" spans="1:8" x14ac:dyDescent="0.3">
      <c r="A329">
        <v>202608</v>
      </c>
      <c r="B329" t="s">
        <v>55</v>
      </c>
      <c r="C329">
        <v>1773166140</v>
      </c>
      <c r="D329" t="s">
        <v>18</v>
      </c>
      <c r="E329" t="s">
        <v>24</v>
      </c>
      <c r="F329" t="s">
        <v>65</v>
      </c>
      <c r="G329" s="8">
        <v>0.50731571399999997</v>
      </c>
      <c r="H329" s="29">
        <v>2.79</v>
      </c>
    </row>
    <row r="330" spans="1:8" x14ac:dyDescent="0.3">
      <c r="A330">
        <v>202608</v>
      </c>
      <c r="B330" t="s">
        <v>55</v>
      </c>
      <c r="C330">
        <v>1773175580</v>
      </c>
      <c r="D330" t="s">
        <v>18</v>
      </c>
      <c r="E330" t="s">
        <v>24</v>
      </c>
      <c r="F330" t="s">
        <v>226</v>
      </c>
      <c r="G330" s="8">
        <v>0.33660000000000001</v>
      </c>
      <c r="H330" s="29">
        <v>3.25</v>
      </c>
    </row>
    <row r="331" spans="1:8" x14ac:dyDescent="0.3">
      <c r="A331">
        <v>202608</v>
      </c>
      <c r="B331" t="s">
        <v>55</v>
      </c>
      <c r="C331">
        <v>1773186400</v>
      </c>
      <c r="D331" t="s">
        <v>18</v>
      </c>
      <c r="E331" t="s">
        <v>24</v>
      </c>
      <c r="F331" t="s">
        <v>65</v>
      </c>
      <c r="G331" s="8">
        <v>0.53934339200000003</v>
      </c>
      <c r="H331" s="29">
        <v>2.79</v>
      </c>
    </row>
    <row r="332" spans="1:8" x14ac:dyDescent="0.3">
      <c r="A332">
        <v>202608</v>
      </c>
      <c r="B332" t="s">
        <v>55</v>
      </c>
      <c r="C332">
        <v>1773230115</v>
      </c>
      <c r="D332" t="s">
        <v>18</v>
      </c>
      <c r="E332" t="s">
        <v>24</v>
      </c>
      <c r="F332" t="s">
        <v>65</v>
      </c>
      <c r="G332" s="8">
        <v>0.50441673151999999</v>
      </c>
      <c r="H332" s="29">
        <v>2.79</v>
      </c>
    </row>
    <row r="333" spans="1:8" x14ac:dyDescent="0.3">
      <c r="A333">
        <v>202608</v>
      </c>
      <c r="B333" t="s">
        <v>55</v>
      </c>
      <c r="C333">
        <v>1773269194</v>
      </c>
      <c r="D333" t="s">
        <v>18</v>
      </c>
      <c r="E333" t="s">
        <v>24</v>
      </c>
      <c r="F333" t="s">
        <v>65</v>
      </c>
      <c r="G333" s="8">
        <v>0.43750029889999997</v>
      </c>
      <c r="H333" s="29">
        <v>2.79</v>
      </c>
    </row>
    <row r="334" spans="1:8" x14ac:dyDescent="0.3">
      <c r="A334">
        <v>202608</v>
      </c>
      <c r="B334" t="s">
        <v>55</v>
      </c>
      <c r="C334">
        <v>1773297340</v>
      </c>
      <c r="D334" t="s">
        <v>18</v>
      </c>
      <c r="E334" t="s">
        <v>24</v>
      </c>
      <c r="F334" t="s">
        <v>257</v>
      </c>
      <c r="G334" s="8">
        <v>0.66879999999999995</v>
      </c>
      <c r="H334" s="29">
        <v>4.99</v>
      </c>
    </row>
    <row r="335" spans="1:8" x14ac:dyDescent="0.3">
      <c r="A335">
        <v>202608</v>
      </c>
      <c r="B335" t="s">
        <v>55</v>
      </c>
      <c r="C335">
        <v>1773304320</v>
      </c>
      <c r="D335" t="s">
        <v>18</v>
      </c>
      <c r="E335" t="s">
        <v>19</v>
      </c>
      <c r="F335" t="s">
        <v>63</v>
      </c>
      <c r="G335" s="8">
        <v>1.0035000000000001</v>
      </c>
      <c r="H335" s="29">
        <v>1</v>
      </c>
    </row>
    <row r="336" spans="1:8" x14ac:dyDescent="0.3">
      <c r="A336">
        <v>202608</v>
      </c>
      <c r="B336" t="s">
        <v>55</v>
      </c>
      <c r="C336">
        <v>1773344330</v>
      </c>
      <c r="D336" t="s">
        <v>23</v>
      </c>
      <c r="E336" t="s">
        <v>19</v>
      </c>
      <c r="F336" t="s">
        <v>192</v>
      </c>
      <c r="G336" s="8">
        <v>0.115</v>
      </c>
      <c r="H336" s="29">
        <v>2.25</v>
      </c>
    </row>
    <row r="337" spans="1:8" x14ac:dyDescent="0.3">
      <c r="A337">
        <v>202608</v>
      </c>
      <c r="B337" t="s">
        <v>55</v>
      </c>
      <c r="C337">
        <v>1773362445</v>
      </c>
      <c r="D337" t="s">
        <v>18</v>
      </c>
      <c r="E337" t="s">
        <v>19</v>
      </c>
      <c r="F337" t="s">
        <v>63</v>
      </c>
      <c r="G337" s="8">
        <v>0.6724</v>
      </c>
      <c r="H337" s="29">
        <v>1</v>
      </c>
    </row>
    <row r="338" spans="1:8" x14ac:dyDescent="0.3">
      <c r="A338">
        <v>202608</v>
      </c>
      <c r="B338" t="s">
        <v>55</v>
      </c>
      <c r="C338">
        <v>1773368620</v>
      </c>
      <c r="D338" t="s">
        <v>23</v>
      </c>
      <c r="E338" t="s">
        <v>19</v>
      </c>
      <c r="F338" t="s">
        <v>271</v>
      </c>
      <c r="G338" s="8">
        <v>0.8</v>
      </c>
      <c r="H338" s="29">
        <v>1.7</v>
      </c>
    </row>
    <row r="339" spans="1:8" x14ac:dyDescent="0.3">
      <c r="A339">
        <v>202608</v>
      </c>
      <c r="B339" t="s">
        <v>55</v>
      </c>
      <c r="C339">
        <v>1773372335</v>
      </c>
      <c r="D339" t="s">
        <v>18</v>
      </c>
      <c r="E339" t="s">
        <v>24</v>
      </c>
      <c r="F339" t="s">
        <v>194</v>
      </c>
      <c r="G339" s="8">
        <v>1.94183727352</v>
      </c>
      <c r="H339" s="29">
        <v>2.25</v>
      </c>
    </row>
    <row r="340" spans="1:8" x14ac:dyDescent="0.3">
      <c r="A340">
        <v>202608</v>
      </c>
      <c r="B340" t="s">
        <v>30</v>
      </c>
      <c r="C340">
        <v>1769078703</v>
      </c>
      <c r="D340" t="s">
        <v>18</v>
      </c>
      <c r="E340" t="s">
        <v>34</v>
      </c>
      <c r="F340" t="s">
        <v>109</v>
      </c>
      <c r="G340" s="8">
        <v>0.57523835488999997</v>
      </c>
      <c r="H340" s="29">
        <v>3.15</v>
      </c>
    </row>
    <row r="341" spans="1:8" x14ac:dyDescent="0.3">
      <c r="A341">
        <v>202608</v>
      </c>
      <c r="B341" t="s">
        <v>30</v>
      </c>
      <c r="C341">
        <v>1769086730</v>
      </c>
      <c r="D341" t="s">
        <v>18</v>
      </c>
      <c r="E341" t="s">
        <v>19</v>
      </c>
      <c r="F341" t="s">
        <v>205</v>
      </c>
      <c r="G341" s="8">
        <v>1.18685</v>
      </c>
      <c r="H341" s="29">
        <v>1.3</v>
      </c>
    </row>
    <row r="342" spans="1:8" x14ac:dyDescent="0.3">
      <c r="A342">
        <v>202608</v>
      </c>
      <c r="B342" t="s">
        <v>30</v>
      </c>
      <c r="C342">
        <v>1769094260</v>
      </c>
      <c r="D342" t="s">
        <v>18</v>
      </c>
      <c r="E342" t="s">
        <v>19</v>
      </c>
      <c r="F342" t="s">
        <v>206</v>
      </c>
      <c r="G342" s="8">
        <v>8.1335999999999995</v>
      </c>
      <c r="H342" s="29">
        <v>2.5499999999999998</v>
      </c>
    </row>
    <row r="343" spans="1:8" x14ac:dyDescent="0.3">
      <c r="A343">
        <v>202608</v>
      </c>
      <c r="B343" t="s">
        <v>30</v>
      </c>
      <c r="C343">
        <v>1773149148</v>
      </c>
      <c r="D343" t="s">
        <v>18</v>
      </c>
      <c r="E343" t="s">
        <v>19</v>
      </c>
      <c r="F343" t="s">
        <v>214</v>
      </c>
      <c r="G343" s="8">
        <v>0.28037400000000001</v>
      </c>
      <c r="H343" s="29">
        <v>3.75</v>
      </c>
    </row>
    <row r="344" spans="1:8" x14ac:dyDescent="0.3">
      <c r="A344">
        <v>202608</v>
      </c>
      <c r="B344" t="s">
        <v>30</v>
      </c>
      <c r="C344">
        <v>1773149260</v>
      </c>
      <c r="D344" t="s">
        <v>18</v>
      </c>
      <c r="E344" t="s">
        <v>19</v>
      </c>
      <c r="F344" t="s">
        <v>206</v>
      </c>
      <c r="G344" s="8">
        <v>5.0906459999999996</v>
      </c>
      <c r="H344" s="29">
        <v>2.5499999999999998</v>
      </c>
    </row>
    <row r="345" spans="1:8" x14ac:dyDescent="0.3">
      <c r="A345">
        <v>202608</v>
      </c>
      <c r="B345" t="s">
        <v>30</v>
      </c>
      <c r="C345">
        <v>1773155164</v>
      </c>
      <c r="D345" t="s">
        <v>23</v>
      </c>
      <c r="E345" t="s">
        <v>19</v>
      </c>
      <c r="F345" t="s">
        <v>220</v>
      </c>
      <c r="G345" s="8">
        <v>1</v>
      </c>
      <c r="H345" s="29">
        <v>2.17</v>
      </c>
    </row>
    <row r="346" spans="1:8" x14ac:dyDescent="0.3">
      <c r="A346">
        <v>202608</v>
      </c>
      <c r="B346" t="s">
        <v>30</v>
      </c>
      <c r="C346">
        <v>1773172069</v>
      </c>
      <c r="D346" t="s">
        <v>18</v>
      </c>
      <c r="E346" t="s">
        <v>24</v>
      </c>
      <c r="F346" t="s">
        <v>138</v>
      </c>
      <c r="G346" s="8">
        <v>0.1681</v>
      </c>
      <c r="H346" s="29">
        <v>5.45</v>
      </c>
    </row>
    <row r="347" spans="1:8" x14ac:dyDescent="0.3">
      <c r="A347">
        <v>202608</v>
      </c>
      <c r="B347" t="s">
        <v>30</v>
      </c>
      <c r="C347">
        <v>1773249606</v>
      </c>
      <c r="D347" t="s">
        <v>18</v>
      </c>
      <c r="E347" t="s">
        <v>19</v>
      </c>
      <c r="F347" t="s">
        <v>245</v>
      </c>
      <c r="G347" s="8">
        <v>1.0044</v>
      </c>
      <c r="H347" s="29">
        <v>1.7</v>
      </c>
    </row>
    <row r="348" spans="1:8" x14ac:dyDescent="0.3">
      <c r="A348">
        <v>202608</v>
      </c>
      <c r="B348" t="s">
        <v>30</v>
      </c>
      <c r="C348">
        <v>1773272136</v>
      </c>
      <c r="D348" t="s">
        <v>23</v>
      </c>
      <c r="E348" t="s">
        <v>34</v>
      </c>
      <c r="F348" t="s">
        <v>220</v>
      </c>
      <c r="G348" s="8">
        <v>3.3197623100000002</v>
      </c>
      <c r="H348" s="29">
        <v>0.9</v>
      </c>
    </row>
    <row r="349" spans="1:8" x14ac:dyDescent="0.3">
      <c r="A349">
        <v>202608</v>
      </c>
      <c r="B349" t="s">
        <v>30</v>
      </c>
      <c r="C349">
        <v>1773333658</v>
      </c>
      <c r="D349" t="s">
        <v>18</v>
      </c>
      <c r="E349" t="s">
        <v>19</v>
      </c>
      <c r="F349" t="s">
        <v>264</v>
      </c>
      <c r="G349" s="8">
        <v>0.33439999999999998</v>
      </c>
      <c r="H349" s="29">
        <v>2.0499999999999998</v>
      </c>
    </row>
    <row r="350" spans="1:8" x14ac:dyDescent="0.3">
      <c r="A350">
        <v>202608</v>
      </c>
      <c r="B350" t="s">
        <v>96</v>
      </c>
      <c r="C350">
        <v>1773217712</v>
      </c>
      <c r="D350" t="s">
        <v>18</v>
      </c>
      <c r="E350" t="s">
        <v>34</v>
      </c>
      <c r="F350" t="s">
        <v>121</v>
      </c>
      <c r="G350" s="8">
        <v>2.945144328E-2</v>
      </c>
      <c r="H350" s="29">
        <v>9.15</v>
      </c>
    </row>
    <row r="351" spans="1:8" x14ac:dyDescent="0.3">
      <c r="A351">
        <v>202608</v>
      </c>
      <c r="B351" t="s">
        <v>96</v>
      </c>
      <c r="C351">
        <v>1773218360</v>
      </c>
      <c r="D351" t="s">
        <v>23</v>
      </c>
      <c r="E351" t="s">
        <v>34</v>
      </c>
      <c r="F351" t="s">
        <v>121</v>
      </c>
      <c r="G351" s="8">
        <v>5.8734580000000002E-2</v>
      </c>
      <c r="H351" s="29">
        <v>9.15</v>
      </c>
    </row>
    <row r="352" spans="1:8" x14ac:dyDescent="0.3">
      <c r="A352">
        <v>202608</v>
      </c>
      <c r="B352" t="s">
        <v>96</v>
      </c>
      <c r="C352">
        <v>1773248545</v>
      </c>
      <c r="D352" t="s">
        <v>18</v>
      </c>
      <c r="E352" t="s">
        <v>34</v>
      </c>
      <c r="F352" t="s">
        <v>121</v>
      </c>
      <c r="G352" s="8">
        <v>7.3423648800000005E-3</v>
      </c>
      <c r="H352" s="29">
        <v>9.15</v>
      </c>
    </row>
    <row r="353" spans="1:8" x14ac:dyDescent="0.3">
      <c r="A353">
        <v>202608</v>
      </c>
      <c r="B353" t="s">
        <v>96</v>
      </c>
      <c r="C353">
        <v>1773248618</v>
      </c>
      <c r="D353" t="s">
        <v>23</v>
      </c>
      <c r="E353" t="s">
        <v>34</v>
      </c>
      <c r="F353" t="s">
        <v>121</v>
      </c>
      <c r="G353" s="8">
        <v>2.6303299999999997E-3</v>
      </c>
      <c r="H353" s="29">
        <v>9.15</v>
      </c>
    </row>
    <row r="354" spans="1:8" x14ac:dyDescent="0.3">
      <c r="A354">
        <v>202608</v>
      </c>
      <c r="B354" t="s">
        <v>96</v>
      </c>
      <c r="C354">
        <v>1773269216</v>
      </c>
      <c r="D354" t="s">
        <v>23</v>
      </c>
      <c r="E354" t="s">
        <v>34</v>
      </c>
      <c r="F354" t="s">
        <v>163</v>
      </c>
      <c r="G354" s="8">
        <v>0.32841693999999999</v>
      </c>
      <c r="H354" s="29">
        <v>5.2</v>
      </c>
    </row>
    <row r="355" spans="1:8" x14ac:dyDescent="0.3">
      <c r="A355">
        <v>202608</v>
      </c>
      <c r="B355" t="s">
        <v>96</v>
      </c>
      <c r="C355">
        <v>1773322176</v>
      </c>
      <c r="D355" t="s">
        <v>23</v>
      </c>
      <c r="E355" t="s">
        <v>34</v>
      </c>
      <c r="F355" t="s">
        <v>163</v>
      </c>
      <c r="G355" s="8">
        <v>5.5520000000000005E-4</v>
      </c>
      <c r="H355" s="29">
        <v>5.2</v>
      </c>
    </row>
    <row r="356" spans="1:8" x14ac:dyDescent="0.3">
      <c r="A356">
        <v>202608</v>
      </c>
      <c r="B356" t="s">
        <v>96</v>
      </c>
      <c r="C356">
        <v>1773343696</v>
      </c>
      <c r="D356" t="s">
        <v>23</v>
      </c>
      <c r="E356" t="s">
        <v>34</v>
      </c>
      <c r="F356" t="s">
        <v>163</v>
      </c>
      <c r="G356" s="8">
        <v>1.088893E-2</v>
      </c>
      <c r="H356" s="29">
        <v>5.2</v>
      </c>
    </row>
    <row r="357" spans="1:8" x14ac:dyDescent="0.3">
      <c r="A357">
        <v>202608</v>
      </c>
      <c r="B357" t="s">
        <v>237</v>
      </c>
      <c r="C357">
        <v>1773241620</v>
      </c>
      <c r="D357" t="s">
        <v>23</v>
      </c>
      <c r="E357" t="s">
        <v>19</v>
      </c>
      <c r="F357" t="s">
        <v>238</v>
      </c>
      <c r="G357" s="8">
        <v>1</v>
      </c>
      <c r="H357" s="29">
        <v>1.2</v>
      </c>
    </row>
    <row r="358" spans="1:8" x14ac:dyDescent="0.3">
      <c r="A358">
        <v>202608</v>
      </c>
      <c r="B358" t="s">
        <v>237</v>
      </c>
      <c r="C358">
        <v>1773280570</v>
      </c>
      <c r="D358" t="s">
        <v>18</v>
      </c>
      <c r="E358" t="s">
        <v>24</v>
      </c>
      <c r="F358" t="s">
        <v>258</v>
      </c>
      <c r="G358" s="8">
        <v>6.6879999999999997</v>
      </c>
      <c r="H358" s="29">
        <v>0.24</v>
      </c>
    </row>
    <row r="359" spans="1:8" x14ac:dyDescent="0.3">
      <c r="A359">
        <v>202608</v>
      </c>
      <c r="B359" t="s">
        <v>25</v>
      </c>
      <c r="C359">
        <v>1741972175</v>
      </c>
      <c r="D359" t="s">
        <v>18</v>
      </c>
      <c r="E359" t="s">
        <v>24</v>
      </c>
      <c r="F359" t="s">
        <v>272</v>
      </c>
      <c r="G359" s="8">
        <v>4.2867199999999999</v>
      </c>
      <c r="H359" s="29">
        <v>1.5</v>
      </c>
    </row>
    <row r="360" spans="1:8" x14ac:dyDescent="0.3">
      <c r="A360">
        <v>202608</v>
      </c>
      <c r="B360" t="s">
        <v>25</v>
      </c>
      <c r="C360">
        <v>1742079997</v>
      </c>
      <c r="D360" t="s">
        <v>18</v>
      </c>
      <c r="E360" t="s">
        <v>24</v>
      </c>
      <c r="F360" t="s">
        <v>272</v>
      </c>
      <c r="G360" s="8">
        <v>2.6791999999999998</v>
      </c>
      <c r="H360" s="29">
        <v>1.5</v>
      </c>
    </row>
    <row r="361" spans="1:8" x14ac:dyDescent="0.3">
      <c r="A361">
        <v>202608</v>
      </c>
      <c r="B361" t="s">
        <v>25</v>
      </c>
      <c r="C361">
        <v>1769063340</v>
      </c>
      <c r="D361" t="s">
        <v>18</v>
      </c>
      <c r="E361" t="s">
        <v>24</v>
      </c>
      <c r="F361" t="s">
        <v>123</v>
      </c>
      <c r="G361" s="8">
        <v>3.3969999999999998</v>
      </c>
      <c r="H361" s="29">
        <v>2.1</v>
      </c>
    </row>
    <row r="362" spans="1:8" x14ac:dyDescent="0.3">
      <c r="A362">
        <v>202608</v>
      </c>
      <c r="B362" t="s">
        <v>25</v>
      </c>
      <c r="C362">
        <v>1769065768</v>
      </c>
      <c r="D362" t="s">
        <v>23</v>
      </c>
      <c r="E362" t="s">
        <v>19</v>
      </c>
      <c r="F362" t="s">
        <v>99</v>
      </c>
      <c r="G362" s="8">
        <v>5.2</v>
      </c>
      <c r="H362" s="29">
        <v>0.5</v>
      </c>
    </row>
    <row r="363" spans="1:8" x14ac:dyDescent="0.3">
      <c r="A363">
        <v>202608</v>
      </c>
      <c r="B363" t="s">
        <v>25</v>
      </c>
      <c r="C363">
        <v>1769099514</v>
      </c>
      <c r="D363" t="s">
        <v>18</v>
      </c>
      <c r="E363" t="s">
        <v>24</v>
      </c>
      <c r="F363" t="s">
        <v>123</v>
      </c>
      <c r="G363" s="8">
        <v>1.4539231591600001</v>
      </c>
      <c r="H363" s="29">
        <v>2.1</v>
      </c>
    </row>
    <row r="364" spans="1:8" x14ac:dyDescent="0.3">
      <c r="A364">
        <v>202608</v>
      </c>
      <c r="B364" t="s">
        <v>25</v>
      </c>
      <c r="C364">
        <v>1769099522</v>
      </c>
      <c r="D364" t="s">
        <v>18</v>
      </c>
      <c r="E364" t="s">
        <v>24</v>
      </c>
      <c r="F364" t="s">
        <v>123</v>
      </c>
      <c r="G364" s="8">
        <v>0.88116429913000005</v>
      </c>
      <c r="H364" s="29">
        <v>2.1</v>
      </c>
    </row>
    <row r="365" spans="1:8" x14ac:dyDescent="0.3">
      <c r="A365">
        <v>202608</v>
      </c>
      <c r="B365" t="s">
        <v>25</v>
      </c>
      <c r="C365">
        <v>1769100695</v>
      </c>
      <c r="D365" t="s">
        <v>18</v>
      </c>
      <c r="E365" t="s">
        <v>24</v>
      </c>
      <c r="F365" t="s">
        <v>122</v>
      </c>
      <c r="G365" s="8">
        <v>0.98280999999999996</v>
      </c>
      <c r="H365" s="29">
        <v>1.05</v>
      </c>
    </row>
    <row r="366" spans="1:8" x14ac:dyDescent="0.3">
      <c r="A366">
        <v>202608</v>
      </c>
      <c r="B366" t="s">
        <v>25</v>
      </c>
      <c r="C366">
        <v>1769117474</v>
      </c>
      <c r="D366" t="s">
        <v>18</v>
      </c>
      <c r="E366" t="s">
        <v>24</v>
      </c>
      <c r="F366" t="s">
        <v>73</v>
      </c>
      <c r="G366" s="8">
        <v>0.20357743780000001</v>
      </c>
      <c r="H366" s="29">
        <v>3.05</v>
      </c>
    </row>
    <row r="367" spans="1:8" x14ac:dyDescent="0.3">
      <c r="A367">
        <v>202608</v>
      </c>
      <c r="B367" t="s">
        <v>25</v>
      </c>
      <c r="C367">
        <v>1773163760</v>
      </c>
      <c r="D367" t="s">
        <v>18</v>
      </c>
      <c r="E367" t="s">
        <v>19</v>
      </c>
      <c r="F367" t="s">
        <v>221</v>
      </c>
      <c r="G367" s="8">
        <v>4.5723200000000004</v>
      </c>
      <c r="H367" s="29">
        <v>1.2</v>
      </c>
    </row>
    <row r="368" spans="1:8" x14ac:dyDescent="0.3">
      <c r="A368">
        <v>202608</v>
      </c>
      <c r="B368" t="s">
        <v>25</v>
      </c>
      <c r="C368">
        <v>1773164899</v>
      </c>
      <c r="D368" t="s">
        <v>18</v>
      </c>
      <c r="E368" t="s">
        <v>24</v>
      </c>
      <c r="F368" t="s">
        <v>123</v>
      </c>
      <c r="G368" s="8">
        <v>1.7520687800799999</v>
      </c>
      <c r="H368" s="29">
        <v>2.1</v>
      </c>
    </row>
    <row r="369" spans="1:8" x14ac:dyDescent="0.3">
      <c r="A369">
        <v>202608</v>
      </c>
      <c r="B369" t="s">
        <v>25</v>
      </c>
      <c r="C369">
        <v>1773192574</v>
      </c>
      <c r="D369" t="s">
        <v>18</v>
      </c>
      <c r="E369" t="s">
        <v>24</v>
      </c>
      <c r="F369" t="s">
        <v>122</v>
      </c>
      <c r="G369" s="8">
        <v>1.64836</v>
      </c>
      <c r="H369" s="29">
        <v>1.25</v>
      </c>
    </row>
    <row r="370" spans="1:8" x14ac:dyDescent="0.3">
      <c r="A370">
        <v>202608</v>
      </c>
      <c r="B370" t="s">
        <v>25</v>
      </c>
      <c r="C370">
        <v>1773214410</v>
      </c>
      <c r="D370" t="s">
        <v>18</v>
      </c>
      <c r="E370" t="s">
        <v>24</v>
      </c>
      <c r="F370" t="s">
        <v>72</v>
      </c>
      <c r="G370" s="8">
        <v>2.6871999999999998</v>
      </c>
      <c r="H370" s="29">
        <v>4.05</v>
      </c>
    </row>
    <row r="371" spans="1:8" x14ac:dyDescent="0.3">
      <c r="A371">
        <v>202608</v>
      </c>
      <c r="B371" t="s">
        <v>25</v>
      </c>
      <c r="C371">
        <v>1773229362</v>
      </c>
      <c r="D371" t="s">
        <v>18</v>
      </c>
      <c r="E371" t="s">
        <v>19</v>
      </c>
      <c r="F371" t="s">
        <v>99</v>
      </c>
      <c r="G371" s="8">
        <v>9.0665999999999993</v>
      </c>
      <c r="H371" s="29">
        <v>0.45</v>
      </c>
    </row>
    <row r="372" spans="1:8" x14ac:dyDescent="0.3">
      <c r="A372">
        <v>202608</v>
      </c>
      <c r="B372" t="s">
        <v>25</v>
      </c>
      <c r="C372">
        <v>1773230735</v>
      </c>
      <c r="D372" t="s">
        <v>23</v>
      </c>
      <c r="E372" t="s">
        <v>19</v>
      </c>
      <c r="F372" t="s">
        <v>178</v>
      </c>
      <c r="G372" s="8">
        <v>5</v>
      </c>
      <c r="H372" s="29">
        <v>0.65</v>
      </c>
    </row>
    <row r="373" spans="1:8" x14ac:dyDescent="0.3">
      <c r="A373">
        <v>202608</v>
      </c>
      <c r="B373" t="s">
        <v>25</v>
      </c>
      <c r="C373">
        <v>1773237357</v>
      </c>
      <c r="D373" t="s">
        <v>18</v>
      </c>
      <c r="E373" t="s">
        <v>34</v>
      </c>
      <c r="F373" t="s">
        <v>239</v>
      </c>
      <c r="G373" s="8">
        <v>3.9914283959999998E-2</v>
      </c>
      <c r="H373" s="29">
        <v>2.2999999999999998</v>
      </c>
    </row>
    <row r="374" spans="1:8" x14ac:dyDescent="0.3">
      <c r="A374">
        <v>202608</v>
      </c>
      <c r="B374" t="s">
        <v>25</v>
      </c>
      <c r="C374">
        <v>1773237390</v>
      </c>
      <c r="D374" t="s">
        <v>18</v>
      </c>
      <c r="E374" t="s">
        <v>24</v>
      </c>
      <c r="F374" t="s">
        <v>123</v>
      </c>
      <c r="G374" s="8">
        <v>2.0265253990800001</v>
      </c>
      <c r="H374" s="29">
        <v>2.1</v>
      </c>
    </row>
    <row r="375" spans="1:8" x14ac:dyDescent="0.3">
      <c r="A375">
        <v>202608</v>
      </c>
      <c r="B375" t="s">
        <v>25</v>
      </c>
      <c r="C375">
        <v>1773237403</v>
      </c>
      <c r="D375" t="s">
        <v>18</v>
      </c>
      <c r="E375" t="s">
        <v>34</v>
      </c>
      <c r="F375" t="s">
        <v>111</v>
      </c>
      <c r="G375" s="8">
        <v>7.1958143840000002E-2</v>
      </c>
      <c r="H375" s="29">
        <v>2.2999999999999998</v>
      </c>
    </row>
    <row r="376" spans="1:8" x14ac:dyDescent="0.3">
      <c r="A376">
        <v>202608</v>
      </c>
      <c r="B376" t="s">
        <v>25</v>
      </c>
      <c r="C376">
        <v>1773237500</v>
      </c>
      <c r="D376" t="s">
        <v>18</v>
      </c>
      <c r="E376" t="s">
        <v>34</v>
      </c>
      <c r="F376" t="s">
        <v>239</v>
      </c>
      <c r="G376" s="8">
        <v>4.1248193279999998E-2</v>
      </c>
      <c r="H376" s="29">
        <v>2.4</v>
      </c>
    </row>
    <row r="377" spans="1:8" x14ac:dyDescent="0.3">
      <c r="A377">
        <v>202608</v>
      </c>
      <c r="B377" t="s">
        <v>25</v>
      </c>
      <c r="C377">
        <v>1773237550</v>
      </c>
      <c r="D377" t="s">
        <v>18</v>
      </c>
      <c r="E377" t="s">
        <v>34</v>
      </c>
      <c r="F377" t="s">
        <v>111</v>
      </c>
      <c r="G377" s="8">
        <v>0.26529619636000001</v>
      </c>
      <c r="H377" s="29">
        <v>2.2999999999999998</v>
      </c>
    </row>
    <row r="378" spans="1:8" x14ac:dyDescent="0.3">
      <c r="A378">
        <v>202608</v>
      </c>
      <c r="B378" t="s">
        <v>25</v>
      </c>
      <c r="C378">
        <v>1773237586</v>
      </c>
      <c r="D378" t="s">
        <v>18</v>
      </c>
      <c r="E378" t="s">
        <v>34</v>
      </c>
      <c r="F378" t="s">
        <v>111</v>
      </c>
      <c r="G378" s="8">
        <v>9.1924531599999998E-2</v>
      </c>
      <c r="H378" s="29">
        <v>2.4</v>
      </c>
    </row>
    <row r="379" spans="1:8" x14ac:dyDescent="0.3">
      <c r="A379">
        <v>202608</v>
      </c>
      <c r="B379" t="s">
        <v>25</v>
      </c>
      <c r="C379">
        <v>1773240145</v>
      </c>
      <c r="D379" t="s">
        <v>23</v>
      </c>
      <c r="E379" t="s">
        <v>19</v>
      </c>
      <c r="F379" t="s">
        <v>178</v>
      </c>
      <c r="G379" s="8">
        <v>5</v>
      </c>
      <c r="H379" s="29">
        <v>0.65</v>
      </c>
    </row>
    <row r="380" spans="1:8" x14ac:dyDescent="0.3">
      <c r="A380">
        <v>202608</v>
      </c>
      <c r="B380" t="s">
        <v>25</v>
      </c>
      <c r="C380">
        <v>1773246089</v>
      </c>
      <c r="D380" t="s">
        <v>23</v>
      </c>
      <c r="E380" t="s">
        <v>19</v>
      </c>
      <c r="F380" t="s">
        <v>178</v>
      </c>
      <c r="G380" s="8">
        <v>4</v>
      </c>
      <c r="H380" s="29">
        <v>0.65</v>
      </c>
    </row>
    <row r="381" spans="1:8" x14ac:dyDescent="0.3">
      <c r="A381">
        <v>202608</v>
      </c>
      <c r="B381" t="s">
        <v>25</v>
      </c>
      <c r="C381">
        <v>1773246240</v>
      </c>
      <c r="D381" t="s">
        <v>18</v>
      </c>
      <c r="E381" t="s">
        <v>24</v>
      </c>
      <c r="F381" t="s">
        <v>73</v>
      </c>
      <c r="G381" s="8">
        <v>0.358236</v>
      </c>
      <c r="H381" s="29">
        <v>3.05</v>
      </c>
    </row>
    <row r="382" spans="1:8" x14ac:dyDescent="0.3">
      <c r="A382">
        <v>202608</v>
      </c>
      <c r="B382" t="s">
        <v>25</v>
      </c>
      <c r="C382">
        <v>1773260090</v>
      </c>
      <c r="D382" t="s">
        <v>23</v>
      </c>
      <c r="E382" t="s">
        <v>19</v>
      </c>
      <c r="F382" t="s">
        <v>74</v>
      </c>
      <c r="G382" s="8">
        <v>4</v>
      </c>
      <c r="H382" s="29">
        <v>0.55000000000000004</v>
      </c>
    </row>
    <row r="383" spans="1:8" x14ac:dyDescent="0.3">
      <c r="A383">
        <v>202608</v>
      </c>
      <c r="B383" t="s">
        <v>25</v>
      </c>
      <c r="C383">
        <v>1773270613</v>
      </c>
      <c r="D383" t="s">
        <v>18</v>
      </c>
      <c r="E383" t="s">
        <v>19</v>
      </c>
      <c r="F383" t="s">
        <v>246</v>
      </c>
      <c r="G383" s="8">
        <v>0.66979999999999995</v>
      </c>
      <c r="H383" s="29">
        <v>1.85</v>
      </c>
    </row>
    <row r="384" spans="1:8" x14ac:dyDescent="0.3">
      <c r="A384">
        <v>202608</v>
      </c>
      <c r="B384" t="s">
        <v>25</v>
      </c>
      <c r="C384">
        <v>1773270656</v>
      </c>
      <c r="D384" t="s">
        <v>18</v>
      </c>
      <c r="E384" t="s">
        <v>19</v>
      </c>
      <c r="F384" t="s">
        <v>246</v>
      </c>
      <c r="G384" s="8">
        <v>0.83725000000000005</v>
      </c>
      <c r="H384" s="29">
        <v>1.85</v>
      </c>
    </row>
    <row r="385" spans="1:8" x14ac:dyDescent="0.3">
      <c r="A385">
        <v>202608</v>
      </c>
      <c r="B385" t="s">
        <v>25</v>
      </c>
      <c r="C385">
        <v>1773277855</v>
      </c>
      <c r="D385" t="s">
        <v>18</v>
      </c>
      <c r="E385" t="s">
        <v>24</v>
      </c>
      <c r="F385" t="s">
        <v>72</v>
      </c>
      <c r="G385" s="8">
        <v>2.6751999999999998</v>
      </c>
      <c r="H385" s="29">
        <v>4.05</v>
      </c>
    </row>
    <row r="386" spans="1:8" x14ac:dyDescent="0.3">
      <c r="A386">
        <v>202608</v>
      </c>
      <c r="B386" t="s">
        <v>25</v>
      </c>
      <c r="C386">
        <v>1773302922</v>
      </c>
      <c r="D386" t="s">
        <v>23</v>
      </c>
      <c r="E386" t="s">
        <v>34</v>
      </c>
      <c r="F386" t="s">
        <v>74</v>
      </c>
      <c r="G386" s="8">
        <v>6.4996669999999993E-2</v>
      </c>
      <c r="H386" s="29">
        <v>0.6</v>
      </c>
    </row>
    <row r="387" spans="1:8" x14ac:dyDescent="0.3">
      <c r="A387">
        <v>202608</v>
      </c>
      <c r="B387" t="s">
        <v>25</v>
      </c>
      <c r="C387">
        <v>1773303340</v>
      </c>
      <c r="D387" t="s">
        <v>18</v>
      </c>
      <c r="E387" t="s">
        <v>34</v>
      </c>
      <c r="F387" t="s">
        <v>111</v>
      </c>
      <c r="G387" s="8">
        <v>0.12521840249999999</v>
      </c>
      <c r="H387" s="29">
        <v>2.4</v>
      </c>
    </row>
    <row r="388" spans="1:8" x14ac:dyDescent="0.3">
      <c r="A388">
        <v>202608</v>
      </c>
      <c r="B388" t="s">
        <v>25</v>
      </c>
      <c r="C388">
        <v>1773303805</v>
      </c>
      <c r="D388" t="s">
        <v>23</v>
      </c>
      <c r="E388" t="s">
        <v>34</v>
      </c>
      <c r="F388" t="s">
        <v>74</v>
      </c>
      <c r="G388" s="8">
        <v>0.59834393000000008</v>
      </c>
      <c r="H388" s="29">
        <v>0.6</v>
      </c>
    </row>
    <row r="389" spans="1:8" x14ac:dyDescent="0.3">
      <c r="A389">
        <v>202608</v>
      </c>
      <c r="B389" t="s">
        <v>25</v>
      </c>
      <c r="C389">
        <v>1773332317</v>
      </c>
      <c r="D389" t="s">
        <v>23</v>
      </c>
      <c r="E389" t="s">
        <v>19</v>
      </c>
      <c r="F389" t="s">
        <v>178</v>
      </c>
      <c r="G389" s="8">
        <v>7</v>
      </c>
      <c r="H389" s="29">
        <v>0.65</v>
      </c>
    </row>
    <row r="390" spans="1:8" x14ac:dyDescent="0.3">
      <c r="A390">
        <v>202608</v>
      </c>
      <c r="B390" t="s">
        <v>25</v>
      </c>
      <c r="C390">
        <v>1773342550</v>
      </c>
      <c r="D390" t="s">
        <v>23</v>
      </c>
      <c r="E390" t="s">
        <v>24</v>
      </c>
      <c r="F390" t="s">
        <v>273</v>
      </c>
      <c r="G390" s="8">
        <v>25</v>
      </c>
      <c r="H390" s="29">
        <v>0.35</v>
      </c>
    </row>
    <row r="391" spans="1:8" x14ac:dyDescent="0.3">
      <c r="A391">
        <v>202608</v>
      </c>
      <c r="B391" t="s">
        <v>25</v>
      </c>
      <c r="C391">
        <v>1773346075</v>
      </c>
      <c r="D391" t="s">
        <v>18</v>
      </c>
      <c r="E391" t="s">
        <v>24</v>
      </c>
      <c r="F391" t="s">
        <v>221</v>
      </c>
      <c r="G391" s="8">
        <v>3.3519999999999999</v>
      </c>
      <c r="H391" s="29">
        <v>1.2</v>
      </c>
    </row>
    <row r="392" spans="1:8" x14ac:dyDescent="0.3">
      <c r="A392">
        <v>202608</v>
      </c>
      <c r="B392" t="s">
        <v>25</v>
      </c>
      <c r="C392">
        <v>1773370049</v>
      </c>
      <c r="D392" t="s">
        <v>18</v>
      </c>
      <c r="E392" t="s">
        <v>24</v>
      </c>
      <c r="F392" t="s">
        <v>99</v>
      </c>
      <c r="G392" s="8">
        <v>1.8437964450000002</v>
      </c>
      <c r="H392" s="29">
        <v>0.5</v>
      </c>
    </row>
    <row r="393" spans="1:8" x14ac:dyDescent="0.3">
      <c r="A393">
        <v>202608</v>
      </c>
      <c r="B393" t="s">
        <v>25</v>
      </c>
      <c r="C393">
        <v>1773370057</v>
      </c>
      <c r="D393" t="s">
        <v>18</v>
      </c>
      <c r="E393" t="s">
        <v>24</v>
      </c>
      <c r="F393" t="s">
        <v>99</v>
      </c>
      <c r="G393" s="8">
        <v>0.28389393676000002</v>
      </c>
      <c r="H393" s="29">
        <v>0.5</v>
      </c>
    </row>
    <row r="394" spans="1:8" x14ac:dyDescent="0.3">
      <c r="A394">
        <v>202608</v>
      </c>
      <c r="B394" t="s">
        <v>25</v>
      </c>
      <c r="C394">
        <v>1773370464</v>
      </c>
      <c r="D394" t="s">
        <v>18</v>
      </c>
      <c r="E394" t="s">
        <v>24</v>
      </c>
      <c r="F394" t="s">
        <v>99</v>
      </c>
      <c r="G394" s="8">
        <v>0.59070262673999996</v>
      </c>
      <c r="H394" s="29">
        <v>0.4</v>
      </c>
    </row>
    <row r="395" spans="1:8" x14ac:dyDescent="0.3">
      <c r="A395">
        <v>202608</v>
      </c>
      <c r="B395" t="s">
        <v>25</v>
      </c>
      <c r="C395">
        <v>1773370472</v>
      </c>
      <c r="D395" t="s">
        <v>18</v>
      </c>
      <c r="E395" t="s">
        <v>24</v>
      </c>
      <c r="F395" t="s">
        <v>99</v>
      </c>
      <c r="G395" s="8">
        <v>0.24548312038</v>
      </c>
      <c r="H395" s="29">
        <v>0.5</v>
      </c>
    </row>
    <row r="396" spans="1:8" x14ac:dyDescent="0.3">
      <c r="A396">
        <v>202608</v>
      </c>
      <c r="B396" t="s">
        <v>25</v>
      </c>
      <c r="C396">
        <v>1773370480</v>
      </c>
      <c r="D396" t="s">
        <v>18</v>
      </c>
      <c r="E396" t="s">
        <v>24</v>
      </c>
      <c r="F396" t="s">
        <v>99</v>
      </c>
      <c r="G396" s="8">
        <v>4.8736728700000002E-2</v>
      </c>
      <c r="H396" s="29">
        <v>0.5</v>
      </c>
    </row>
    <row r="397" spans="1:8" x14ac:dyDescent="0.3">
      <c r="A397">
        <v>202608</v>
      </c>
      <c r="B397" t="s">
        <v>36</v>
      </c>
      <c r="C397">
        <v>1769063935</v>
      </c>
      <c r="D397" t="s">
        <v>23</v>
      </c>
      <c r="E397" t="s">
        <v>19</v>
      </c>
      <c r="F397" t="s">
        <v>97</v>
      </c>
      <c r="G397" s="8">
        <v>0.12</v>
      </c>
      <c r="H397" s="29">
        <v>3</v>
      </c>
    </row>
    <row r="398" spans="1:8" x14ac:dyDescent="0.3">
      <c r="A398">
        <v>202608</v>
      </c>
      <c r="B398" t="s">
        <v>36</v>
      </c>
      <c r="C398">
        <v>1769094750</v>
      </c>
      <c r="D398" t="s">
        <v>23</v>
      </c>
      <c r="E398" t="s">
        <v>19</v>
      </c>
      <c r="F398" t="s">
        <v>97</v>
      </c>
      <c r="G398" s="8">
        <v>0.12</v>
      </c>
      <c r="H398" s="29">
        <v>3</v>
      </c>
    </row>
    <row r="399" spans="1:8" x14ac:dyDescent="0.3">
      <c r="A399">
        <v>202608</v>
      </c>
      <c r="B399" t="s">
        <v>36</v>
      </c>
      <c r="C399">
        <v>1773218336</v>
      </c>
      <c r="D399" t="s">
        <v>23</v>
      </c>
      <c r="E399" t="s">
        <v>19</v>
      </c>
      <c r="F399" t="s">
        <v>230</v>
      </c>
      <c r="G399" s="8">
        <v>1.04325</v>
      </c>
      <c r="H399" s="29">
        <v>1</v>
      </c>
    </row>
    <row r="400" spans="1:8" x14ac:dyDescent="0.3">
      <c r="A400">
        <v>202608</v>
      </c>
      <c r="B400" t="s">
        <v>36</v>
      </c>
      <c r="C400">
        <v>1773219375</v>
      </c>
      <c r="D400" t="s">
        <v>23</v>
      </c>
      <c r="E400" t="s">
        <v>24</v>
      </c>
      <c r="F400" t="s">
        <v>231</v>
      </c>
      <c r="G400" s="8">
        <v>0.215</v>
      </c>
      <c r="H400" s="29">
        <v>4.9000000000000004</v>
      </c>
    </row>
    <row r="401" spans="1:8" x14ac:dyDescent="0.3">
      <c r="A401">
        <v>202608</v>
      </c>
      <c r="B401" t="s">
        <v>36</v>
      </c>
      <c r="C401">
        <v>1773231987</v>
      </c>
      <c r="D401" t="s">
        <v>23</v>
      </c>
      <c r="E401" t="s">
        <v>19</v>
      </c>
      <c r="F401" t="s">
        <v>240</v>
      </c>
      <c r="G401" s="8">
        <v>0.8</v>
      </c>
      <c r="H401" s="29">
        <v>1.65</v>
      </c>
    </row>
    <row r="402" spans="1:8" x14ac:dyDescent="0.3">
      <c r="A402">
        <v>202608</v>
      </c>
      <c r="B402" t="s">
        <v>36</v>
      </c>
      <c r="C402">
        <v>1773248936</v>
      </c>
      <c r="D402" t="s">
        <v>18</v>
      </c>
      <c r="E402" t="s">
        <v>24</v>
      </c>
      <c r="F402" t="s">
        <v>247</v>
      </c>
      <c r="G402" s="8">
        <v>3.3479999999999999</v>
      </c>
      <c r="H402" s="29">
        <v>1.7</v>
      </c>
    </row>
    <row r="403" spans="1:8" x14ac:dyDescent="0.3">
      <c r="A403">
        <v>202608</v>
      </c>
      <c r="B403" t="s">
        <v>36</v>
      </c>
      <c r="C403">
        <v>1773269630</v>
      </c>
      <c r="D403" t="s">
        <v>23</v>
      </c>
      <c r="E403" t="s">
        <v>19</v>
      </c>
      <c r="F403" t="s">
        <v>97</v>
      </c>
      <c r="G403" s="8">
        <v>0.125</v>
      </c>
      <c r="H403" s="29">
        <v>3.1</v>
      </c>
    </row>
    <row r="404" spans="1:8" x14ac:dyDescent="0.3">
      <c r="A404">
        <v>202608</v>
      </c>
      <c r="B404" t="s">
        <v>36</v>
      </c>
      <c r="C404">
        <v>1773270478</v>
      </c>
      <c r="D404" t="s">
        <v>18</v>
      </c>
      <c r="E404" t="s">
        <v>19</v>
      </c>
      <c r="F404" t="s">
        <v>248</v>
      </c>
      <c r="G404" s="8">
        <v>0.13396</v>
      </c>
      <c r="H404" s="29">
        <v>5.95</v>
      </c>
    </row>
    <row r="405" spans="1:8" x14ac:dyDescent="0.3">
      <c r="A405">
        <v>202608</v>
      </c>
      <c r="B405" t="s">
        <v>36</v>
      </c>
      <c r="C405">
        <v>1773305859</v>
      </c>
      <c r="D405" t="s">
        <v>18</v>
      </c>
      <c r="E405" t="s">
        <v>19</v>
      </c>
      <c r="F405" t="s">
        <v>248</v>
      </c>
      <c r="G405" s="8">
        <v>0.36795</v>
      </c>
      <c r="H405" s="29">
        <v>5.95</v>
      </c>
    </row>
    <row r="406" spans="1:8" x14ac:dyDescent="0.3">
      <c r="A406">
        <v>202608</v>
      </c>
      <c r="B406" t="s">
        <v>36</v>
      </c>
      <c r="C406">
        <v>1773337520</v>
      </c>
      <c r="D406" t="s">
        <v>18</v>
      </c>
      <c r="E406" t="s">
        <v>24</v>
      </c>
      <c r="F406" t="s">
        <v>265</v>
      </c>
      <c r="G406" s="8">
        <v>3.8522880000000002</v>
      </c>
      <c r="H406" s="29">
        <v>0.24</v>
      </c>
    </row>
    <row r="407" spans="1:8" x14ac:dyDescent="0.3">
      <c r="A407">
        <v>202608</v>
      </c>
      <c r="B407" t="s">
        <v>117</v>
      </c>
      <c r="C407">
        <v>1773204700</v>
      </c>
      <c r="D407" t="s">
        <v>23</v>
      </c>
      <c r="E407" t="s">
        <v>34</v>
      </c>
      <c r="F407" t="s">
        <v>100</v>
      </c>
      <c r="G407" s="8">
        <v>0.21104100000000001</v>
      </c>
      <c r="H407" s="29">
        <v>8.65</v>
      </c>
    </row>
    <row r="408" spans="1:8" x14ac:dyDescent="0.3">
      <c r="A408">
        <v>202608</v>
      </c>
      <c r="B408" t="s">
        <v>117</v>
      </c>
      <c r="C408">
        <v>1773246852</v>
      </c>
      <c r="D408" t="s">
        <v>18</v>
      </c>
      <c r="E408" t="s">
        <v>34</v>
      </c>
      <c r="F408" t="s">
        <v>94</v>
      </c>
      <c r="G408" s="8">
        <v>2.1133312559999999E-2</v>
      </c>
      <c r="H408" s="29">
        <v>13.8</v>
      </c>
    </row>
    <row r="409" spans="1:8" x14ac:dyDescent="0.3">
      <c r="A409">
        <v>202608</v>
      </c>
      <c r="B409" t="s">
        <v>117</v>
      </c>
      <c r="C409">
        <v>1773258834</v>
      </c>
      <c r="D409" t="s">
        <v>18</v>
      </c>
      <c r="E409" t="s">
        <v>34</v>
      </c>
      <c r="F409" t="s">
        <v>249</v>
      </c>
      <c r="G409" s="8">
        <v>5.05685604E-3</v>
      </c>
      <c r="H409" s="29">
        <v>3.95</v>
      </c>
    </row>
    <row r="410" spans="1:8" x14ac:dyDescent="0.3">
      <c r="A410">
        <v>202608</v>
      </c>
      <c r="B410" t="s">
        <v>117</v>
      </c>
      <c r="C410">
        <v>1773258923</v>
      </c>
      <c r="D410" t="s">
        <v>18</v>
      </c>
      <c r="E410" t="s">
        <v>34</v>
      </c>
      <c r="F410" t="s">
        <v>249</v>
      </c>
      <c r="G410" s="8">
        <v>6.4663161799999999E-3</v>
      </c>
      <c r="H410" s="29">
        <v>3.6</v>
      </c>
    </row>
    <row r="411" spans="1:8" x14ac:dyDescent="0.3">
      <c r="A411">
        <v>202608</v>
      </c>
      <c r="B411" t="s">
        <v>117</v>
      </c>
      <c r="C411">
        <v>1773259156</v>
      </c>
      <c r="D411" t="s">
        <v>18</v>
      </c>
      <c r="E411" t="s">
        <v>34</v>
      </c>
      <c r="F411" t="s">
        <v>249</v>
      </c>
      <c r="G411" s="8">
        <v>5.736331301E-2</v>
      </c>
      <c r="H411" s="29">
        <v>3.8</v>
      </c>
    </row>
    <row r="412" spans="1:8" x14ac:dyDescent="0.3">
      <c r="A412">
        <v>202608</v>
      </c>
      <c r="B412" t="s">
        <v>117</v>
      </c>
      <c r="C412">
        <v>1773260006</v>
      </c>
      <c r="D412" t="s">
        <v>18</v>
      </c>
      <c r="E412" t="s">
        <v>34</v>
      </c>
      <c r="F412" t="s">
        <v>249</v>
      </c>
      <c r="G412" s="8">
        <v>1.2937287469999999E-2</v>
      </c>
      <c r="H412" s="29">
        <v>3.8</v>
      </c>
    </row>
    <row r="413" spans="1:8" x14ac:dyDescent="0.3">
      <c r="A413">
        <v>202608</v>
      </c>
      <c r="B413" t="s">
        <v>117</v>
      </c>
      <c r="C413">
        <v>1773347276</v>
      </c>
      <c r="D413" t="s">
        <v>18</v>
      </c>
      <c r="E413" t="s">
        <v>34</v>
      </c>
      <c r="F413" t="s">
        <v>274</v>
      </c>
      <c r="G413" s="8">
        <v>0.33749950552000002</v>
      </c>
      <c r="H413" s="29">
        <v>9.15</v>
      </c>
    </row>
    <row r="414" spans="1:8" x14ac:dyDescent="0.3">
      <c r="A414">
        <v>202608</v>
      </c>
      <c r="B414" t="s">
        <v>37</v>
      </c>
      <c r="C414">
        <v>1769110290</v>
      </c>
      <c r="D414" t="s">
        <v>18</v>
      </c>
      <c r="E414" t="s">
        <v>19</v>
      </c>
      <c r="F414" t="s">
        <v>182</v>
      </c>
      <c r="G414" s="8">
        <v>0.10149</v>
      </c>
      <c r="H414" s="29">
        <v>6.95</v>
      </c>
    </row>
    <row r="415" spans="1:8" x14ac:dyDescent="0.3">
      <c r="A415">
        <v>202608</v>
      </c>
      <c r="B415" t="s">
        <v>37</v>
      </c>
      <c r="C415">
        <v>1773149245</v>
      </c>
      <c r="D415" t="s">
        <v>18</v>
      </c>
      <c r="E415" t="s">
        <v>24</v>
      </c>
      <c r="F415" t="s">
        <v>47</v>
      </c>
      <c r="G415" s="8">
        <v>0.45940799999999998</v>
      </c>
      <c r="H415" s="29">
        <v>2.4</v>
      </c>
    </row>
    <row r="416" spans="1:8" x14ac:dyDescent="0.3">
      <c r="A416">
        <v>202608</v>
      </c>
      <c r="B416" t="s">
        <v>37</v>
      </c>
      <c r="C416">
        <v>1773168738</v>
      </c>
      <c r="D416" t="s">
        <v>23</v>
      </c>
      <c r="E416" t="s">
        <v>24</v>
      </c>
      <c r="F416" t="s">
        <v>46</v>
      </c>
      <c r="G416" s="8">
        <v>4.2999999999999997E-2</v>
      </c>
      <c r="H416" s="29">
        <v>4.1500000000000004</v>
      </c>
    </row>
    <row r="417" spans="1:8" x14ac:dyDescent="0.3">
      <c r="A417">
        <v>202608</v>
      </c>
      <c r="B417" t="s">
        <v>37</v>
      </c>
      <c r="C417">
        <v>1773168886</v>
      </c>
      <c r="D417" t="s">
        <v>23</v>
      </c>
      <c r="E417" t="s">
        <v>24</v>
      </c>
      <c r="F417" t="s">
        <v>46</v>
      </c>
      <c r="G417" s="8">
        <v>4.4999999999999998E-2</v>
      </c>
      <c r="H417" s="29">
        <v>4.1500000000000004</v>
      </c>
    </row>
    <row r="418" spans="1:8" x14ac:dyDescent="0.3">
      <c r="A418">
        <v>202608</v>
      </c>
      <c r="B418" t="s">
        <v>37</v>
      </c>
      <c r="C418">
        <v>1773184504</v>
      </c>
      <c r="D418" t="s">
        <v>23</v>
      </c>
      <c r="E418" t="s">
        <v>19</v>
      </c>
      <c r="F418" t="s">
        <v>125</v>
      </c>
      <c r="G418" s="8">
        <v>5</v>
      </c>
      <c r="H418" s="29">
        <v>1.1499999999999999</v>
      </c>
    </row>
    <row r="419" spans="1:8" x14ac:dyDescent="0.3">
      <c r="A419">
        <v>202608</v>
      </c>
      <c r="B419" t="s">
        <v>37</v>
      </c>
      <c r="C419">
        <v>1773192840</v>
      </c>
      <c r="D419" t="s">
        <v>18</v>
      </c>
      <c r="E419" t="s">
        <v>19</v>
      </c>
      <c r="F419" t="s">
        <v>182</v>
      </c>
      <c r="G419" s="8">
        <v>3.3640000000000003E-2</v>
      </c>
      <c r="H419" s="29">
        <v>6.95</v>
      </c>
    </row>
    <row r="420" spans="1:8" x14ac:dyDescent="0.3">
      <c r="A420">
        <v>202608</v>
      </c>
      <c r="B420" t="s">
        <v>37</v>
      </c>
      <c r="C420">
        <v>1773245813</v>
      </c>
      <c r="D420" t="s">
        <v>18</v>
      </c>
      <c r="E420" t="s">
        <v>19</v>
      </c>
      <c r="F420" t="s">
        <v>182</v>
      </c>
      <c r="G420" s="8">
        <v>5.0220000000000001E-2</v>
      </c>
      <c r="H420" s="29">
        <v>6.95</v>
      </c>
    </row>
    <row r="421" spans="1:8" x14ac:dyDescent="0.3">
      <c r="A421">
        <v>202608</v>
      </c>
      <c r="B421" t="s">
        <v>37</v>
      </c>
      <c r="C421">
        <v>1773247905</v>
      </c>
      <c r="D421" t="s">
        <v>23</v>
      </c>
      <c r="E421" t="s">
        <v>19</v>
      </c>
      <c r="F421" t="s">
        <v>125</v>
      </c>
      <c r="G421" s="8">
        <v>1.5</v>
      </c>
      <c r="H421" s="29">
        <v>1.1499999999999999</v>
      </c>
    </row>
    <row r="422" spans="1:8" x14ac:dyDescent="0.3">
      <c r="A422">
        <v>202608</v>
      </c>
      <c r="B422" t="s">
        <v>37</v>
      </c>
      <c r="C422">
        <v>1773247999</v>
      </c>
      <c r="D422" t="s">
        <v>18</v>
      </c>
      <c r="E422" t="s">
        <v>19</v>
      </c>
      <c r="F422" t="s">
        <v>250</v>
      </c>
      <c r="G422" s="8">
        <v>5.6916000000000002</v>
      </c>
      <c r="H422" s="29">
        <v>1.1000000000000001</v>
      </c>
    </row>
    <row r="423" spans="1:8" x14ac:dyDescent="0.3">
      <c r="A423">
        <v>202608</v>
      </c>
      <c r="B423" t="s">
        <v>37</v>
      </c>
      <c r="C423">
        <v>1773269003</v>
      </c>
      <c r="D423" t="s">
        <v>18</v>
      </c>
      <c r="E423" t="s">
        <v>34</v>
      </c>
      <c r="F423" t="s">
        <v>143</v>
      </c>
      <c r="G423" s="8">
        <v>1.1607980286600001</v>
      </c>
      <c r="H423" s="29">
        <v>2.35</v>
      </c>
    </row>
    <row r="424" spans="1:8" x14ac:dyDescent="0.3">
      <c r="A424">
        <v>202608</v>
      </c>
      <c r="B424" t="s">
        <v>37</v>
      </c>
      <c r="C424">
        <v>1773277596</v>
      </c>
      <c r="D424" t="s">
        <v>23</v>
      </c>
      <c r="E424" t="s">
        <v>19</v>
      </c>
      <c r="F424" t="s">
        <v>125</v>
      </c>
      <c r="G424" s="8">
        <v>5</v>
      </c>
      <c r="H424" s="29">
        <v>1.1499999999999999</v>
      </c>
    </row>
    <row r="425" spans="1:8" x14ac:dyDescent="0.3">
      <c r="A425">
        <v>202608</v>
      </c>
      <c r="B425" t="s">
        <v>37</v>
      </c>
      <c r="C425">
        <v>1773304402</v>
      </c>
      <c r="D425" t="s">
        <v>23</v>
      </c>
      <c r="E425" t="s">
        <v>19</v>
      </c>
      <c r="F425" t="s">
        <v>125</v>
      </c>
      <c r="G425" s="8">
        <v>1</v>
      </c>
      <c r="H425" s="29">
        <v>1.1499999999999999</v>
      </c>
    </row>
    <row r="426" spans="1:8" x14ac:dyDescent="0.3">
      <c r="A426">
        <v>202608</v>
      </c>
      <c r="B426" t="s">
        <v>37</v>
      </c>
      <c r="C426">
        <v>1773331353</v>
      </c>
      <c r="D426" t="s">
        <v>18</v>
      </c>
      <c r="E426" t="s">
        <v>48</v>
      </c>
      <c r="F426" t="s">
        <v>266</v>
      </c>
      <c r="G426" s="8">
        <v>0.59506480000000006</v>
      </c>
      <c r="H426" s="29">
        <v>0.9</v>
      </c>
    </row>
    <row r="427" spans="1:8" x14ac:dyDescent="0.3">
      <c r="A427">
        <v>202608</v>
      </c>
      <c r="B427" t="s">
        <v>37</v>
      </c>
      <c r="C427">
        <v>1773335367</v>
      </c>
      <c r="D427" t="s">
        <v>18</v>
      </c>
      <c r="E427" t="s">
        <v>48</v>
      </c>
      <c r="F427" t="s">
        <v>266</v>
      </c>
      <c r="G427" s="8">
        <v>0.64463625600000007</v>
      </c>
      <c r="H427" s="29">
        <v>1.1000000000000001</v>
      </c>
    </row>
    <row r="428" spans="1:8" x14ac:dyDescent="0.3">
      <c r="A428">
        <v>202608</v>
      </c>
      <c r="B428" t="s">
        <v>37</v>
      </c>
      <c r="C428">
        <v>1773341170</v>
      </c>
      <c r="D428" t="s">
        <v>18</v>
      </c>
      <c r="E428" t="s">
        <v>19</v>
      </c>
      <c r="F428" t="s">
        <v>182</v>
      </c>
      <c r="G428" s="8">
        <v>0.10056</v>
      </c>
      <c r="H428" s="29">
        <v>6.95</v>
      </c>
    </row>
    <row r="429" spans="1:8" x14ac:dyDescent="0.3">
      <c r="A429">
        <v>202608</v>
      </c>
      <c r="B429" t="s">
        <v>37</v>
      </c>
      <c r="C429">
        <v>1773341227</v>
      </c>
      <c r="D429" t="s">
        <v>18</v>
      </c>
      <c r="E429" t="s">
        <v>19</v>
      </c>
      <c r="F429" t="s">
        <v>182</v>
      </c>
      <c r="G429" s="8">
        <v>3.3520000000000001E-2</v>
      </c>
      <c r="H429" s="29">
        <v>6.95</v>
      </c>
    </row>
    <row r="430" spans="1:8" x14ac:dyDescent="0.3">
      <c r="A430">
        <v>202608</v>
      </c>
      <c r="B430" t="s">
        <v>37</v>
      </c>
      <c r="C430">
        <v>1773344226</v>
      </c>
      <c r="D430" t="s">
        <v>23</v>
      </c>
      <c r="E430" t="s">
        <v>19</v>
      </c>
      <c r="F430" t="s">
        <v>125</v>
      </c>
      <c r="G430" s="8">
        <v>1.8</v>
      </c>
      <c r="H430" s="29">
        <v>1.1499999999999999</v>
      </c>
    </row>
    <row r="431" spans="1:8" x14ac:dyDescent="0.3">
      <c r="A431">
        <v>202608</v>
      </c>
      <c r="B431" t="s">
        <v>37</v>
      </c>
      <c r="C431">
        <v>1773347110</v>
      </c>
      <c r="D431" t="s">
        <v>18</v>
      </c>
      <c r="E431" t="s">
        <v>34</v>
      </c>
      <c r="F431" t="s">
        <v>275</v>
      </c>
      <c r="G431" s="8">
        <v>0.68116836704000006</v>
      </c>
      <c r="H431" s="29">
        <v>0.95</v>
      </c>
    </row>
    <row r="432" spans="1:8" x14ac:dyDescent="0.3">
      <c r="A432">
        <v>202608</v>
      </c>
      <c r="B432" t="s">
        <v>37</v>
      </c>
      <c r="C432">
        <v>1773364626</v>
      </c>
      <c r="D432" t="s">
        <v>18</v>
      </c>
      <c r="E432" t="s">
        <v>24</v>
      </c>
      <c r="F432" t="s">
        <v>276</v>
      </c>
      <c r="G432" s="8">
        <v>1.1767000000000001</v>
      </c>
      <c r="H432" s="29">
        <v>4.97</v>
      </c>
    </row>
    <row r="433" spans="1:8" x14ac:dyDescent="0.3">
      <c r="A433">
        <v>202608</v>
      </c>
      <c r="B433" t="s">
        <v>144</v>
      </c>
      <c r="C433">
        <v>1773192205</v>
      </c>
      <c r="D433" t="s">
        <v>18</v>
      </c>
      <c r="E433" t="s">
        <v>24</v>
      </c>
      <c r="F433" t="s">
        <v>232</v>
      </c>
      <c r="G433" s="8">
        <v>1.72063153684</v>
      </c>
      <c r="H433" s="29">
        <v>0.9</v>
      </c>
    </row>
    <row r="434" spans="1:8" x14ac:dyDescent="0.3">
      <c r="A434">
        <v>202608</v>
      </c>
      <c r="B434" t="s">
        <v>144</v>
      </c>
      <c r="C434">
        <v>1773220969</v>
      </c>
      <c r="D434" t="s">
        <v>18</v>
      </c>
      <c r="E434" t="s">
        <v>19</v>
      </c>
      <c r="F434" t="s">
        <v>233</v>
      </c>
      <c r="G434" s="8">
        <v>0.67179999999999995</v>
      </c>
      <c r="H434" s="29">
        <v>3.7</v>
      </c>
    </row>
    <row r="435" spans="1:8" x14ac:dyDescent="0.3">
      <c r="A435">
        <v>202608</v>
      </c>
      <c r="B435" t="s">
        <v>144</v>
      </c>
      <c r="C435">
        <v>1773271202</v>
      </c>
      <c r="D435" t="s">
        <v>18</v>
      </c>
      <c r="E435" t="s">
        <v>19</v>
      </c>
      <c r="F435" t="s">
        <v>251</v>
      </c>
      <c r="G435" s="8">
        <v>0.83725000000000005</v>
      </c>
      <c r="H435" s="29">
        <v>1.5</v>
      </c>
    </row>
    <row r="436" spans="1:8" x14ac:dyDescent="0.3">
      <c r="A436">
        <v>202608</v>
      </c>
      <c r="B436" t="s">
        <v>144</v>
      </c>
      <c r="C436">
        <v>1773271903</v>
      </c>
      <c r="D436" t="s">
        <v>18</v>
      </c>
      <c r="E436" t="s">
        <v>19</v>
      </c>
      <c r="F436" t="s">
        <v>251</v>
      </c>
      <c r="G436" s="8">
        <v>0.83725000000000005</v>
      </c>
      <c r="H436" s="29">
        <v>1.5</v>
      </c>
    </row>
    <row r="437" spans="1:8" x14ac:dyDescent="0.3">
      <c r="A437">
        <v>202608</v>
      </c>
      <c r="B437" t="s">
        <v>144</v>
      </c>
      <c r="C437">
        <v>1773370782</v>
      </c>
      <c r="D437" t="s">
        <v>23</v>
      </c>
      <c r="E437" t="s">
        <v>19</v>
      </c>
      <c r="F437" t="s">
        <v>145</v>
      </c>
      <c r="G437" s="8">
        <v>0.66749999999999998</v>
      </c>
      <c r="H437" s="29">
        <v>3</v>
      </c>
    </row>
    <row r="438" spans="1:8" x14ac:dyDescent="0.3">
      <c r="A438">
        <v>202608</v>
      </c>
      <c r="B438" t="s">
        <v>32</v>
      </c>
      <c r="C438">
        <v>1769072322</v>
      </c>
      <c r="D438" t="s">
        <v>18</v>
      </c>
      <c r="E438" t="s">
        <v>24</v>
      </c>
      <c r="F438" t="s">
        <v>76</v>
      </c>
      <c r="G438" s="8">
        <v>0.84924999999999995</v>
      </c>
      <c r="H438" s="29">
        <v>2.48</v>
      </c>
    </row>
    <row r="439" spans="1:8" x14ac:dyDescent="0.3">
      <c r="A439">
        <v>202608</v>
      </c>
      <c r="B439" t="s">
        <v>32</v>
      </c>
      <c r="C439">
        <v>1769086617</v>
      </c>
      <c r="D439" t="s">
        <v>18</v>
      </c>
      <c r="E439" t="s">
        <v>24</v>
      </c>
      <c r="F439" t="s">
        <v>207</v>
      </c>
      <c r="G439" s="8">
        <v>0.33910000000000001</v>
      </c>
      <c r="H439" s="29">
        <v>6.07</v>
      </c>
    </row>
    <row r="440" spans="1:8" x14ac:dyDescent="0.3">
      <c r="A440">
        <v>202608</v>
      </c>
      <c r="B440" t="s">
        <v>32</v>
      </c>
      <c r="C440">
        <v>1769094229</v>
      </c>
      <c r="D440" t="s">
        <v>23</v>
      </c>
      <c r="E440" t="s">
        <v>19</v>
      </c>
      <c r="F440" t="s">
        <v>91</v>
      </c>
      <c r="G440" s="8">
        <v>1.5</v>
      </c>
      <c r="H440" s="29">
        <v>1</v>
      </c>
    </row>
    <row r="441" spans="1:8" x14ac:dyDescent="0.3">
      <c r="A441">
        <v>202608</v>
      </c>
      <c r="B441" t="s">
        <v>32</v>
      </c>
      <c r="C441">
        <v>1773186515</v>
      </c>
      <c r="D441" t="s">
        <v>18</v>
      </c>
      <c r="E441" t="s">
        <v>19</v>
      </c>
      <c r="F441" t="s">
        <v>234</v>
      </c>
      <c r="G441" s="8">
        <v>1.6819999999999999</v>
      </c>
      <c r="H441" s="29">
        <v>3.8</v>
      </c>
    </row>
    <row r="442" spans="1:8" x14ac:dyDescent="0.3">
      <c r="A442">
        <v>202608</v>
      </c>
      <c r="B442" t="s">
        <v>32</v>
      </c>
      <c r="C442">
        <v>1773230638</v>
      </c>
      <c r="D442" t="s">
        <v>18</v>
      </c>
      <c r="E442" t="s">
        <v>24</v>
      </c>
      <c r="F442" t="s">
        <v>241</v>
      </c>
      <c r="G442" s="8">
        <v>0.33915800000000002</v>
      </c>
      <c r="H442" s="29">
        <v>4.8</v>
      </c>
    </row>
    <row r="443" spans="1:8" x14ac:dyDescent="0.3">
      <c r="A443">
        <v>202608</v>
      </c>
      <c r="B443" t="s">
        <v>32</v>
      </c>
      <c r="C443">
        <v>1773276379</v>
      </c>
      <c r="D443" t="s">
        <v>18</v>
      </c>
      <c r="E443" t="s">
        <v>24</v>
      </c>
      <c r="F443" t="s">
        <v>241</v>
      </c>
      <c r="G443" s="8">
        <v>0.30096000000000001</v>
      </c>
      <c r="H443" s="29">
        <v>4.8</v>
      </c>
    </row>
    <row r="444" spans="1:8" x14ac:dyDescent="0.3">
      <c r="A444">
        <v>202608</v>
      </c>
      <c r="B444" t="s">
        <v>32</v>
      </c>
      <c r="C444">
        <v>1773297333</v>
      </c>
      <c r="D444" t="s">
        <v>18</v>
      </c>
      <c r="E444" t="s">
        <v>19</v>
      </c>
      <c r="F444" t="s">
        <v>183</v>
      </c>
      <c r="G444" s="8">
        <v>2.0064000000000002</v>
      </c>
      <c r="H444" s="29">
        <v>2.38</v>
      </c>
    </row>
    <row r="445" spans="1:8" x14ac:dyDescent="0.3">
      <c r="A445">
        <v>202608</v>
      </c>
      <c r="B445" t="s">
        <v>32</v>
      </c>
      <c r="C445">
        <v>1773307584</v>
      </c>
      <c r="D445" t="s">
        <v>23</v>
      </c>
      <c r="E445" t="s">
        <v>19</v>
      </c>
      <c r="F445" t="s">
        <v>277</v>
      </c>
      <c r="G445" s="8">
        <v>0.23184668999999999</v>
      </c>
      <c r="H445" s="29">
        <v>5.85</v>
      </c>
    </row>
    <row r="446" spans="1:8" x14ac:dyDescent="0.3">
      <c r="A446">
        <v>202608</v>
      </c>
      <c r="B446" t="s">
        <v>32</v>
      </c>
      <c r="C446">
        <v>1773331965</v>
      </c>
      <c r="D446" t="s">
        <v>18</v>
      </c>
      <c r="E446" t="s">
        <v>19</v>
      </c>
      <c r="F446" t="s">
        <v>207</v>
      </c>
      <c r="G446" s="8">
        <v>1.3375999999999999</v>
      </c>
      <c r="H446" s="29">
        <v>6.1</v>
      </c>
    </row>
    <row r="447" spans="1:8" x14ac:dyDescent="0.3">
      <c r="A447">
        <v>202608</v>
      </c>
      <c r="B447" t="s">
        <v>32</v>
      </c>
      <c r="C447">
        <v>1773341162</v>
      </c>
      <c r="D447" t="s">
        <v>23</v>
      </c>
      <c r="E447" t="s">
        <v>19</v>
      </c>
      <c r="F447" t="s">
        <v>278</v>
      </c>
      <c r="G447" s="8">
        <v>0.83699999999999997</v>
      </c>
      <c r="H447" s="29">
        <v>1.43</v>
      </c>
    </row>
    <row r="448" spans="1:8" x14ac:dyDescent="0.3">
      <c r="A448">
        <v>202608</v>
      </c>
      <c r="B448" t="s">
        <v>33</v>
      </c>
      <c r="C448">
        <v>1769063722</v>
      </c>
      <c r="D448" t="s">
        <v>23</v>
      </c>
      <c r="E448" t="s">
        <v>19</v>
      </c>
      <c r="F448" t="s">
        <v>77</v>
      </c>
      <c r="G448" s="8">
        <v>0.2</v>
      </c>
      <c r="H448" s="29">
        <v>3.6</v>
      </c>
    </row>
    <row r="449" spans="1:8" x14ac:dyDescent="0.3">
      <c r="A449">
        <v>202608</v>
      </c>
      <c r="B449" t="s">
        <v>33</v>
      </c>
      <c r="C449">
        <v>1769063820</v>
      </c>
      <c r="D449" t="s">
        <v>23</v>
      </c>
      <c r="E449" t="s">
        <v>19</v>
      </c>
      <c r="F449" t="s">
        <v>77</v>
      </c>
      <c r="G449" s="8">
        <v>0.20300000000000001</v>
      </c>
      <c r="H449" s="29">
        <v>3.6</v>
      </c>
    </row>
    <row r="450" spans="1:8" x14ac:dyDescent="0.3">
      <c r="A450">
        <v>202608</v>
      </c>
      <c r="B450" t="s">
        <v>33</v>
      </c>
      <c r="C450">
        <v>1769072560</v>
      </c>
      <c r="D450" t="s">
        <v>18</v>
      </c>
      <c r="E450" t="s">
        <v>24</v>
      </c>
      <c r="F450" t="s">
        <v>148</v>
      </c>
      <c r="G450" s="8">
        <v>0.40764</v>
      </c>
      <c r="H450" s="29">
        <v>3.3</v>
      </c>
    </row>
    <row r="451" spans="1:8" x14ac:dyDescent="0.3">
      <c r="A451">
        <v>202608</v>
      </c>
      <c r="B451" t="s">
        <v>33</v>
      </c>
      <c r="C451">
        <v>1769084428</v>
      </c>
      <c r="D451" t="s">
        <v>23</v>
      </c>
      <c r="E451" t="s">
        <v>19</v>
      </c>
      <c r="F451" t="s">
        <v>208</v>
      </c>
      <c r="G451" s="8">
        <v>1.2</v>
      </c>
      <c r="H451" s="29">
        <v>0.65</v>
      </c>
    </row>
    <row r="452" spans="1:8" x14ac:dyDescent="0.3">
      <c r="A452">
        <v>202608</v>
      </c>
      <c r="B452" t="s">
        <v>33</v>
      </c>
      <c r="C452">
        <v>1769095527</v>
      </c>
      <c r="D452" t="s">
        <v>18</v>
      </c>
      <c r="E452" t="s">
        <v>19</v>
      </c>
      <c r="F452" t="s">
        <v>79</v>
      </c>
      <c r="G452" s="8">
        <v>1.0166999999999999</v>
      </c>
      <c r="H452" s="29">
        <v>1</v>
      </c>
    </row>
    <row r="453" spans="1:8" x14ac:dyDescent="0.3">
      <c r="A453">
        <v>202608</v>
      </c>
      <c r="B453" t="s">
        <v>33</v>
      </c>
      <c r="C453">
        <v>1769111603</v>
      </c>
      <c r="D453" t="s">
        <v>18</v>
      </c>
      <c r="E453" t="s">
        <v>24</v>
      </c>
      <c r="F453" t="s">
        <v>92</v>
      </c>
      <c r="G453" s="8">
        <v>0.50744999999999996</v>
      </c>
      <c r="H453" s="29">
        <v>3.15</v>
      </c>
    </row>
    <row r="454" spans="1:8" x14ac:dyDescent="0.3">
      <c r="A454">
        <v>202608</v>
      </c>
      <c r="B454" t="s">
        <v>33</v>
      </c>
      <c r="C454">
        <v>1769114475</v>
      </c>
      <c r="D454" t="s">
        <v>23</v>
      </c>
      <c r="E454" t="s">
        <v>19</v>
      </c>
      <c r="F454" t="s">
        <v>215</v>
      </c>
      <c r="G454" s="8">
        <v>1.01649173</v>
      </c>
      <c r="H454" s="29">
        <v>5.05</v>
      </c>
    </row>
    <row r="455" spans="1:8" x14ac:dyDescent="0.3">
      <c r="A455">
        <v>202608</v>
      </c>
      <c r="B455" t="s">
        <v>33</v>
      </c>
      <c r="C455">
        <v>1773145060</v>
      </c>
      <c r="D455" t="s">
        <v>23</v>
      </c>
      <c r="E455" t="s">
        <v>19</v>
      </c>
      <c r="F455" t="s">
        <v>216</v>
      </c>
      <c r="G455" s="8">
        <v>0.16900000000000001</v>
      </c>
      <c r="H455" s="29">
        <v>4.5999999999999996</v>
      </c>
    </row>
    <row r="456" spans="1:8" x14ac:dyDescent="0.3">
      <c r="A456">
        <v>202608</v>
      </c>
      <c r="B456" t="s">
        <v>33</v>
      </c>
      <c r="C456">
        <v>1773169440</v>
      </c>
      <c r="D456" t="s">
        <v>18</v>
      </c>
      <c r="E456" t="s">
        <v>19</v>
      </c>
      <c r="F456" t="s">
        <v>82</v>
      </c>
      <c r="G456" s="8">
        <v>0.3362</v>
      </c>
      <c r="H456" s="29">
        <v>1.55</v>
      </c>
    </row>
    <row r="457" spans="1:8" x14ac:dyDescent="0.3">
      <c r="A457">
        <v>202608</v>
      </c>
      <c r="B457" t="s">
        <v>33</v>
      </c>
      <c r="C457">
        <v>1773176315</v>
      </c>
      <c r="D457" t="s">
        <v>23</v>
      </c>
      <c r="E457" t="s">
        <v>19</v>
      </c>
      <c r="F457" t="s">
        <v>82</v>
      </c>
      <c r="G457" s="8">
        <v>0.31</v>
      </c>
      <c r="H457" s="29">
        <v>1.55</v>
      </c>
    </row>
    <row r="458" spans="1:8" x14ac:dyDescent="0.3">
      <c r="A458">
        <v>202608</v>
      </c>
      <c r="B458" t="s">
        <v>33</v>
      </c>
      <c r="C458">
        <v>1773176919</v>
      </c>
      <c r="D458" t="s">
        <v>18</v>
      </c>
      <c r="E458" t="s">
        <v>19</v>
      </c>
      <c r="F458" t="s">
        <v>82</v>
      </c>
      <c r="G458" s="8">
        <v>0.33660000000000001</v>
      </c>
      <c r="H458" s="29">
        <v>1.55</v>
      </c>
    </row>
    <row r="459" spans="1:8" x14ac:dyDescent="0.3">
      <c r="A459">
        <v>202608</v>
      </c>
      <c r="B459" t="s">
        <v>33</v>
      </c>
      <c r="C459">
        <v>1773181092</v>
      </c>
      <c r="D459" t="s">
        <v>23</v>
      </c>
      <c r="E459" t="s">
        <v>19</v>
      </c>
      <c r="F459" t="s">
        <v>77</v>
      </c>
      <c r="G459" s="8">
        <v>0.23799999999999999</v>
      </c>
      <c r="H459" s="29">
        <v>3.6</v>
      </c>
    </row>
    <row r="460" spans="1:8" x14ac:dyDescent="0.3">
      <c r="A460">
        <v>202608</v>
      </c>
      <c r="B460" t="s">
        <v>33</v>
      </c>
      <c r="C460">
        <v>1773181777</v>
      </c>
      <c r="D460" t="s">
        <v>18</v>
      </c>
      <c r="E460" t="s">
        <v>19</v>
      </c>
      <c r="F460" t="s">
        <v>82</v>
      </c>
      <c r="G460" s="8">
        <v>0.33660000000000001</v>
      </c>
      <c r="H460" s="29">
        <v>1.55</v>
      </c>
    </row>
    <row r="461" spans="1:8" x14ac:dyDescent="0.3">
      <c r="A461">
        <v>202608</v>
      </c>
      <c r="B461" t="s">
        <v>33</v>
      </c>
      <c r="C461">
        <v>1773210270</v>
      </c>
      <c r="D461" t="s">
        <v>23</v>
      </c>
      <c r="E461" t="s">
        <v>19</v>
      </c>
      <c r="F461" t="s">
        <v>82</v>
      </c>
      <c r="G461" s="8">
        <v>0.35</v>
      </c>
      <c r="H461" s="29">
        <v>1.55</v>
      </c>
    </row>
    <row r="462" spans="1:8" x14ac:dyDescent="0.3">
      <c r="A462">
        <v>202608</v>
      </c>
      <c r="B462" t="s">
        <v>33</v>
      </c>
      <c r="C462">
        <v>1773220853</v>
      </c>
      <c r="D462" t="s">
        <v>23</v>
      </c>
      <c r="E462" t="s">
        <v>19</v>
      </c>
      <c r="F462" t="s">
        <v>82</v>
      </c>
      <c r="G462" s="8">
        <v>0.35</v>
      </c>
      <c r="H462" s="29">
        <v>1.55</v>
      </c>
    </row>
    <row r="463" spans="1:8" x14ac:dyDescent="0.3">
      <c r="A463">
        <v>202608</v>
      </c>
      <c r="B463" t="s">
        <v>33</v>
      </c>
      <c r="C463">
        <v>1773245929</v>
      </c>
      <c r="D463" t="s">
        <v>23</v>
      </c>
      <c r="E463" t="s">
        <v>19</v>
      </c>
      <c r="F463" t="s">
        <v>77</v>
      </c>
      <c r="G463" s="8">
        <v>0.28000000000000003</v>
      </c>
      <c r="H463" s="29">
        <v>3.6</v>
      </c>
    </row>
    <row r="464" spans="1:8" x14ac:dyDescent="0.3">
      <c r="A464">
        <v>202608</v>
      </c>
      <c r="B464" t="s">
        <v>33</v>
      </c>
      <c r="C464">
        <v>1773249126</v>
      </c>
      <c r="D464" t="s">
        <v>18</v>
      </c>
      <c r="E464" t="s">
        <v>19</v>
      </c>
      <c r="F464" t="s">
        <v>78</v>
      </c>
      <c r="G464" s="8">
        <v>0.50219999999999998</v>
      </c>
      <c r="H464" s="29">
        <v>3.4</v>
      </c>
    </row>
    <row r="465" spans="1:8" x14ac:dyDescent="0.3">
      <c r="A465">
        <v>202608</v>
      </c>
      <c r="B465" t="s">
        <v>33</v>
      </c>
      <c r="C465">
        <v>1773280650</v>
      </c>
      <c r="D465" t="s">
        <v>23</v>
      </c>
      <c r="E465" t="s">
        <v>19</v>
      </c>
      <c r="F465" t="s">
        <v>77</v>
      </c>
      <c r="G465" s="8">
        <v>5.5E-2</v>
      </c>
      <c r="H465" s="29">
        <v>3.6</v>
      </c>
    </row>
    <row r="466" spans="1:8" x14ac:dyDescent="0.3">
      <c r="A466">
        <v>202608</v>
      </c>
      <c r="B466" t="s">
        <v>33</v>
      </c>
      <c r="C466">
        <v>1773300032</v>
      </c>
      <c r="D466" t="s">
        <v>23</v>
      </c>
      <c r="E466" t="s">
        <v>19</v>
      </c>
      <c r="F466" t="s">
        <v>80</v>
      </c>
      <c r="G466" s="8">
        <v>0.3</v>
      </c>
      <c r="H466" s="29">
        <v>0.8</v>
      </c>
    </row>
    <row r="467" spans="1:8" x14ac:dyDescent="0.3">
      <c r="A467">
        <v>202608</v>
      </c>
      <c r="B467" t="s">
        <v>33</v>
      </c>
      <c r="C467">
        <v>1773332030</v>
      </c>
      <c r="D467" t="s">
        <v>23</v>
      </c>
      <c r="E467" t="s">
        <v>19</v>
      </c>
      <c r="F467" t="s">
        <v>77</v>
      </c>
      <c r="G467" s="8">
        <v>0.11</v>
      </c>
      <c r="H467" s="29">
        <v>3.6</v>
      </c>
    </row>
    <row r="468" spans="1:8" x14ac:dyDescent="0.3">
      <c r="A468">
        <v>202608</v>
      </c>
      <c r="B468" t="s">
        <v>33</v>
      </c>
      <c r="C468">
        <v>1773341900</v>
      </c>
      <c r="D468" t="s">
        <v>18</v>
      </c>
      <c r="E468" t="s">
        <v>24</v>
      </c>
      <c r="F468" t="s">
        <v>148</v>
      </c>
      <c r="G468" s="8">
        <v>0.40223999999999999</v>
      </c>
      <c r="H468" s="29">
        <v>3.3</v>
      </c>
    </row>
    <row r="469" spans="1:8" x14ac:dyDescent="0.3">
      <c r="A469">
        <v>202608</v>
      </c>
      <c r="B469" t="s">
        <v>33</v>
      </c>
      <c r="C469">
        <v>1773369890</v>
      </c>
      <c r="D469" t="s">
        <v>23</v>
      </c>
      <c r="E469" t="s">
        <v>19</v>
      </c>
      <c r="F469" t="s">
        <v>279</v>
      </c>
      <c r="G469" s="8">
        <v>0.5</v>
      </c>
      <c r="H469" s="29">
        <v>2.1</v>
      </c>
    </row>
    <row r="470" spans="1:8" x14ac:dyDescent="0.3">
      <c r="A470">
        <v>202608</v>
      </c>
      <c r="B470" t="s">
        <v>107</v>
      </c>
      <c r="C470">
        <v>1769106316</v>
      </c>
      <c r="D470" t="s">
        <v>23</v>
      </c>
      <c r="E470" t="s">
        <v>19</v>
      </c>
      <c r="F470" t="s">
        <v>217</v>
      </c>
      <c r="G470" s="8">
        <v>1.69</v>
      </c>
      <c r="H470" s="29">
        <v>3.3</v>
      </c>
    </row>
    <row r="471" spans="1:8" x14ac:dyDescent="0.3">
      <c r="A471">
        <v>202608</v>
      </c>
      <c r="B471" t="s">
        <v>107</v>
      </c>
      <c r="C471">
        <v>1769113495</v>
      </c>
      <c r="D471" t="s">
        <v>18</v>
      </c>
      <c r="E471" t="s">
        <v>24</v>
      </c>
      <c r="F471" t="s">
        <v>66</v>
      </c>
      <c r="G471" s="8">
        <v>0.37414694459999998</v>
      </c>
      <c r="H471" s="29">
        <v>0.35</v>
      </c>
    </row>
    <row r="472" spans="1:8" x14ac:dyDescent="0.3">
      <c r="A472">
        <v>202608</v>
      </c>
      <c r="B472" t="s">
        <v>107</v>
      </c>
      <c r="C472">
        <v>1773160575</v>
      </c>
      <c r="D472" t="s">
        <v>18</v>
      </c>
      <c r="E472" t="s">
        <v>24</v>
      </c>
      <c r="F472" t="s">
        <v>222</v>
      </c>
      <c r="G472" s="8">
        <v>0.19926485720000001</v>
      </c>
      <c r="H472" s="29">
        <v>2.4500000000000002</v>
      </c>
    </row>
    <row r="473" spans="1:8" x14ac:dyDescent="0.3">
      <c r="A473">
        <v>202608</v>
      </c>
      <c r="B473" t="s">
        <v>107</v>
      </c>
      <c r="C473">
        <v>1773181386</v>
      </c>
      <c r="D473" t="s">
        <v>18</v>
      </c>
      <c r="E473" t="s">
        <v>24</v>
      </c>
      <c r="F473" t="s">
        <v>227</v>
      </c>
      <c r="G473" s="8">
        <v>0.26928000000000002</v>
      </c>
      <c r="H473" s="29">
        <v>4.8499999999999996</v>
      </c>
    </row>
    <row r="474" spans="1:8" x14ac:dyDescent="0.3">
      <c r="A474">
        <v>202608</v>
      </c>
      <c r="B474" t="s">
        <v>107</v>
      </c>
      <c r="C474">
        <v>1773181882</v>
      </c>
      <c r="D474" t="s">
        <v>18</v>
      </c>
      <c r="E474" t="s">
        <v>19</v>
      </c>
      <c r="F474" t="s">
        <v>222</v>
      </c>
      <c r="G474" s="8">
        <v>0.13167792</v>
      </c>
      <c r="H474" s="29">
        <v>2.4500000000000002</v>
      </c>
    </row>
    <row r="475" spans="1:8" x14ac:dyDescent="0.3">
      <c r="A475">
        <v>202608</v>
      </c>
      <c r="B475" t="s">
        <v>107</v>
      </c>
      <c r="C475">
        <v>1773182640</v>
      </c>
      <c r="D475" t="s">
        <v>18</v>
      </c>
      <c r="E475" t="s">
        <v>24</v>
      </c>
      <c r="F475" t="s">
        <v>228</v>
      </c>
      <c r="G475" s="8">
        <v>0.42209640000000004</v>
      </c>
      <c r="H475" s="29">
        <v>4.6500000000000004</v>
      </c>
    </row>
    <row r="476" spans="1:8" x14ac:dyDescent="0.3">
      <c r="A476">
        <v>202608</v>
      </c>
      <c r="B476" t="s">
        <v>107</v>
      </c>
      <c r="C476">
        <v>1773205706</v>
      </c>
      <c r="D476" t="s">
        <v>23</v>
      </c>
      <c r="E476" t="s">
        <v>34</v>
      </c>
      <c r="F476" t="s">
        <v>217</v>
      </c>
      <c r="G476" s="8">
        <v>0.46591367</v>
      </c>
      <c r="H476" s="29">
        <v>3.15</v>
      </c>
    </row>
    <row r="477" spans="1:8" x14ac:dyDescent="0.3">
      <c r="A477">
        <v>202608</v>
      </c>
      <c r="B477" t="s">
        <v>107</v>
      </c>
      <c r="C477">
        <v>1773214489</v>
      </c>
      <c r="D477" t="s">
        <v>18</v>
      </c>
      <c r="E477" t="s">
        <v>24</v>
      </c>
      <c r="F477" t="s">
        <v>222</v>
      </c>
      <c r="G477" s="8">
        <v>9.0692999999999996E-2</v>
      </c>
      <c r="H477" s="29">
        <v>2.4500000000000002</v>
      </c>
    </row>
    <row r="478" spans="1:8" x14ac:dyDescent="0.3">
      <c r="A478">
        <v>202608</v>
      </c>
      <c r="B478" t="s">
        <v>107</v>
      </c>
      <c r="C478">
        <v>1773217879</v>
      </c>
      <c r="D478" t="s">
        <v>18</v>
      </c>
      <c r="E478" t="s">
        <v>19</v>
      </c>
      <c r="F478" t="s">
        <v>222</v>
      </c>
      <c r="G478" s="8">
        <v>0.80951899999999999</v>
      </c>
      <c r="H478" s="29">
        <v>2.4500000000000002</v>
      </c>
    </row>
    <row r="479" spans="1:8" x14ac:dyDescent="0.3">
      <c r="A479">
        <v>202608</v>
      </c>
      <c r="B479" t="s">
        <v>107</v>
      </c>
      <c r="C479">
        <v>1773240110</v>
      </c>
      <c r="D479" t="s">
        <v>18</v>
      </c>
      <c r="E479" t="s">
        <v>24</v>
      </c>
      <c r="F479" t="s">
        <v>67</v>
      </c>
      <c r="G479" s="8">
        <v>0.83899999999999997</v>
      </c>
      <c r="H479" s="29">
        <v>4.99</v>
      </c>
    </row>
    <row r="480" spans="1:8" x14ac:dyDescent="0.3">
      <c r="A480">
        <v>202608</v>
      </c>
      <c r="B480" t="s">
        <v>107</v>
      </c>
      <c r="C480">
        <v>1773270338</v>
      </c>
      <c r="D480" t="s">
        <v>18</v>
      </c>
      <c r="E480" t="s">
        <v>24</v>
      </c>
      <c r="F480" t="s">
        <v>227</v>
      </c>
      <c r="G480" s="8">
        <v>0.434144266</v>
      </c>
      <c r="H480" s="29">
        <v>4.1500000000000004</v>
      </c>
    </row>
    <row r="481" spans="1:8" x14ac:dyDescent="0.3">
      <c r="A481">
        <v>202608</v>
      </c>
      <c r="B481" t="s">
        <v>107</v>
      </c>
      <c r="C481">
        <v>1773276549</v>
      </c>
      <c r="D481" t="s">
        <v>23</v>
      </c>
      <c r="E481" t="s">
        <v>19</v>
      </c>
      <c r="F481" t="s">
        <v>259</v>
      </c>
      <c r="G481" s="8">
        <v>0.33200000000000002</v>
      </c>
      <c r="H481" s="29">
        <v>1.6</v>
      </c>
    </row>
    <row r="482" spans="1:8" x14ac:dyDescent="0.3">
      <c r="A482">
        <v>202608</v>
      </c>
      <c r="B482" t="s">
        <v>107</v>
      </c>
      <c r="C482">
        <v>1773305433</v>
      </c>
      <c r="D482" t="s">
        <v>18</v>
      </c>
      <c r="E482" t="s">
        <v>24</v>
      </c>
      <c r="F482" t="s">
        <v>227</v>
      </c>
      <c r="G482" s="8">
        <v>0.33817097025000004</v>
      </c>
      <c r="H482" s="29">
        <v>4.12</v>
      </c>
    </row>
    <row r="483" spans="1:8" x14ac:dyDescent="0.3">
      <c r="A483">
        <v>202608</v>
      </c>
      <c r="B483" t="s">
        <v>107</v>
      </c>
      <c r="C483">
        <v>1773343432</v>
      </c>
      <c r="D483" t="s">
        <v>18</v>
      </c>
      <c r="E483" t="s">
        <v>24</v>
      </c>
      <c r="F483" t="s">
        <v>67</v>
      </c>
      <c r="G483" s="8">
        <v>0.93855999999999995</v>
      </c>
      <c r="H483" s="29">
        <v>4.99</v>
      </c>
    </row>
    <row r="484" spans="1:8" x14ac:dyDescent="0.3">
      <c r="A484">
        <v>202608</v>
      </c>
      <c r="B484" t="s">
        <v>107</v>
      </c>
      <c r="C484">
        <v>1773343513</v>
      </c>
      <c r="D484" t="s">
        <v>18</v>
      </c>
      <c r="E484" t="s">
        <v>24</v>
      </c>
      <c r="F484" t="s">
        <v>67</v>
      </c>
      <c r="G484" s="8">
        <v>0.90503999999999996</v>
      </c>
      <c r="H484" s="29">
        <v>4.99</v>
      </c>
    </row>
    <row r="485" spans="1:8" x14ac:dyDescent="0.3">
      <c r="A485">
        <v>202608</v>
      </c>
      <c r="B485" t="s">
        <v>107</v>
      </c>
      <c r="C485">
        <v>1773346989</v>
      </c>
      <c r="D485" t="s">
        <v>18</v>
      </c>
      <c r="E485" t="s">
        <v>19</v>
      </c>
      <c r="F485" t="s">
        <v>106</v>
      </c>
      <c r="G485" s="8">
        <v>0.568164</v>
      </c>
      <c r="H485" s="29">
        <v>0.6</v>
      </c>
    </row>
    <row r="486" spans="1:8" x14ac:dyDescent="0.3">
      <c r="A486">
        <v>202608</v>
      </c>
      <c r="B486" t="s">
        <v>107</v>
      </c>
      <c r="C486">
        <v>1773363549</v>
      </c>
      <c r="D486" t="s">
        <v>23</v>
      </c>
      <c r="E486" t="s">
        <v>34</v>
      </c>
      <c r="F486" t="s">
        <v>217</v>
      </c>
      <c r="G486" s="8">
        <v>5.4632500000000001E-2</v>
      </c>
      <c r="H486" s="29">
        <v>3.85</v>
      </c>
    </row>
    <row r="487" spans="1:8" x14ac:dyDescent="0.3">
      <c r="A487">
        <v>202608</v>
      </c>
      <c r="B487" t="s">
        <v>107</v>
      </c>
      <c r="C487">
        <v>1773370677</v>
      </c>
      <c r="D487" t="s">
        <v>18</v>
      </c>
      <c r="E487" t="s">
        <v>24</v>
      </c>
      <c r="F487" t="s">
        <v>228</v>
      </c>
      <c r="G487" s="8">
        <v>0.14221259999999999</v>
      </c>
      <c r="H487" s="29">
        <v>4.5</v>
      </c>
    </row>
    <row r="488" spans="1:8" x14ac:dyDescent="0.3">
      <c r="A488">
        <v>202608</v>
      </c>
      <c r="B488" t="s">
        <v>107</v>
      </c>
      <c r="C488">
        <v>1773370880</v>
      </c>
      <c r="D488" t="s">
        <v>23</v>
      </c>
      <c r="E488" t="s">
        <v>24</v>
      </c>
      <c r="F488" t="s">
        <v>280</v>
      </c>
      <c r="G488" s="8">
        <v>1.036</v>
      </c>
      <c r="H488" s="29">
        <v>0.5</v>
      </c>
    </row>
    <row r="489" spans="1:8" x14ac:dyDescent="0.3">
      <c r="A489">
        <v>202608</v>
      </c>
      <c r="B489" t="s">
        <v>107</v>
      </c>
      <c r="C489">
        <v>1773370910</v>
      </c>
      <c r="D489" t="s">
        <v>18</v>
      </c>
      <c r="E489" t="s">
        <v>24</v>
      </c>
      <c r="F489" t="s">
        <v>222</v>
      </c>
      <c r="G489" s="8">
        <v>0.194996</v>
      </c>
      <c r="H489" s="29">
        <v>2.35</v>
      </c>
    </row>
    <row r="490" spans="1:8" x14ac:dyDescent="0.3">
      <c r="A490">
        <v>202608</v>
      </c>
      <c r="B490" t="s">
        <v>107</v>
      </c>
      <c r="C490">
        <v>1773370944</v>
      </c>
      <c r="D490" t="s">
        <v>18</v>
      </c>
      <c r="E490" t="s">
        <v>19</v>
      </c>
      <c r="F490" t="s">
        <v>222</v>
      </c>
      <c r="G490" s="8">
        <v>0.2346676</v>
      </c>
      <c r="H490" s="29">
        <v>2.35</v>
      </c>
    </row>
    <row r="491" spans="1:8" x14ac:dyDescent="0.3">
      <c r="A491">
        <v>202608</v>
      </c>
      <c r="B491" t="s">
        <v>41</v>
      </c>
      <c r="C491">
        <v>1769086757</v>
      </c>
      <c r="D491" t="s">
        <v>23</v>
      </c>
      <c r="E491" t="s">
        <v>19</v>
      </c>
      <c r="F491" t="s">
        <v>209</v>
      </c>
      <c r="G491" s="8">
        <v>0.99180000000000001</v>
      </c>
      <c r="H491" s="29">
        <v>1.1000000000000001</v>
      </c>
    </row>
    <row r="492" spans="1:8" x14ac:dyDescent="0.3">
      <c r="A492">
        <v>202608</v>
      </c>
      <c r="B492" t="s">
        <v>41</v>
      </c>
      <c r="C492">
        <v>1769100090</v>
      </c>
      <c r="D492" t="s">
        <v>23</v>
      </c>
      <c r="E492" t="s">
        <v>19</v>
      </c>
      <c r="F492" t="s">
        <v>210</v>
      </c>
      <c r="G492" s="8">
        <v>0.6</v>
      </c>
      <c r="H492" s="29">
        <v>1.5</v>
      </c>
    </row>
    <row r="493" spans="1:8" x14ac:dyDescent="0.3">
      <c r="A493">
        <v>202608</v>
      </c>
      <c r="B493" t="s">
        <v>41</v>
      </c>
      <c r="C493">
        <v>1769102370</v>
      </c>
      <c r="D493" t="s">
        <v>23</v>
      </c>
      <c r="E493" t="s">
        <v>19</v>
      </c>
      <c r="F493" t="s">
        <v>211</v>
      </c>
      <c r="G493" s="8">
        <v>1</v>
      </c>
      <c r="H493" s="29">
        <v>1.3</v>
      </c>
    </row>
    <row r="494" spans="1:8" x14ac:dyDescent="0.3">
      <c r="A494">
        <v>202608</v>
      </c>
      <c r="B494" t="s">
        <v>41</v>
      </c>
      <c r="C494">
        <v>1773158627</v>
      </c>
      <c r="D494" t="s">
        <v>23</v>
      </c>
      <c r="E494" t="s">
        <v>19</v>
      </c>
      <c r="F494" t="s">
        <v>210</v>
      </c>
      <c r="G494" s="8">
        <v>0.4</v>
      </c>
      <c r="H494" s="29">
        <v>1.5</v>
      </c>
    </row>
    <row r="495" spans="1:8" x14ac:dyDescent="0.3">
      <c r="A495">
        <v>202608</v>
      </c>
      <c r="B495" t="s">
        <v>41</v>
      </c>
      <c r="C495">
        <v>1773172123</v>
      </c>
      <c r="D495" t="s">
        <v>23</v>
      </c>
      <c r="E495" t="s">
        <v>19</v>
      </c>
      <c r="F495" t="s">
        <v>223</v>
      </c>
      <c r="G495" s="8">
        <v>0.86499999999999999</v>
      </c>
      <c r="H495" s="29">
        <v>1.25</v>
      </c>
    </row>
    <row r="496" spans="1:8" x14ac:dyDescent="0.3">
      <c r="A496">
        <v>202608</v>
      </c>
      <c r="B496" t="s">
        <v>41</v>
      </c>
      <c r="C496">
        <v>1773240560</v>
      </c>
      <c r="D496" t="s">
        <v>23</v>
      </c>
      <c r="E496" t="s">
        <v>19</v>
      </c>
      <c r="F496" t="s">
        <v>211</v>
      </c>
      <c r="G496" s="8">
        <v>0.5</v>
      </c>
      <c r="H496" s="29">
        <v>1.3</v>
      </c>
    </row>
    <row r="497" spans="1:8" x14ac:dyDescent="0.3">
      <c r="A497">
        <v>202608</v>
      </c>
      <c r="B497" t="s">
        <v>41</v>
      </c>
      <c r="C497">
        <v>1773305522</v>
      </c>
      <c r="D497" t="s">
        <v>23</v>
      </c>
      <c r="E497" t="s">
        <v>19</v>
      </c>
      <c r="F497" t="s">
        <v>211</v>
      </c>
      <c r="G497" s="8">
        <v>0.9</v>
      </c>
      <c r="H497" s="29">
        <v>1.3</v>
      </c>
    </row>
    <row r="498" spans="1:8" x14ac:dyDescent="0.3">
      <c r="A498">
        <v>202608</v>
      </c>
      <c r="B498" t="s">
        <v>41</v>
      </c>
      <c r="C498">
        <v>1773305964</v>
      </c>
      <c r="D498" t="s">
        <v>23</v>
      </c>
      <c r="E498" t="s">
        <v>19</v>
      </c>
      <c r="F498" t="s">
        <v>211</v>
      </c>
      <c r="G498" s="8">
        <v>0.9</v>
      </c>
      <c r="H498" s="29">
        <v>1.3</v>
      </c>
    </row>
    <row r="499" spans="1:8" x14ac:dyDescent="0.3">
      <c r="A499">
        <v>202608</v>
      </c>
      <c r="B499" t="s">
        <v>27</v>
      </c>
      <c r="C499">
        <v>1769087672</v>
      </c>
      <c r="D499" t="s">
        <v>18</v>
      </c>
      <c r="E499" t="s">
        <v>24</v>
      </c>
      <c r="F499" t="s">
        <v>212</v>
      </c>
      <c r="G499" s="8">
        <v>3.391</v>
      </c>
      <c r="H499" s="29">
        <v>0.65</v>
      </c>
    </row>
    <row r="500" spans="1:8" x14ac:dyDescent="0.3">
      <c r="A500">
        <v>202608</v>
      </c>
      <c r="B500" t="s">
        <v>27</v>
      </c>
      <c r="C500">
        <v>1769099506</v>
      </c>
      <c r="D500" t="s">
        <v>18</v>
      </c>
      <c r="E500" t="s">
        <v>24</v>
      </c>
      <c r="F500" t="s">
        <v>213</v>
      </c>
      <c r="G500" s="8">
        <v>1.0166999999999999</v>
      </c>
      <c r="H500" s="29">
        <v>3.95</v>
      </c>
    </row>
    <row r="501" spans="1:8" x14ac:dyDescent="0.3">
      <c r="A501">
        <v>202608</v>
      </c>
      <c r="B501" t="s">
        <v>27</v>
      </c>
      <c r="C501">
        <v>1773163159</v>
      </c>
      <c r="D501" t="s">
        <v>23</v>
      </c>
      <c r="E501" t="s">
        <v>19</v>
      </c>
      <c r="F501" t="s">
        <v>224</v>
      </c>
      <c r="G501" s="8">
        <v>3</v>
      </c>
      <c r="H501" s="29">
        <v>0.65</v>
      </c>
    </row>
    <row r="502" spans="1:8" x14ac:dyDescent="0.3">
      <c r="A502">
        <v>202608</v>
      </c>
      <c r="B502" t="s">
        <v>27</v>
      </c>
      <c r="C502">
        <v>1773163230</v>
      </c>
      <c r="D502" t="s">
        <v>23</v>
      </c>
      <c r="E502" t="s">
        <v>19</v>
      </c>
      <c r="F502" t="s">
        <v>224</v>
      </c>
      <c r="G502" s="8">
        <v>3</v>
      </c>
      <c r="H502" s="29">
        <v>0.65</v>
      </c>
    </row>
    <row r="503" spans="1:8" x14ac:dyDescent="0.3">
      <c r="A503">
        <v>202608</v>
      </c>
      <c r="B503" t="s">
        <v>27</v>
      </c>
      <c r="C503">
        <v>1773180126</v>
      </c>
      <c r="D503" t="s">
        <v>18</v>
      </c>
      <c r="E503" t="s">
        <v>24</v>
      </c>
      <c r="F503" t="s">
        <v>213</v>
      </c>
      <c r="G503" s="8">
        <v>1.0098</v>
      </c>
      <c r="H503" s="29">
        <v>3.95</v>
      </c>
    </row>
    <row r="504" spans="1:8" x14ac:dyDescent="0.3">
      <c r="A504">
        <v>202608</v>
      </c>
      <c r="B504" t="s">
        <v>27</v>
      </c>
      <c r="C504">
        <v>1773186639</v>
      </c>
      <c r="D504" t="s">
        <v>23</v>
      </c>
      <c r="E504" t="s">
        <v>19</v>
      </c>
      <c r="F504" t="s">
        <v>235</v>
      </c>
      <c r="G504" s="8">
        <v>6</v>
      </c>
      <c r="H504" s="29">
        <v>0.6</v>
      </c>
    </row>
    <row r="505" spans="1:8" x14ac:dyDescent="0.3">
      <c r="A505">
        <v>202608</v>
      </c>
      <c r="B505" t="s">
        <v>27</v>
      </c>
      <c r="C505">
        <v>1773192248</v>
      </c>
      <c r="D505" t="s">
        <v>18</v>
      </c>
      <c r="E505" t="s">
        <v>24</v>
      </c>
      <c r="F505" t="s">
        <v>213</v>
      </c>
      <c r="G505" s="8">
        <v>1.0092000000000001</v>
      </c>
      <c r="H505" s="29">
        <v>3.95</v>
      </c>
    </row>
    <row r="506" spans="1:8" x14ac:dyDescent="0.3">
      <c r="A506">
        <v>202608</v>
      </c>
      <c r="B506" t="s">
        <v>27</v>
      </c>
      <c r="C506">
        <v>1773220349</v>
      </c>
      <c r="D506" t="s">
        <v>18</v>
      </c>
      <c r="E506" t="s">
        <v>24</v>
      </c>
      <c r="F506" t="s">
        <v>213</v>
      </c>
      <c r="G506" s="8">
        <v>0.34933599999999998</v>
      </c>
      <c r="H506" s="29">
        <v>3.93</v>
      </c>
    </row>
    <row r="507" spans="1:8" x14ac:dyDescent="0.3">
      <c r="A507">
        <v>202608</v>
      </c>
      <c r="B507" t="s">
        <v>27</v>
      </c>
      <c r="C507">
        <v>1773220373</v>
      </c>
      <c r="D507" t="s">
        <v>18</v>
      </c>
      <c r="E507" t="s">
        <v>24</v>
      </c>
      <c r="F507" t="s">
        <v>213</v>
      </c>
      <c r="G507" s="8">
        <v>0.91700700000000002</v>
      </c>
      <c r="H507" s="29">
        <v>3.93</v>
      </c>
    </row>
    <row r="508" spans="1:8" x14ac:dyDescent="0.3">
      <c r="A508">
        <v>202608</v>
      </c>
      <c r="B508" t="s">
        <v>27</v>
      </c>
      <c r="C508">
        <v>1773224379</v>
      </c>
      <c r="D508" t="s">
        <v>18</v>
      </c>
      <c r="E508" t="s">
        <v>48</v>
      </c>
      <c r="F508" t="s">
        <v>84</v>
      </c>
      <c r="G508" s="8">
        <v>1.2491760000000001</v>
      </c>
      <c r="H508" s="29">
        <v>0.9</v>
      </c>
    </row>
    <row r="509" spans="1:8" x14ac:dyDescent="0.3">
      <c r="A509">
        <v>202608</v>
      </c>
      <c r="B509" t="s">
        <v>27</v>
      </c>
      <c r="C509">
        <v>1773228170</v>
      </c>
      <c r="D509" t="s">
        <v>18</v>
      </c>
      <c r="E509" t="s">
        <v>24</v>
      </c>
      <c r="F509" t="s">
        <v>213</v>
      </c>
      <c r="G509" s="8">
        <v>0.748834</v>
      </c>
      <c r="H509" s="29">
        <v>3.93</v>
      </c>
    </row>
    <row r="510" spans="1:8" x14ac:dyDescent="0.3">
      <c r="A510">
        <v>202608</v>
      </c>
      <c r="B510" t="s">
        <v>27</v>
      </c>
      <c r="C510">
        <v>1773269240</v>
      </c>
      <c r="D510" t="s">
        <v>23</v>
      </c>
      <c r="E510" t="s">
        <v>19</v>
      </c>
      <c r="F510" t="s">
        <v>252</v>
      </c>
      <c r="G510" s="8">
        <v>2</v>
      </c>
      <c r="H510" s="29">
        <v>4.5999999999999996</v>
      </c>
    </row>
    <row r="511" spans="1:8" x14ac:dyDescent="0.3">
      <c r="A511">
        <v>202608</v>
      </c>
      <c r="B511" t="s">
        <v>27</v>
      </c>
      <c r="C511">
        <v>1773300253</v>
      </c>
      <c r="D511" t="s">
        <v>18</v>
      </c>
      <c r="E511" t="s">
        <v>48</v>
      </c>
      <c r="F511" t="s">
        <v>260</v>
      </c>
      <c r="G511" s="8">
        <v>6.0209999999999999</v>
      </c>
      <c r="H511" s="29">
        <v>1.2</v>
      </c>
    </row>
    <row r="512" spans="1:8" x14ac:dyDescent="0.3">
      <c r="A512">
        <v>202608</v>
      </c>
      <c r="B512" t="s">
        <v>27</v>
      </c>
      <c r="C512">
        <v>1773305913</v>
      </c>
      <c r="D512" t="s">
        <v>23</v>
      </c>
      <c r="E512" t="s">
        <v>19</v>
      </c>
      <c r="F512" t="s">
        <v>235</v>
      </c>
      <c r="G512" s="8">
        <v>2</v>
      </c>
      <c r="H512" s="29">
        <v>0.6</v>
      </c>
    </row>
    <row r="513" spans="1:8" x14ac:dyDescent="0.3">
      <c r="A513">
        <v>202608</v>
      </c>
      <c r="B513" t="s">
        <v>27</v>
      </c>
      <c r="C513">
        <v>1773311867</v>
      </c>
      <c r="D513" t="s">
        <v>18</v>
      </c>
      <c r="E513" t="s">
        <v>24</v>
      </c>
      <c r="F513" t="s">
        <v>150</v>
      </c>
      <c r="G513" s="8">
        <v>8.115888</v>
      </c>
      <c r="H513" s="29">
        <v>0.5</v>
      </c>
    </row>
    <row r="514" spans="1:8" x14ac:dyDescent="0.3">
      <c r="A514">
        <v>202608</v>
      </c>
      <c r="B514" t="s">
        <v>27</v>
      </c>
      <c r="C514">
        <v>1773337408</v>
      </c>
      <c r="D514" t="s">
        <v>18</v>
      </c>
      <c r="E514" t="s">
        <v>24</v>
      </c>
      <c r="F514" t="s">
        <v>267</v>
      </c>
      <c r="G514" s="8">
        <v>3.3439999999999999</v>
      </c>
      <c r="H514" s="29">
        <v>0.5</v>
      </c>
    </row>
    <row r="515" spans="1:8" x14ac:dyDescent="0.3">
      <c r="A515">
        <v>202608</v>
      </c>
      <c r="B515" t="s">
        <v>27</v>
      </c>
      <c r="C515">
        <v>1773370227</v>
      </c>
      <c r="D515" t="s">
        <v>23</v>
      </c>
      <c r="E515" t="s">
        <v>19</v>
      </c>
      <c r="F515" t="s">
        <v>83</v>
      </c>
      <c r="G515" s="8">
        <v>0.7</v>
      </c>
      <c r="H515" s="29">
        <v>4.25</v>
      </c>
    </row>
    <row r="516" spans="1:8" x14ac:dyDescent="0.3">
      <c r="A516">
        <v>202608</v>
      </c>
      <c r="B516" t="s">
        <v>114</v>
      </c>
      <c r="C516">
        <v>1773181912</v>
      </c>
      <c r="D516" t="s">
        <v>23</v>
      </c>
      <c r="E516" t="s">
        <v>34</v>
      </c>
      <c r="F516" t="s">
        <v>70</v>
      </c>
      <c r="G516" s="8">
        <v>9.5000249999999994E-2</v>
      </c>
      <c r="H516" s="29">
        <v>10.18</v>
      </c>
    </row>
    <row r="517" spans="1:8" x14ac:dyDescent="0.3">
      <c r="A517">
        <v>202608</v>
      </c>
      <c r="B517" t="s">
        <v>114</v>
      </c>
      <c r="C517">
        <v>1773307657</v>
      </c>
      <c r="D517" t="s">
        <v>23</v>
      </c>
      <c r="E517" t="s">
        <v>19</v>
      </c>
      <c r="F517" t="s">
        <v>261</v>
      </c>
      <c r="G517" s="8">
        <v>0.16700000000000001</v>
      </c>
      <c r="H517" s="29">
        <v>2.7</v>
      </c>
    </row>
    <row r="518" spans="1:8" x14ac:dyDescent="0.3">
      <c r="A518">
        <v>202608</v>
      </c>
      <c r="B518" t="s">
        <v>114</v>
      </c>
      <c r="C518">
        <v>1773341669</v>
      </c>
      <c r="D518" t="s">
        <v>23</v>
      </c>
      <c r="E518" t="s">
        <v>34</v>
      </c>
      <c r="F518" t="s">
        <v>187</v>
      </c>
      <c r="G518" s="8">
        <v>0.15728702</v>
      </c>
      <c r="H518" s="29">
        <v>4.55</v>
      </c>
    </row>
    <row r="519" spans="1:8" x14ac:dyDescent="0.3">
      <c r="A519">
        <v>202608</v>
      </c>
      <c r="B519" t="s">
        <v>114</v>
      </c>
      <c r="C519">
        <v>1773344463</v>
      </c>
      <c r="D519" t="s">
        <v>23</v>
      </c>
      <c r="E519" t="s">
        <v>34</v>
      </c>
      <c r="F519" t="s">
        <v>187</v>
      </c>
      <c r="G519" s="8">
        <v>0.43114015</v>
      </c>
      <c r="H519" s="29">
        <v>4.55</v>
      </c>
    </row>
    <row r="520" spans="1:8" x14ac:dyDescent="0.3">
      <c r="A520">
        <v>202608</v>
      </c>
      <c r="B520" t="s">
        <v>56</v>
      </c>
      <c r="C520">
        <v>1746666579</v>
      </c>
      <c r="D520" t="s">
        <v>18</v>
      </c>
      <c r="E520" t="s">
        <v>24</v>
      </c>
      <c r="F520" t="s">
        <v>281</v>
      </c>
      <c r="G520" s="8">
        <v>6.726</v>
      </c>
      <c r="H520" s="29">
        <v>3.9</v>
      </c>
    </row>
    <row r="521" spans="1:8" x14ac:dyDescent="0.3">
      <c r="A521">
        <v>202608</v>
      </c>
      <c r="B521" t="s">
        <v>56</v>
      </c>
      <c r="C521">
        <v>1746666986</v>
      </c>
      <c r="D521" t="s">
        <v>18</v>
      </c>
      <c r="E521" t="s">
        <v>24</v>
      </c>
      <c r="F521" t="s">
        <v>281</v>
      </c>
      <c r="G521" s="8">
        <v>6.726</v>
      </c>
      <c r="H521" s="29">
        <v>3.9</v>
      </c>
    </row>
    <row r="522" spans="1:8" x14ac:dyDescent="0.3">
      <c r="A522">
        <v>202608</v>
      </c>
      <c r="B522" t="s">
        <v>56</v>
      </c>
      <c r="C522">
        <v>1769102388</v>
      </c>
      <c r="D522" t="s">
        <v>18</v>
      </c>
      <c r="E522" t="s">
        <v>24</v>
      </c>
      <c r="F522" t="s">
        <v>152</v>
      </c>
      <c r="G522" s="8">
        <v>0.76252500000000001</v>
      </c>
      <c r="H522" s="29">
        <v>1.25</v>
      </c>
    </row>
    <row r="523" spans="1:8" x14ac:dyDescent="0.3">
      <c r="A523">
        <v>202608</v>
      </c>
      <c r="B523" t="s">
        <v>56</v>
      </c>
      <c r="C523">
        <v>1769110178</v>
      </c>
      <c r="D523" t="s">
        <v>18</v>
      </c>
      <c r="E523" t="s">
        <v>19</v>
      </c>
      <c r="F523" t="s">
        <v>152</v>
      </c>
      <c r="G523" s="8">
        <v>0.84575</v>
      </c>
      <c r="H523" s="29">
        <v>1.4</v>
      </c>
    </row>
    <row r="524" spans="1:8" x14ac:dyDescent="0.3">
      <c r="A524">
        <v>202608</v>
      </c>
      <c r="B524" t="s">
        <v>56</v>
      </c>
      <c r="C524">
        <v>1773180819</v>
      </c>
      <c r="D524" t="s">
        <v>18</v>
      </c>
      <c r="E524" t="s">
        <v>24</v>
      </c>
      <c r="F524" t="s">
        <v>152</v>
      </c>
      <c r="G524" s="8">
        <v>0.40414417560000004</v>
      </c>
      <c r="H524" s="29">
        <v>1.25</v>
      </c>
    </row>
    <row r="525" spans="1:8" x14ac:dyDescent="0.3">
      <c r="A525">
        <v>202608</v>
      </c>
      <c r="B525" t="s">
        <v>56</v>
      </c>
      <c r="C525">
        <v>1773205803</v>
      </c>
      <c r="D525" t="s">
        <v>18</v>
      </c>
      <c r="E525" t="s">
        <v>24</v>
      </c>
      <c r="F525" t="s">
        <v>154</v>
      </c>
      <c r="G525" s="8">
        <v>4.1773472551499999</v>
      </c>
      <c r="H525" s="29">
        <v>0.4</v>
      </c>
    </row>
    <row r="526" spans="1:8" x14ac:dyDescent="0.3">
      <c r="A526">
        <v>202608</v>
      </c>
      <c r="B526" t="s">
        <v>56</v>
      </c>
      <c r="C526">
        <v>1773225260</v>
      </c>
      <c r="D526" t="s">
        <v>18</v>
      </c>
      <c r="E526" t="s">
        <v>19</v>
      </c>
      <c r="F526" t="s">
        <v>155</v>
      </c>
      <c r="G526" s="8">
        <v>29.960076000000001</v>
      </c>
      <c r="H526" s="29">
        <v>0.2</v>
      </c>
    </row>
    <row r="527" spans="1:8" x14ac:dyDescent="0.3">
      <c r="A527">
        <v>202608</v>
      </c>
      <c r="B527" t="s">
        <v>56</v>
      </c>
      <c r="C527">
        <v>1773229699</v>
      </c>
      <c r="D527" t="s">
        <v>23</v>
      </c>
      <c r="E527" t="s">
        <v>24</v>
      </c>
      <c r="F527" t="s">
        <v>242</v>
      </c>
      <c r="G527" s="8">
        <v>16.5</v>
      </c>
      <c r="H527" s="29">
        <v>1.4</v>
      </c>
    </row>
    <row r="528" spans="1:8" x14ac:dyDescent="0.3">
      <c r="A528">
        <v>202608</v>
      </c>
      <c r="B528" t="s">
        <v>56</v>
      </c>
      <c r="C528">
        <v>1773245414</v>
      </c>
      <c r="D528" t="s">
        <v>18</v>
      </c>
      <c r="E528" t="s">
        <v>24</v>
      </c>
      <c r="F528" t="s">
        <v>154</v>
      </c>
      <c r="G528" s="8">
        <v>2.0898363311999999</v>
      </c>
      <c r="H528" s="29">
        <v>0.4</v>
      </c>
    </row>
    <row r="529" spans="1:8" x14ac:dyDescent="0.3">
      <c r="A529">
        <v>202608</v>
      </c>
      <c r="B529" t="s">
        <v>56</v>
      </c>
      <c r="C529">
        <v>1773248870</v>
      </c>
      <c r="D529" t="s">
        <v>18</v>
      </c>
      <c r="E529" t="s">
        <v>24</v>
      </c>
      <c r="F529" t="s">
        <v>152</v>
      </c>
      <c r="G529" s="8">
        <v>0.81841397975999997</v>
      </c>
      <c r="H529" s="29">
        <v>1.25</v>
      </c>
    </row>
    <row r="530" spans="1:8" x14ac:dyDescent="0.3">
      <c r="A530">
        <v>202608</v>
      </c>
      <c r="B530" t="s">
        <v>56</v>
      </c>
      <c r="C530">
        <v>1773304518</v>
      </c>
      <c r="D530" t="s">
        <v>18</v>
      </c>
      <c r="E530" t="s">
        <v>24</v>
      </c>
      <c r="F530" t="s">
        <v>154</v>
      </c>
      <c r="G530" s="8">
        <v>1.5283146447</v>
      </c>
      <c r="H530" s="29">
        <v>0.25</v>
      </c>
    </row>
    <row r="531" spans="1:8" x14ac:dyDescent="0.3">
      <c r="A531">
        <v>202608</v>
      </c>
      <c r="B531" t="s">
        <v>56</v>
      </c>
      <c r="C531">
        <v>1773305580</v>
      </c>
      <c r="D531" t="s">
        <v>18</v>
      </c>
      <c r="E531" t="s">
        <v>24</v>
      </c>
      <c r="F531" t="s">
        <v>104</v>
      </c>
      <c r="G531" s="8">
        <v>4.4512255521000004</v>
      </c>
      <c r="H531" s="29">
        <v>0.2</v>
      </c>
    </row>
    <row r="532" spans="1:8" x14ac:dyDescent="0.3">
      <c r="A532">
        <v>202608</v>
      </c>
      <c r="B532" t="s">
        <v>56</v>
      </c>
      <c r="C532">
        <v>1773341730</v>
      </c>
      <c r="D532" t="s">
        <v>18</v>
      </c>
      <c r="E532" t="s">
        <v>19</v>
      </c>
      <c r="F532" t="s">
        <v>155</v>
      </c>
      <c r="G532" s="8">
        <v>1.8435999999999999</v>
      </c>
      <c r="H532" s="29">
        <v>0.2</v>
      </c>
    </row>
    <row r="533" spans="1:8" x14ac:dyDescent="0.3">
      <c r="A533">
        <v>202608</v>
      </c>
      <c r="B533" t="s">
        <v>56</v>
      </c>
      <c r="C533">
        <v>1773364154</v>
      </c>
      <c r="D533" t="s">
        <v>18</v>
      </c>
      <c r="E533" t="s">
        <v>19</v>
      </c>
      <c r="F533" t="s">
        <v>156</v>
      </c>
      <c r="G533" s="8">
        <v>3.3620000000000001</v>
      </c>
      <c r="H533" s="29">
        <v>1.65</v>
      </c>
    </row>
    <row r="534" spans="1:8" x14ac:dyDescent="0.3">
      <c r="A534">
        <v>202608</v>
      </c>
      <c r="B534" t="s">
        <v>115</v>
      </c>
      <c r="C534">
        <v>1769073990</v>
      </c>
      <c r="D534" t="s">
        <v>18</v>
      </c>
      <c r="E534" t="s">
        <v>24</v>
      </c>
      <c r="F534" t="s">
        <v>157</v>
      </c>
      <c r="G534" s="8">
        <v>2.3778999999999999</v>
      </c>
      <c r="H534" s="29">
        <v>0.3</v>
      </c>
    </row>
    <row r="535" spans="1:8" x14ac:dyDescent="0.3">
      <c r="A535">
        <v>202608</v>
      </c>
      <c r="B535" t="s">
        <v>115</v>
      </c>
      <c r="C535">
        <v>1769093930</v>
      </c>
      <c r="D535" t="s">
        <v>18</v>
      </c>
      <c r="E535" t="s">
        <v>24</v>
      </c>
      <c r="F535" t="s">
        <v>157</v>
      </c>
      <c r="G535" s="8">
        <v>2.54175</v>
      </c>
      <c r="H535" s="29">
        <v>0.3</v>
      </c>
    </row>
    <row r="536" spans="1:8" x14ac:dyDescent="0.3">
      <c r="A536">
        <v>202608</v>
      </c>
      <c r="B536" t="s">
        <v>115</v>
      </c>
      <c r="C536">
        <v>1769100377</v>
      </c>
      <c r="D536" t="s">
        <v>18</v>
      </c>
      <c r="E536" t="s">
        <v>24</v>
      </c>
      <c r="F536" t="s">
        <v>188</v>
      </c>
      <c r="G536" s="8">
        <v>1.6944999999999999</v>
      </c>
      <c r="H536" s="29">
        <v>0.3</v>
      </c>
    </row>
    <row r="537" spans="1:8" x14ac:dyDescent="0.3">
      <c r="A537">
        <v>202608</v>
      </c>
      <c r="B537" t="s">
        <v>115</v>
      </c>
      <c r="C537">
        <v>1769109129</v>
      </c>
      <c r="D537" t="s">
        <v>18</v>
      </c>
      <c r="E537" t="s">
        <v>19</v>
      </c>
      <c r="F537" t="s">
        <v>61</v>
      </c>
      <c r="G537" s="8">
        <v>0.55142899999999995</v>
      </c>
      <c r="H537" s="29">
        <v>0.65</v>
      </c>
    </row>
    <row r="538" spans="1:8" x14ac:dyDescent="0.3">
      <c r="A538">
        <v>202608</v>
      </c>
      <c r="B538" t="s">
        <v>115</v>
      </c>
      <c r="C538">
        <v>1769114520</v>
      </c>
      <c r="D538" t="s">
        <v>18</v>
      </c>
      <c r="E538" t="s">
        <v>24</v>
      </c>
      <c r="F538" t="s">
        <v>218</v>
      </c>
      <c r="G538" s="8">
        <v>0.84575</v>
      </c>
      <c r="H538" s="29">
        <v>0.5</v>
      </c>
    </row>
    <row r="539" spans="1:8" x14ac:dyDescent="0.3">
      <c r="A539">
        <v>202608</v>
      </c>
      <c r="B539" t="s">
        <v>115</v>
      </c>
      <c r="C539">
        <v>1769114548</v>
      </c>
      <c r="D539" t="s">
        <v>18</v>
      </c>
      <c r="E539" t="s">
        <v>24</v>
      </c>
      <c r="F539" t="s">
        <v>218</v>
      </c>
      <c r="G539" s="8">
        <v>0.84575</v>
      </c>
      <c r="H539" s="29">
        <v>0.5</v>
      </c>
    </row>
    <row r="540" spans="1:8" x14ac:dyDescent="0.3">
      <c r="A540">
        <v>202608</v>
      </c>
      <c r="B540" t="s">
        <v>115</v>
      </c>
      <c r="C540">
        <v>1773146963</v>
      </c>
      <c r="D540" t="s">
        <v>18</v>
      </c>
      <c r="E540" t="s">
        <v>24</v>
      </c>
      <c r="F540" t="s">
        <v>218</v>
      </c>
      <c r="G540" s="8">
        <v>0.84450000000000003</v>
      </c>
      <c r="H540" s="29">
        <v>0.5</v>
      </c>
    </row>
    <row r="541" spans="1:8" x14ac:dyDescent="0.3">
      <c r="A541">
        <v>202608</v>
      </c>
      <c r="B541" t="s">
        <v>115</v>
      </c>
      <c r="C541">
        <v>1773174400</v>
      </c>
      <c r="D541" t="s">
        <v>18</v>
      </c>
      <c r="E541" t="s">
        <v>24</v>
      </c>
      <c r="F541" t="s">
        <v>229</v>
      </c>
      <c r="G541" s="8">
        <v>0.67320000000000002</v>
      </c>
      <c r="H541" s="29">
        <v>2.5099999999999998</v>
      </c>
    </row>
    <row r="542" spans="1:8" x14ac:dyDescent="0.3">
      <c r="A542">
        <v>202608</v>
      </c>
      <c r="B542" t="s">
        <v>115</v>
      </c>
      <c r="C542">
        <v>1773190415</v>
      </c>
      <c r="D542" t="s">
        <v>18</v>
      </c>
      <c r="E542" t="s">
        <v>19</v>
      </c>
      <c r="F542" t="s">
        <v>61</v>
      </c>
      <c r="G542" s="8">
        <v>1.04284</v>
      </c>
      <c r="H542" s="29">
        <v>0.65</v>
      </c>
    </row>
    <row r="543" spans="1:8" x14ac:dyDescent="0.3">
      <c r="A543">
        <v>202608</v>
      </c>
      <c r="B543" t="s">
        <v>115</v>
      </c>
      <c r="C543">
        <v>1773193090</v>
      </c>
      <c r="D543" t="s">
        <v>18</v>
      </c>
      <c r="E543" t="s">
        <v>24</v>
      </c>
      <c r="F543" t="s">
        <v>218</v>
      </c>
      <c r="G543" s="8">
        <v>1.0092000000000001</v>
      </c>
      <c r="H543" s="29">
        <v>0.5</v>
      </c>
    </row>
    <row r="544" spans="1:8" x14ac:dyDescent="0.3">
      <c r="A544">
        <v>202608</v>
      </c>
      <c r="B544" t="s">
        <v>115</v>
      </c>
      <c r="C544">
        <v>1773205200</v>
      </c>
      <c r="D544" t="s">
        <v>18</v>
      </c>
      <c r="E544" t="s">
        <v>24</v>
      </c>
      <c r="F544" t="s">
        <v>157</v>
      </c>
      <c r="G544" s="8">
        <v>2.5222500000000001</v>
      </c>
      <c r="H544" s="29">
        <v>0.3</v>
      </c>
    </row>
    <row r="545" spans="1:8" x14ac:dyDescent="0.3">
      <c r="A545">
        <v>202608</v>
      </c>
      <c r="B545" t="s">
        <v>115</v>
      </c>
      <c r="C545">
        <v>1773222783</v>
      </c>
      <c r="D545" t="s">
        <v>18</v>
      </c>
      <c r="E545" t="s">
        <v>24</v>
      </c>
      <c r="F545" t="s">
        <v>236</v>
      </c>
      <c r="G545" s="8">
        <v>0.859904</v>
      </c>
      <c r="H545" s="29">
        <v>0.8</v>
      </c>
    </row>
    <row r="546" spans="1:8" x14ac:dyDescent="0.3">
      <c r="A546">
        <v>202608</v>
      </c>
      <c r="B546" t="s">
        <v>115</v>
      </c>
      <c r="C546">
        <v>1773240064</v>
      </c>
      <c r="D546" t="s">
        <v>18</v>
      </c>
      <c r="E546" t="s">
        <v>34</v>
      </c>
      <c r="F546" t="s">
        <v>59</v>
      </c>
      <c r="G546" s="8">
        <v>0.59633918464000002</v>
      </c>
      <c r="H546" s="29">
        <v>1.85</v>
      </c>
    </row>
    <row r="547" spans="1:8" x14ac:dyDescent="0.3">
      <c r="A547">
        <v>202608</v>
      </c>
      <c r="B547" t="s">
        <v>115</v>
      </c>
      <c r="C547">
        <v>1773246003</v>
      </c>
      <c r="D547" t="s">
        <v>18</v>
      </c>
      <c r="E547" t="s">
        <v>19</v>
      </c>
      <c r="F547" t="s">
        <v>158</v>
      </c>
      <c r="G547" s="8">
        <v>0.50219999999999998</v>
      </c>
      <c r="H547" s="29">
        <v>3.42</v>
      </c>
    </row>
    <row r="548" spans="1:8" x14ac:dyDescent="0.3">
      <c r="A548">
        <v>202608</v>
      </c>
      <c r="B548" t="s">
        <v>115</v>
      </c>
      <c r="C548">
        <v>1773249576</v>
      </c>
      <c r="D548" t="s">
        <v>23</v>
      </c>
      <c r="E548" t="s">
        <v>24</v>
      </c>
      <c r="F548" t="s">
        <v>60</v>
      </c>
      <c r="G548" s="8">
        <v>0.70399999999999996</v>
      </c>
      <c r="H548" s="29">
        <v>2.4</v>
      </c>
    </row>
    <row r="549" spans="1:8" x14ac:dyDescent="0.3">
      <c r="A549">
        <v>202608</v>
      </c>
      <c r="B549" t="s">
        <v>115</v>
      </c>
      <c r="C549">
        <v>1773270400</v>
      </c>
      <c r="D549" t="s">
        <v>18</v>
      </c>
      <c r="E549" t="s">
        <v>24</v>
      </c>
      <c r="F549" t="s">
        <v>229</v>
      </c>
      <c r="G549" s="8">
        <v>0.85734399999999999</v>
      </c>
      <c r="H549" s="29">
        <v>2.5099999999999998</v>
      </c>
    </row>
    <row r="550" spans="1:8" x14ac:dyDescent="0.3">
      <c r="A550">
        <v>202608</v>
      </c>
      <c r="B550" t="s">
        <v>115</v>
      </c>
      <c r="C550">
        <v>1773271059</v>
      </c>
      <c r="D550" t="s">
        <v>18</v>
      </c>
      <c r="E550" t="s">
        <v>24</v>
      </c>
      <c r="F550" t="s">
        <v>218</v>
      </c>
      <c r="G550" s="8">
        <v>0.83725000000000005</v>
      </c>
      <c r="H550" s="29">
        <v>0.5</v>
      </c>
    </row>
    <row r="551" spans="1:8" x14ac:dyDescent="0.3">
      <c r="A551">
        <v>202608</v>
      </c>
      <c r="B551" t="s">
        <v>115</v>
      </c>
      <c r="C551">
        <v>1773271997</v>
      </c>
      <c r="D551" t="s">
        <v>18</v>
      </c>
      <c r="E551" t="s">
        <v>24</v>
      </c>
      <c r="F551" t="s">
        <v>253</v>
      </c>
      <c r="G551" s="8">
        <v>0.83725000000000005</v>
      </c>
      <c r="H551" s="29">
        <v>1.1399999999999999</v>
      </c>
    </row>
    <row r="552" spans="1:8" x14ac:dyDescent="0.3">
      <c r="A552">
        <v>202608</v>
      </c>
      <c r="B552" t="s">
        <v>115</v>
      </c>
      <c r="C552">
        <v>1773272020</v>
      </c>
      <c r="D552" t="s">
        <v>18</v>
      </c>
      <c r="E552" t="s">
        <v>19</v>
      </c>
      <c r="F552" t="s">
        <v>253</v>
      </c>
      <c r="G552" s="8">
        <v>1.6745000000000001</v>
      </c>
      <c r="H552" s="29">
        <v>1.1399999999999999</v>
      </c>
    </row>
    <row r="553" spans="1:8" x14ac:dyDescent="0.3">
      <c r="A553">
        <v>202608</v>
      </c>
      <c r="B553" t="s">
        <v>115</v>
      </c>
      <c r="C553">
        <v>1773307592</v>
      </c>
      <c r="D553" t="s">
        <v>18</v>
      </c>
      <c r="E553" t="s">
        <v>19</v>
      </c>
      <c r="F553" t="s">
        <v>262</v>
      </c>
      <c r="G553" s="8">
        <v>0.33450000000000002</v>
      </c>
      <c r="H553" s="29">
        <v>1.3</v>
      </c>
    </row>
    <row r="554" spans="1:8" x14ac:dyDescent="0.3">
      <c r="A554">
        <v>202608</v>
      </c>
      <c r="B554" t="s">
        <v>115</v>
      </c>
      <c r="C554">
        <v>1773337459</v>
      </c>
      <c r="D554" t="s">
        <v>18</v>
      </c>
      <c r="E554" t="s">
        <v>24</v>
      </c>
      <c r="F554" t="s">
        <v>157</v>
      </c>
      <c r="G554" s="8">
        <v>1.6719999999999999</v>
      </c>
      <c r="H554" s="29">
        <v>0.3</v>
      </c>
    </row>
    <row r="555" spans="1:8" x14ac:dyDescent="0.3">
      <c r="A555">
        <v>202608</v>
      </c>
      <c r="B555" t="s">
        <v>115</v>
      </c>
      <c r="C555">
        <v>1773343203</v>
      </c>
      <c r="D555" t="s">
        <v>18</v>
      </c>
      <c r="E555" t="s">
        <v>24</v>
      </c>
      <c r="F555" t="s">
        <v>282</v>
      </c>
      <c r="G555" s="8">
        <v>0.36871999999999999</v>
      </c>
      <c r="H555" s="29">
        <v>3.3</v>
      </c>
    </row>
    <row r="556" spans="1:8" x14ac:dyDescent="0.3">
      <c r="A556">
        <v>202608</v>
      </c>
      <c r="B556" t="s">
        <v>115</v>
      </c>
      <c r="C556">
        <v>1773346113</v>
      </c>
      <c r="D556" t="s">
        <v>23</v>
      </c>
      <c r="E556" t="s">
        <v>24</v>
      </c>
      <c r="F556" t="s">
        <v>60</v>
      </c>
      <c r="G556" s="8">
        <v>1.290108</v>
      </c>
      <c r="H556" s="29">
        <v>2.4</v>
      </c>
    </row>
    <row r="557" spans="1:8" x14ac:dyDescent="0.3">
      <c r="A557">
        <v>202608</v>
      </c>
      <c r="B557" t="s">
        <v>115</v>
      </c>
      <c r="C557">
        <v>1773368125</v>
      </c>
      <c r="D557" t="s">
        <v>18</v>
      </c>
      <c r="E557" t="s">
        <v>24</v>
      </c>
      <c r="F557" t="s">
        <v>218</v>
      </c>
      <c r="G557" s="8">
        <v>1.0085999999999999</v>
      </c>
      <c r="H557" s="29">
        <v>0.5</v>
      </c>
    </row>
    <row r="558" spans="1:8" x14ac:dyDescent="0.3">
      <c r="A558">
        <v>202608</v>
      </c>
      <c r="B558" t="s">
        <v>115</v>
      </c>
      <c r="C558">
        <v>1773370235</v>
      </c>
      <c r="D558" t="s">
        <v>18</v>
      </c>
      <c r="E558" t="s">
        <v>48</v>
      </c>
      <c r="F558" t="s">
        <v>283</v>
      </c>
      <c r="G558" s="8">
        <v>1.3448</v>
      </c>
      <c r="H558" s="29">
        <v>2.1</v>
      </c>
    </row>
    <row r="559" spans="1:8" x14ac:dyDescent="0.3">
      <c r="A559">
        <v>202608</v>
      </c>
      <c r="B559" t="s">
        <v>115</v>
      </c>
      <c r="C559">
        <v>1773370243</v>
      </c>
      <c r="D559" t="s">
        <v>23</v>
      </c>
      <c r="E559" t="s">
        <v>24</v>
      </c>
      <c r="F559" t="s">
        <v>284</v>
      </c>
      <c r="G559" s="8">
        <v>2</v>
      </c>
      <c r="H559" s="29">
        <v>0.7</v>
      </c>
    </row>
    <row r="560" spans="1:8" x14ac:dyDescent="0.3">
      <c r="A560">
        <v>202608</v>
      </c>
      <c r="B560" t="s">
        <v>40</v>
      </c>
      <c r="C560">
        <v>1769116362</v>
      </c>
      <c r="D560" t="s">
        <v>18</v>
      </c>
      <c r="E560" t="s">
        <v>34</v>
      </c>
      <c r="F560" t="s">
        <v>53</v>
      </c>
      <c r="G560" s="8">
        <v>4.9153342817299999</v>
      </c>
      <c r="H560" s="29">
        <v>2.9</v>
      </c>
    </row>
    <row r="561" spans="1:8" x14ac:dyDescent="0.3">
      <c r="A561">
        <v>202608</v>
      </c>
      <c r="B561" t="s">
        <v>40</v>
      </c>
      <c r="C561">
        <v>1773241680</v>
      </c>
      <c r="D561" t="s">
        <v>23</v>
      </c>
      <c r="E561" t="s">
        <v>19</v>
      </c>
      <c r="F561" t="s">
        <v>243</v>
      </c>
      <c r="G561" s="8">
        <v>0.67</v>
      </c>
      <c r="H561" s="29">
        <v>4.25</v>
      </c>
    </row>
    <row r="562" spans="1:8" x14ac:dyDescent="0.3">
      <c r="A562">
        <v>202608</v>
      </c>
      <c r="B562" t="s">
        <v>40</v>
      </c>
      <c r="C562">
        <v>1773276484</v>
      </c>
      <c r="D562" t="s">
        <v>18</v>
      </c>
      <c r="E562" t="s">
        <v>19</v>
      </c>
      <c r="F562" t="s">
        <v>263</v>
      </c>
      <c r="G562" s="8">
        <v>0.66879999999999995</v>
      </c>
      <c r="H562" s="29">
        <v>0.5</v>
      </c>
    </row>
    <row r="563" spans="1:8" x14ac:dyDescent="0.3">
      <c r="A563">
        <v>202608</v>
      </c>
      <c r="B563" t="s">
        <v>40</v>
      </c>
      <c r="C563">
        <v>1773305239</v>
      </c>
      <c r="D563" t="s">
        <v>18</v>
      </c>
      <c r="E563" t="s">
        <v>19</v>
      </c>
      <c r="F563" t="s">
        <v>263</v>
      </c>
      <c r="G563" s="8">
        <v>0.7359</v>
      </c>
      <c r="H563" s="29">
        <v>0.5</v>
      </c>
    </row>
    <row r="564" spans="1:8" x14ac:dyDescent="0.3">
      <c r="A564">
        <v>202608</v>
      </c>
      <c r="B564" t="s">
        <v>40</v>
      </c>
      <c r="C564">
        <v>1773306006</v>
      </c>
      <c r="D564" t="s">
        <v>18</v>
      </c>
      <c r="E564" t="s">
        <v>34</v>
      </c>
      <c r="F564" t="s">
        <v>53</v>
      </c>
      <c r="G564" s="8">
        <v>6.0749154124499993</v>
      </c>
      <c r="H564" s="29">
        <v>2.9</v>
      </c>
    </row>
    <row r="565" spans="1:8" x14ac:dyDescent="0.3">
      <c r="A565">
        <v>202608</v>
      </c>
      <c r="B565" t="s">
        <v>40</v>
      </c>
      <c r="C565">
        <v>1773337505</v>
      </c>
      <c r="D565" t="s">
        <v>23</v>
      </c>
      <c r="E565" t="s">
        <v>19</v>
      </c>
      <c r="F565" t="s">
        <v>268</v>
      </c>
      <c r="G565" s="8">
        <v>0.17499999999999999</v>
      </c>
      <c r="H565" s="29">
        <v>4.2</v>
      </c>
    </row>
    <row r="566" spans="1:8" x14ac:dyDescent="0.3">
      <c r="A566">
        <v>202608</v>
      </c>
      <c r="B566" t="s">
        <v>40</v>
      </c>
      <c r="C566">
        <v>1773370103</v>
      </c>
      <c r="D566" t="s">
        <v>23</v>
      </c>
      <c r="E566" t="s">
        <v>19</v>
      </c>
      <c r="F566" t="s">
        <v>201</v>
      </c>
      <c r="G566" s="8">
        <v>0.42699999999999999</v>
      </c>
      <c r="H566" s="29">
        <v>3</v>
      </c>
    </row>
    <row r="567" spans="1:8" x14ac:dyDescent="0.3">
      <c r="A567">
        <v>202608</v>
      </c>
      <c r="B567" t="s">
        <v>116</v>
      </c>
      <c r="C567">
        <v>1773129627</v>
      </c>
      <c r="D567" t="s">
        <v>18</v>
      </c>
      <c r="E567" t="s">
        <v>24</v>
      </c>
      <c r="F567" t="s">
        <v>219</v>
      </c>
      <c r="G567" s="8">
        <v>0.50744999999999996</v>
      </c>
      <c r="H567" s="29">
        <v>2.8</v>
      </c>
    </row>
    <row r="568" spans="1:8" x14ac:dyDescent="0.3">
      <c r="A568">
        <v>202608</v>
      </c>
      <c r="B568" t="s">
        <v>116</v>
      </c>
      <c r="C568">
        <v>1773158856</v>
      </c>
      <c r="D568" t="s">
        <v>18</v>
      </c>
      <c r="E568" t="s">
        <v>24</v>
      </c>
      <c r="F568" t="s">
        <v>225</v>
      </c>
      <c r="G568" s="8">
        <v>3.3679999999999999</v>
      </c>
      <c r="H568" s="29">
        <v>0.2</v>
      </c>
    </row>
    <row r="569" spans="1:8" x14ac:dyDescent="0.3">
      <c r="A569">
        <v>202608</v>
      </c>
      <c r="B569" t="s">
        <v>116</v>
      </c>
      <c r="C569">
        <v>1773210289</v>
      </c>
      <c r="D569" t="s">
        <v>18</v>
      </c>
      <c r="E569" t="s">
        <v>19</v>
      </c>
      <c r="F569" t="s">
        <v>50</v>
      </c>
      <c r="G569" s="8">
        <v>0.73985999999999996</v>
      </c>
      <c r="H569" s="29">
        <v>5.0999999999999996</v>
      </c>
    </row>
    <row r="570" spans="1:8" x14ac:dyDescent="0.3">
      <c r="A570">
        <v>202608</v>
      </c>
      <c r="B570" t="s">
        <v>116</v>
      </c>
      <c r="C570">
        <v>1773210297</v>
      </c>
      <c r="D570" t="s">
        <v>18</v>
      </c>
      <c r="E570" t="s">
        <v>19</v>
      </c>
      <c r="F570" t="s">
        <v>50</v>
      </c>
      <c r="G570" s="8">
        <v>0.131157</v>
      </c>
      <c r="H570" s="29">
        <v>5.2</v>
      </c>
    </row>
    <row r="571" spans="1:8" x14ac:dyDescent="0.3">
      <c r="A571">
        <v>202608</v>
      </c>
      <c r="B571" t="s">
        <v>116</v>
      </c>
      <c r="C571">
        <v>1773210394</v>
      </c>
      <c r="D571" t="s">
        <v>18</v>
      </c>
      <c r="E571" t="s">
        <v>19</v>
      </c>
      <c r="F571" t="s">
        <v>50</v>
      </c>
      <c r="G571" s="8">
        <v>0.52462799999999998</v>
      </c>
      <c r="H571" s="29">
        <v>5</v>
      </c>
    </row>
    <row r="572" spans="1:8" x14ac:dyDescent="0.3">
      <c r="A572">
        <v>202608</v>
      </c>
      <c r="B572" t="s">
        <v>116</v>
      </c>
      <c r="C572">
        <v>1773210572</v>
      </c>
      <c r="D572" t="s">
        <v>18</v>
      </c>
      <c r="E572" t="s">
        <v>19</v>
      </c>
      <c r="F572" t="s">
        <v>50</v>
      </c>
      <c r="G572" s="8">
        <v>1.4259120000000001</v>
      </c>
      <c r="H572" s="29">
        <v>5.6</v>
      </c>
    </row>
    <row r="573" spans="1:8" x14ac:dyDescent="0.3">
      <c r="A573">
        <v>202608</v>
      </c>
      <c r="B573" t="s">
        <v>116</v>
      </c>
      <c r="C573">
        <v>1773225375</v>
      </c>
      <c r="D573" t="s">
        <v>23</v>
      </c>
      <c r="E573" t="s">
        <v>24</v>
      </c>
      <c r="F573" t="s">
        <v>244</v>
      </c>
      <c r="G573" s="8">
        <v>1.45383</v>
      </c>
      <c r="H573" s="29">
        <v>0.52</v>
      </c>
    </row>
    <row r="574" spans="1:8" x14ac:dyDescent="0.3">
      <c r="A574">
        <v>202608</v>
      </c>
      <c r="B574" t="s">
        <v>116</v>
      </c>
      <c r="C574">
        <v>1773249088</v>
      </c>
      <c r="D574" t="s">
        <v>18</v>
      </c>
      <c r="E574" t="s">
        <v>24</v>
      </c>
      <c r="F574" t="s">
        <v>254</v>
      </c>
      <c r="G574" s="8">
        <v>0.33479999999999999</v>
      </c>
      <c r="H574" s="29">
        <v>0.95</v>
      </c>
    </row>
    <row r="575" spans="1:8" x14ac:dyDescent="0.3">
      <c r="A575">
        <v>202608</v>
      </c>
      <c r="B575" t="s">
        <v>116</v>
      </c>
      <c r="C575">
        <v>1773271938</v>
      </c>
      <c r="D575" t="s">
        <v>23</v>
      </c>
      <c r="E575" t="s">
        <v>24</v>
      </c>
      <c r="F575" t="s">
        <v>71</v>
      </c>
      <c r="G575" s="8">
        <v>2.6749999999999998</v>
      </c>
      <c r="H575" s="29">
        <v>0.5</v>
      </c>
    </row>
    <row r="576" spans="1:8" x14ac:dyDescent="0.3">
      <c r="A576">
        <v>202608</v>
      </c>
      <c r="B576" t="s">
        <v>116</v>
      </c>
      <c r="C576">
        <v>1773332562</v>
      </c>
      <c r="D576" t="s">
        <v>18</v>
      </c>
      <c r="E576" t="s">
        <v>24</v>
      </c>
      <c r="F576" t="s">
        <v>269</v>
      </c>
      <c r="G576" s="8">
        <v>1.6719999999999999</v>
      </c>
      <c r="H576" s="29">
        <v>1.3</v>
      </c>
    </row>
    <row r="577" spans="1:8" x14ac:dyDescent="0.3">
      <c r="A577">
        <v>202608</v>
      </c>
      <c r="B577" t="s">
        <v>116</v>
      </c>
      <c r="C577">
        <v>1773334760</v>
      </c>
      <c r="D577" t="s">
        <v>18</v>
      </c>
      <c r="E577" t="s">
        <v>19</v>
      </c>
      <c r="F577" t="s">
        <v>270</v>
      </c>
      <c r="G577" s="8">
        <v>3.3439999999999999</v>
      </c>
      <c r="H577" s="29">
        <v>0.5</v>
      </c>
    </row>
    <row r="578" spans="1:8" x14ac:dyDescent="0.3">
      <c r="A578">
        <v>202608</v>
      </c>
      <c r="B578" t="s">
        <v>116</v>
      </c>
      <c r="C578">
        <v>1773344625</v>
      </c>
      <c r="D578" t="s">
        <v>18</v>
      </c>
      <c r="E578" t="s">
        <v>24</v>
      </c>
      <c r="F578" t="s">
        <v>285</v>
      </c>
      <c r="G578" s="8">
        <v>1.1732</v>
      </c>
      <c r="H578" s="29">
        <v>4.0999999999999996</v>
      </c>
    </row>
    <row r="579" spans="1:8" x14ac:dyDescent="0.3">
      <c r="A579">
        <v>202608</v>
      </c>
      <c r="B579" t="s">
        <v>116</v>
      </c>
      <c r="C579">
        <v>1773357344</v>
      </c>
      <c r="D579" t="s">
        <v>23</v>
      </c>
      <c r="E579" t="s">
        <v>34</v>
      </c>
      <c r="F579" t="s">
        <v>203</v>
      </c>
      <c r="G579" s="8">
        <v>0.48847574999999999</v>
      </c>
      <c r="H579" s="29">
        <v>3.45</v>
      </c>
    </row>
    <row r="580" spans="1:8" x14ac:dyDescent="0.3">
      <c r="A580">
        <v>202608</v>
      </c>
      <c r="B580" t="s">
        <v>116</v>
      </c>
      <c r="C580">
        <v>1773365096</v>
      </c>
      <c r="D580" t="s">
        <v>18</v>
      </c>
      <c r="E580" t="s">
        <v>24</v>
      </c>
      <c r="F580" t="s">
        <v>286</v>
      </c>
      <c r="G580" s="8">
        <v>0.50429999999999997</v>
      </c>
      <c r="H580" s="29">
        <v>4.1500000000000004</v>
      </c>
    </row>
    <row r="581" spans="1:8" x14ac:dyDescent="0.3">
      <c r="A581">
        <v>202608</v>
      </c>
      <c r="B581" t="s">
        <v>116</v>
      </c>
      <c r="C581">
        <v>1773370928</v>
      </c>
      <c r="D581" t="s">
        <v>23</v>
      </c>
      <c r="E581" t="s">
        <v>19</v>
      </c>
      <c r="F581" t="s">
        <v>287</v>
      </c>
      <c r="G581" s="8">
        <v>1.6759999999999999</v>
      </c>
      <c r="H581" s="29">
        <v>3.9</v>
      </c>
    </row>
    <row r="582" spans="1:8" x14ac:dyDescent="0.3">
      <c r="A582">
        <v>202608</v>
      </c>
      <c r="B582" t="s">
        <v>42</v>
      </c>
      <c r="C582">
        <v>1769078193</v>
      </c>
      <c r="D582" t="s">
        <v>23</v>
      </c>
      <c r="E582" t="s">
        <v>19</v>
      </c>
      <c r="F582" t="s">
        <v>159</v>
      </c>
      <c r="G582" s="8">
        <v>4</v>
      </c>
      <c r="H582" s="29">
        <v>0.42</v>
      </c>
    </row>
    <row r="583" spans="1:8" x14ac:dyDescent="0.3">
      <c r="A583">
        <v>202608</v>
      </c>
      <c r="B583" t="s">
        <v>42</v>
      </c>
      <c r="C583">
        <v>1769094865</v>
      </c>
      <c r="D583" t="s">
        <v>23</v>
      </c>
      <c r="E583" t="s">
        <v>19</v>
      </c>
      <c r="F583" t="s">
        <v>159</v>
      </c>
      <c r="G583" s="8">
        <v>9</v>
      </c>
      <c r="H583" s="29">
        <v>0.42</v>
      </c>
    </row>
    <row r="584" spans="1:8" x14ac:dyDescent="0.3">
      <c r="A584">
        <v>202608</v>
      </c>
      <c r="B584" t="s">
        <v>42</v>
      </c>
      <c r="C584">
        <v>1773147706</v>
      </c>
      <c r="D584" t="s">
        <v>23</v>
      </c>
      <c r="E584" t="s">
        <v>34</v>
      </c>
      <c r="F584" t="s">
        <v>87</v>
      </c>
      <c r="G584" s="8">
        <v>9.1922440000000008E-2</v>
      </c>
      <c r="H584" s="29">
        <v>2</v>
      </c>
    </row>
    <row r="585" spans="1:8" x14ac:dyDescent="0.3">
      <c r="A585">
        <v>202608</v>
      </c>
      <c r="B585" t="s">
        <v>42</v>
      </c>
      <c r="C585">
        <v>1773154559</v>
      </c>
      <c r="D585" t="s">
        <v>18</v>
      </c>
      <c r="E585" t="s">
        <v>34</v>
      </c>
      <c r="F585" t="s">
        <v>87</v>
      </c>
      <c r="G585" s="8">
        <v>4.6810686880000001E-2</v>
      </c>
      <c r="H585" s="29">
        <v>2.5</v>
      </c>
    </row>
    <row r="586" spans="1:8" x14ac:dyDescent="0.3">
      <c r="A586">
        <v>202608</v>
      </c>
      <c r="B586" t="s">
        <v>42</v>
      </c>
      <c r="C586">
        <v>1773164200</v>
      </c>
      <c r="D586" t="s">
        <v>23</v>
      </c>
      <c r="E586" t="s">
        <v>34</v>
      </c>
      <c r="F586" t="s">
        <v>88</v>
      </c>
      <c r="G586" s="8">
        <v>3.70458</v>
      </c>
      <c r="H586" s="29">
        <v>0.15</v>
      </c>
    </row>
    <row r="587" spans="1:8" x14ac:dyDescent="0.3">
      <c r="A587">
        <v>202608</v>
      </c>
      <c r="B587" t="s">
        <v>42</v>
      </c>
      <c r="C587">
        <v>1773180540</v>
      </c>
      <c r="D587" t="s">
        <v>23</v>
      </c>
      <c r="E587" t="s">
        <v>34</v>
      </c>
      <c r="F587" t="s">
        <v>87</v>
      </c>
      <c r="G587" s="8">
        <v>5.7773650000000003E-2</v>
      </c>
      <c r="H587" s="29">
        <v>2.1</v>
      </c>
    </row>
    <row r="588" spans="1:8" x14ac:dyDescent="0.3">
      <c r="A588">
        <v>202608</v>
      </c>
      <c r="B588" t="s">
        <v>42</v>
      </c>
      <c r="C588">
        <v>1773182595</v>
      </c>
      <c r="D588" t="s">
        <v>23</v>
      </c>
      <c r="E588" t="s">
        <v>34</v>
      </c>
      <c r="F588" t="s">
        <v>87</v>
      </c>
      <c r="G588" s="8">
        <v>5.4125849999999996E-2</v>
      </c>
      <c r="H588" s="29">
        <v>2.1</v>
      </c>
    </row>
    <row r="589" spans="1:8" x14ac:dyDescent="0.3">
      <c r="A589">
        <v>202608</v>
      </c>
      <c r="B589" t="s">
        <v>42</v>
      </c>
      <c r="C589">
        <v>1773182617</v>
      </c>
      <c r="D589" t="s">
        <v>23</v>
      </c>
      <c r="E589" t="s">
        <v>34</v>
      </c>
      <c r="F589" t="s">
        <v>87</v>
      </c>
      <c r="G589" s="8">
        <v>2.9726990000000002E-2</v>
      </c>
      <c r="H589" s="29">
        <v>2.1</v>
      </c>
    </row>
    <row r="590" spans="1:8" x14ac:dyDescent="0.3">
      <c r="A590">
        <v>202608</v>
      </c>
      <c r="B590" t="s">
        <v>42</v>
      </c>
      <c r="C590">
        <v>1773214860</v>
      </c>
      <c r="D590" t="s">
        <v>23</v>
      </c>
      <c r="E590" t="s">
        <v>34</v>
      </c>
      <c r="F590" t="s">
        <v>88</v>
      </c>
      <c r="G590" s="8">
        <v>1.9474158100000001</v>
      </c>
      <c r="H590" s="29">
        <v>0.8</v>
      </c>
    </row>
    <row r="591" spans="1:8" x14ac:dyDescent="0.3">
      <c r="A591">
        <v>202608</v>
      </c>
      <c r="B591" t="s">
        <v>42</v>
      </c>
      <c r="C591">
        <v>1773222708</v>
      </c>
      <c r="D591" t="s">
        <v>23</v>
      </c>
      <c r="E591" t="s">
        <v>34</v>
      </c>
      <c r="F591" t="s">
        <v>87</v>
      </c>
      <c r="G591" s="8">
        <v>1.7314490000000002E-2</v>
      </c>
      <c r="H591" s="29">
        <v>2.1</v>
      </c>
    </row>
    <row r="592" spans="1:8" x14ac:dyDescent="0.3">
      <c r="A592">
        <v>202608</v>
      </c>
      <c r="B592" t="s">
        <v>42</v>
      </c>
      <c r="C592">
        <v>1773369920</v>
      </c>
      <c r="D592" t="s">
        <v>18</v>
      </c>
      <c r="E592" t="s">
        <v>48</v>
      </c>
      <c r="F592" t="s">
        <v>88</v>
      </c>
      <c r="G592" s="8">
        <v>4.0343999999999998</v>
      </c>
      <c r="H592" s="29">
        <v>1.4</v>
      </c>
    </row>
    <row r="593" spans="1:8" x14ac:dyDescent="0.3">
      <c r="A593">
        <v>202609</v>
      </c>
      <c r="B593" t="s">
        <v>255</v>
      </c>
      <c r="C593">
        <v>1777562112</v>
      </c>
      <c r="D593" t="s">
        <v>23</v>
      </c>
      <c r="E593" t="s">
        <v>19</v>
      </c>
      <c r="F593" t="s">
        <v>164</v>
      </c>
      <c r="G593" s="8">
        <v>1.5</v>
      </c>
      <c r="H593" s="29">
        <v>1.5</v>
      </c>
    </row>
    <row r="594" spans="1:8" x14ac:dyDescent="0.3">
      <c r="A594">
        <v>202609</v>
      </c>
      <c r="B594" t="s">
        <v>255</v>
      </c>
      <c r="C594">
        <v>1777591074</v>
      </c>
      <c r="D594" t="s">
        <v>23</v>
      </c>
      <c r="E594" t="s">
        <v>24</v>
      </c>
      <c r="F594" t="s">
        <v>313</v>
      </c>
      <c r="G594" s="8">
        <v>0.649038</v>
      </c>
      <c r="H594" s="29">
        <v>3.5</v>
      </c>
    </row>
    <row r="595" spans="1:8" x14ac:dyDescent="0.3">
      <c r="A595">
        <v>202609</v>
      </c>
      <c r="B595" t="s">
        <v>255</v>
      </c>
      <c r="C595">
        <v>1777591554</v>
      </c>
      <c r="D595" t="s">
        <v>23</v>
      </c>
      <c r="E595" t="s">
        <v>24</v>
      </c>
      <c r="F595" t="s">
        <v>313</v>
      </c>
      <c r="G595" s="8">
        <v>0.71696800000000005</v>
      </c>
      <c r="H595" s="29">
        <v>3.5</v>
      </c>
    </row>
    <row r="596" spans="1:8" x14ac:dyDescent="0.3">
      <c r="A596">
        <v>202609</v>
      </c>
      <c r="B596" t="s">
        <v>255</v>
      </c>
      <c r="C596">
        <v>1777654220</v>
      </c>
      <c r="D596" t="s">
        <v>23</v>
      </c>
      <c r="E596" t="s">
        <v>24</v>
      </c>
      <c r="F596" t="s">
        <v>313</v>
      </c>
      <c r="G596" s="8">
        <v>1.1619999999999999</v>
      </c>
      <c r="H596" s="29">
        <v>3.5</v>
      </c>
    </row>
    <row r="597" spans="1:8" x14ac:dyDescent="0.3">
      <c r="A597">
        <v>202609</v>
      </c>
      <c r="B597" t="s">
        <v>255</v>
      </c>
      <c r="C597">
        <v>1777676835</v>
      </c>
      <c r="D597" t="s">
        <v>23</v>
      </c>
      <c r="E597" t="s">
        <v>19</v>
      </c>
      <c r="F597" t="s">
        <v>164</v>
      </c>
      <c r="G597" s="8">
        <v>0.2074</v>
      </c>
      <c r="H597" s="29">
        <v>1.5</v>
      </c>
    </row>
    <row r="598" spans="1:8" x14ac:dyDescent="0.3">
      <c r="A598">
        <v>202609</v>
      </c>
      <c r="B598" t="s">
        <v>255</v>
      </c>
      <c r="C598">
        <v>1777703530</v>
      </c>
      <c r="D598" t="s">
        <v>18</v>
      </c>
      <c r="E598" t="s">
        <v>19</v>
      </c>
      <c r="F598" t="s">
        <v>325</v>
      </c>
      <c r="G598" s="8">
        <v>1.7164999999999999</v>
      </c>
      <c r="H598" s="29">
        <v>2.0499999999999998</v>
      </c>
    </row>
    <row r="599" spans="1:8" x14ac:dyDescent="0.3">
      <c r="A599">
        <v>202609</v>
      </c>
      <c r="B599" t="s">
        <v>17</v>
      </c>
      <c r="C599">
        <v>1773413708</v>
      </c>
      <c r="D599" t="s">
        <v>18</v>
      </c>
      <c r="E599" t="s">
        <v>34</v>
      </c>
      <c r="F599" t="s">
        <v>118</v>
      </c>
      <c r="G599" s="8">
        <v>4.9901643279999998E-2</v>
      </c>
      <c r="H599" s="29">
        <v>2.8</v>
      </c>
    </row>
    <row r="600" spans="1:8" x14ac:dyDescent="0.3">
      <c r="A600">
        <v>202609</v>
      </c>
      <c r="B600" t="s">
        <v>17</v>
      </c>
      <c r="C600">
        <v>1777482356</v>
      </c>
      <c r="D600" t="s">
        <v>18</v>
      </c>
      <c r="E600" t="s">
        <v>19</v>
      </c>
      <c r="F600" t="s">
        <v>172</v>
      </c>
      <c r="G600" s="8">
        <v>0.16805</v>
      </c>
      <c r="H600" s="29">
        <v>6.5</v>
      </c>
    </row>
    <row r="601" spans="1:8" x14ac:dyDescent="0.3">
      <c r="A601">
        <v>202609</v>
      </c>
      <c r="B601" t="s">
        <v>17</v>
      </c>
      <c r="C601">
        <v>1777489350</v>
      </c>
      <c r="D601" t="s">
        <v>18</v>
      </c>
      <c r="E601" t="s">
        <v>34</v>
      </c>
      <c r="F601" t="s">
        <v>118</v>
      </c>
      <c r="G601" s="8">
        <v>6.3426554199999999E-2</v>
      </c>
      <c r="H601" s="29">
        <v>2.8</v>
      </c>
    </row>
    <row r="602" spans="1:8" x14ac:dyDescent="0.3">
      <c r="A602">
        <v>202609</v>
      </c>
      <c r="B602" t="s">
        <v>17</v>
      </c>
      <c r="C602">
        <v>1777497906</v>
      </c>
      <c r="D602" t="s">
        <v>18</v>
      </c>
      <c r="E602" t="s">
        <v>34</v>
      </c>
      <c r="F602" t="s">
        <v>160</v>
      </c>
      <c r="G602" s="8">
        <v>0.30878920868999998</v>
      </c>
      <c r="H602" s="29">
        <v>3.2</v>
      </c>
    </row>
    <row r="603" spans="1:8" x14ac:dyDescent="0.3">
      <c r="A603">
        <v>202609</v>
      </c>
      <c r="B603" t="s">
        <v>17</v>
      </c>
      <c r="C603">
        <v>1777505267</v>
      </c>
      <c r="D603" t="s">
        <v>18</v>
      </c>
      <c r="E603" t="s">
        <v>19</v>
      </c>
      <c r="F603" t="s">
        <v>172</v>
      </c>
      <c r="G603" s="8">
        <v>0.23513000000000001</v>
      </c>
      <c r="H603" s="29">
        <v>6.4</v>
      </c>
    </row>
    <row r="604" spans="1:8" x14ac:dyDescent="0.3">
      <c r="A604">
        <v>202609</v>
      </c>
      <c r="B604" t="s">
        <v>17</v>
      </c>
      <c r="C604">
        <v>1777519934</v>
      </c>
      <c r="D604" t="s">
        <v>23</v>
      </c>
      <c r="E604" t="s">
        <v>19</v>
      </c>
      <c r="F604" t="s">
        <v>288</v>
      </c>
      <c r="G604" s="8">
        <v>0.67100000000000004</v>
      </c>
      <c r="H604" s="29">
        <v>3.15</v>
      </c>
    </row>
    <row r="605" spans="1:8" x14ac:dyDescent="0.3">
      <c r="A605">
        <v>202609</v>
      </c>
      <c r="B605" t="s">
        <v>17</v>
      </c>
      <c r="C605">
        <v>1777535417</v>
      </c>
      <c r="D605" t="s">
        <v>23</v>
      </c>
      <c r="E605" t="s">
        <v>19</v>
      </c>
      <c r="F605" t="s">
        <v>289</v>
      </c>
      <c r="G605" s="8">
        <v>0.67100000000000004</v>
      </c>
      <c r="H605" s="29">
        <v>3.15</v>
      </c>
    </row>
    <row r="606" spans="1:8" x14ac:dyDescent="0.3">
      <c r="A606">
        <v>202609</v>
      </c>
      <c r="B606" t="s">
        <v>17</v>
      </c>
      <c r="C606">
        <v>1777552958</v>
      </c>
      <c r="D606" t="s">
        <v>18</v>
      </c>
      <c r="E606" t="s">
        <v>34</v>
      </c>
      <c r="F606" t="s">
        <v>290</v>
      </c>
      <c r="G606" s="8">
        <v>0.20250000000000001</v>
      </c>
      <c r="H606" s="29">
        <v>3.5</v>
      </c>
    </row>
    <row r="607" spans="1:8" x14ac:dyDescent="0.3">
      <c r="A607">
        <v>202609</v>
      </c>
      <c r="B607" t="s">
        <v>17</v>
      </c>
      <c r="C607">
        <v>1777560977</v>
      </c>
      <c r="D607" t="s">
        <v>18</v>
      </c>
      <c r="E607" t="s">
        <v>34</v>
      </c>
      <c r="F607" t="s">
        <v>118</v>
      </c>
      <c r="G607" s="8">
        <v>0.11634164982</v>
      </c>
      <c r="H607" s="29">
        <v>2.65</v>
      </c>
    </row>
    <row r="608" spans="1:8" x14ac:dyDescent="0.3">
      <c r="A608">
        <v>202609</v>
      </c>
      <c r="B608" t="s">
        <v>17</v>
      </c>
      <c r="C608">
        <v>1777598478</v>
      </c>
      <c r="D608" t="s">
        <v>23</v>
      </c>
      <c r="E608" t="s">
        <v>19</v>
      </c>
      <c r="F608" t="s">
        <v>314</v>
      </c>
      <c r="G608" s="8">
        <v>0.33600000000000002</v>
      </c>
      <c r="H608" s="29">
        <v>3.15</v>
      </c>
    </row>
    <row r="609" spans="1:8" x14ac:dyDescent="0.3">
      <c r="A609">
        <v>202609</v>
      </c>
      <c r="B609" t="s">
        <v>17</v>
      </c>
      <c r="C609">
        <v>1777684927</v>
      </c>
      <c r="D609" t="s">
        <v>18</v>
      </c>
      <c r="E609" t="s">
        <v>24</v>
      </c>
      <c r="F609" t="s">
        <v>326</v>
      </c>
      <c r="G609" s="8">
        <v>0.51675000000000004</v>
      </c>
      <c r="H609" s="29">
        <v>1.05</v>
      </c>
    </row>
    <row r="610" spans="1:8" x14ac:dyDescent="0.3">
      <c r="A610">
        <v>202609</v>
      </c>
      <c r="B610" t="s">
        <v>55</v>
      </c>
      <c r="C610">
        <v>1773401130</v>
      </c>
      <c r="D610" t="s">
        <v>18</v>
      </c>
      <c r="E610" t="s">
        <v>24</v>
      </c>
      <c r="F610" t="s">
        <v>65</v>
      </c>
      <c r="G610" s="8">
        <v>9.2921471999999991E-2</v>
      </c>
      <c r="H610" s="29">
        <v>2.79</v>
      </c>
    </row>
    <row r="611" spans="1:8" x14ac:dyDescent="0.3">
      <c r="A611">
        <v>202609</v>
      </c>
      <c r="B611" t="s">
        <v>55</v>
      </c>
      <c r="C611">
        <v>1777501059</v>
      </c>
      <c r="D611" t="s">
        <v>18</v>
      </c>
      <c r="E611" t="s">
        <v>24</v>
      </c>
      <c r="F611" t="s">
        <v>65</v>
      </c>
      <c r="G611" s="8">
        <v>0.30810474525999998</v>
      </c>
      <c r="H611" s="29">
        <v>2.79</v>
      </c>
    </row>
    <row r="612" spans="1:8" x14ac:dyDescent="0.3">
      <c r="A612">
        <v>202609</v>
      </c>
      <c r="B612" t="s">
        <v>55</v>
      </c>
      <c r="C612">
        <v>1777523338</v>
      </c>
      <c r="D612" t="s">
        <v>18</v>
      </c>
      <c r="E612" t="s">
        <v>24</v>
      </c>
      <c r="F612" t="s">
        <v>65</v>
      </c>
      <c r="G612" s="8">
        <v>0.1054961908</v>
      </c>
      <c r="H612" s="29">
        <v>2.64</v>
      </c>
    </row>
    <row r="613" spans="1:8" x14ac:dyDescent="0.3">
      <c r="A613">
        <v>202609</v>
      </c>
      <c r="B613" t="s">
        <v>55</v>
      </c>
      <c r="C613">
        <v>1777542560</v>
      </c>
      <c r="D613" t="s">
        <v>18</v>
      </c>
      <c r="E613" t="s">
        <v>24</v>
      </c>
      <c r="F613" t="s">
        <v>65</v>
      </c>
      <c r="G613" s="8">
        <v>0.13254725000000001</v>
      </c>
      <c r="H613" s="29">
        <v>2.64</v>
      </c>
    </row>
    <row r="614" spans="1:8" x14ac:dyDescent="0.3">
      <c r="A614">
        <v>202609</v>
      </c>
      <c r="B614" t="s">
        <v>55</v>
      </c>
      <c r="C614">
        <v>1777551005</v>
      </c>
      <c r="D614" t="s">
        <v>18</v>
      </c>
      <c r="E614" t="s">
        <v>24</v>
      </c>
      <c r="F614" t="s">
        <v>65</v>
      </c>
      <c r="G614" s="8">
        <v>8.7193124999999996E-2</v>
      </c>
      <c r="H614" s="29">
        <v>2.64</v>
      </c>
    </row>
    <row r="615" spans="1:8" x14ac:dyDescent="0.3">
      <c r="A615">
        <v>202609</v>
      </c>
      <c r="B615" t="s">
        <v>55</v>
      </c>
      <c r="C615">
        <v>1777577055</v>
      </c>
      <c r="D615" t="s">
        <v>18</v>
      </c>
      <c r="E615" t="s">
        <v>24</v>
      </c>
      <c r="F615" t="s">
        <v>194</v>
      </c>
      <c r="G615" s="8">
        <v>1.52275346888</v>
      </c>
      <c r="H615" s="29">
        <v>2.15</v>
      </c>
    </row>
    <row r="616" spans="1:8" x14ac:dyDescent="0.3">
      <c r="A616">
        <v>202609</v>
      </c>
      <c r="B616" t="s">
        <v>55</v>
      </c>
      <c r="C616">
        <v>1777593107</v>
      </c>
      <c r="D616" t="s">
        <v>18</v>
      </c>
      <c r="E616" t="s">
        <v>24</v>
      </c>
      <c r="F616" t="s">
        <v>65</v>
      </c>
      <c r="G616" s="8">
        <v>0.21607293891999999</v>
      </c>
      <c r="H616" s="29">
        <v>2.64</v>
      </c>
    </row>
    <row r="617" spans="1:8" x14ac:dyDescent="0.3">
      <c r="A617">
        <v>202609</v>
      </c>
      <c r="B617" t="s">
        <v>55</v>
      </c>
      <c r="C617">
        <v>1777596572</v>
      </c>
      <c r="D617" t="s">
        <v>18</v>
      </c>
      <c r="E617" t="s">
        <v>24</v>
      </c>
      <c r="F617" t="s">
        <v>65</v>
      </c>
      <c r="G617" s="8">
        <v>2.0706519999999999</v>
      </c>
      <c r="H617" s="29">
        <v>2.64</v>
      </c>
    </row>
    <row r="618" spans="1:8" x14ac:dyDescent="0.3">
      <c r="A618">
        <v>202609</v>
      </c>
      <c r="B618" t="s">
        <v>55</v>
      </c>
      <c r="C618">
        <v>1777616310</v>
      </c>
      <c r="D618" t="s">
        <v>18</v>
      </c>
      <c r="E618" t="s">
        <v>24</v>
      </c>
      <c r="F618" t="s">
        <v>65</v>
      </c>
      <c r="G618" s="8">
        <v>8.3461073000000011E-2</v>
      </c>
      <c r="H618" s="29">
        <v>2.64</v>
      </c>
    </row>
    <row r="619" spans="1:8" x14ac:dyDescent="0.3">
      <c r="A619">
        <v>202609</v>
      </c>
      <c r="B619" t="s">
        <v>55</v>
      </c>
      <c r="C619">
        <v>1777616344</v>
      </c>
      <c r="D619" t="s">
        <v>18</v>
      </c>
      <c r="E619" t="s">
        <v>24</v>
      </c>
      <c r="F619" t="s">
        <v>65</v>
      </c>
      <c r="G619" s="8">
        <v>4.9664561679999997E-2</v>
      </c>
      <c r="H619" s="29">
        <v>2.64</v>
      </c>
    </row>
    <row r="620" spans="1:8" x14ac:dyDescent="0.3">
      <c r="A620">
        <v>202609</v>
      </c>
      <c r="B620" t="s">
        <v>55</v>
      </c>
      <c r="C620">
        <v>1777625904</v>
      </c>
      <c r="D620" t="s">
        <v>23</v>
      </c>
      <c r="E620" t="s">
        <v>48</v>
      </c>
      <c r="F620" t="s">
        <v>315</v>
      </c>
      <c r="G620" s="8">
        <v>1.431362</v>
      </c>
      <c r="H620" s="29">
        <v>1.3</v>
      </c>
    </row>
    <row r="621" spans="1:8" x14ac:dyDescent="0.3">
      <c r="A621">
        <v>202609</v>
      </c>
      <c r="B621" t="s">
        <v>55</v>
      </c>
      <c r="C621">
        <v>1777666775</v>
      </c>
      <c r="D621" t="s">
        <v>23</v>
      </c>
      <c r="E621" t="s">
        <v>19</v>
      </c>
      <c r="F621" t="s">
        <v>192</v>
      </c>
      <c r="G621" s="8">
        <v>0.23</v>
      </c>
      <c r="H621" s="29">
        <v>2.25</v>
      </c>
    </row>
    <row r="622" spans="1:8" x14ac:dyDescent="0.3">
      <c r="A622">
        <v>202609</v>
      </c>
      <c r="B622" t="s">
        <v>55</v>
      </c>
      <c r="C622">
        <v>1777703980</v>
      </c>
      <c r="D622" t="s">
        <v>23</v>
      </c>
      <c r="E622" t="s">
        <v>48</v>
      </c>
      <c r="F622" t="s">
        <v>315</v>
      </c>
      <c r="G622" s="8">
        <v>1.0117389999999999</v>
      </c>
      <c r="H622" s="29">
        <v>1.1499999999999999</v>
      </c>
    </row>
    <row r="623" spans="1:8" x14ac:dyDescent="0.3">
      <c r="A623">
        <v>202609</v>
      </c>
      <c r="B623" t="s">
        <v>30</v>
      </c>
      <c r="C623">
        <v>1773398120</v>
      </c>
      <c r="D623" t="s">
        <v>18</v>
      </c>
      <c r="E623" t="s">
        <v>24</v>
      </c>
      <c r="F623" t="s">
        <v>291</v>
      </c>
      <c r="G623" s="8">
        <v>1.68</v>
      </c>
      <c r="H623" s="29">
        <v>3.93</v>
      </c>
    </row>
    <row r="624" spans="1:8" x14ac:dyDescent="0.3">
      <c r="A624">
        <v>202609</v>
      </c>
      <c r="B624" t="s">
        <v>30</v>
      </c>
      <c r="C624">
        <v>1773408550</v>
      </c>
      <c r="D624" t="s">
        <v>23</v>
      </c>
      <c r="E624" t="s">
        <v>34</v>
      </c>
      <c r="F624" t="s">
        <v>68</v>
      </c>
      <c r="G624" s="8">
        <v>0.43332979999999999</v>
      </c>
      <c r="H624" s="29">
        <v>4.55</v>
      </c>
    </row>
    <row r="625" spans="1:8" x14ac:dyDescent="0.3">
      <c r="A625">
        <v>202609</v>
      </c>
      <c r="B625" t="s">
        <v>30</v>
      </c>
      <c r="C625">
        <v>1777485908</v>
      </c>
      <c r="D625" t="s">
        <v>23</v>
      </c>
      <c r="E625" t="s">
        <v>19</v>
      </c>
      <c r="F625" t="s">
        <v>291</v>
      </c>
      <c r="G625" s="8">
        <v>1.4</v>
      </c>
      <c r="H625" s="29">
        <v>3.83</v>
      </c>
    </row>
    <row r="626" spans="1:8" x14ac:dyDescent="0.3">
      <c r="A626">
        <v>202609</v>
      </c>
      <c r="B626" t="s">
        <v>30</v>
      </c>
      <c r="C626">
        <v>1777495768</v>
      </c>
      <c r="D626" t="s">
        <v>23</v>
      </c>
      <c r="E626" t="s">
        <v>19</v>
      </c>
      <c r="F626" t="s">
        <v>68</v>
      </c>
      <c r="G626" s="8">
        <v>0.35</v>
      </c>
      <c r="H626" s="29">
        <v>4.07</v>
      </c>
    </row>
    <row r="627" spans="1:8" x14ac:dyDescent="0.3">
      <c r="A627">
        <v>202609</v>
      </c>
      <c r="B627" t="s">
        <v>30</v>
      </c>
      <c r="C627">
        <v>1777501490</v>
      </c>
      <c r="D627" t="s">
        <v>18</v>
      </c>
      <c r="E627" t="s">
        <v>24</v>
      </c>
      <c r="F627" t="s">
        <v>292</v>
      </c>
      <c r="G627" s="8">
        <v>4.0308000000000002</v>
      </c>
      <c r="H627" s="29">
        <v>0.5</v>
      </c>
    </row>
    <row r="628" spans="1:8" x14ac:dyDescent="0.3">
      <c r="A628">
        <v>202609</v>
      </c>
      <c r="B628" t="s">
        <v>30</v>
      </c>
      <c r="C628">
        <v>1777543746</v>
      </c>
      <c r="D628" t="s">
        <v>23</v>
      </c>
      <c r="E628" t="s">
        <v>24</v>
      </c>
      <c r="F628" t="s">
        <v>119</v>
      </c>
      <c r="G628" s="8">
        <v>0.65200000000000002</v>
      </c>
      <c r="H628" s="29">
        <v>0.5</v>
      </c>
    </row>
    <row r="629" spans="1:8" x14ac:dyDescent="0.3">
      <c r="A629">
        <v>202609</v>
      </c>
      <c r="B629" t="s">
        <v>30</v>
      </c>
      <c r="C629">
        <v>1777543762</v>
      </c>
      <c r="D629" t="s">
        <v>23</v>
      </c>
      <c r="E629" t="s">
        <v>24</v>
      </c>
      <c r="F629" t="s">
        <v>119</v>
      </c>
      <c r="G629" s="8">
        <v>0.65200000000000002</v>
      </c>
      <c r="H629" s="29">
        <v>0.5</v>
      </c>
    </row>
    <row r="630" spans="1:8" x14ac:dyDescent="0.3">
      <c r="A630">
        <v>202609</v>
      </c>
      <c r="B630" t="s">
        <v>30</v>
      </c>
      <c r="C630">
        <v>1777550700</v>
      </c>
      <c r="D630" t="s">
        <v>18</v>
      </c>
      <c r="E630" t="s">
        <v>24</v>
      </c>
      <c r="F630" t="s">
        <v>138</v>
      </c>
      <c r="G630" s="8">
        <v>0.33750000000000002</v>
      </c>
      <c r="H630" s="29">
        <v>5.35</v>
      </c>
    </row>
    <row r="631" spans="1:8" x14ac:dyDescent="0.3">
      <c r="A631">
        <v>202609</v>
      </c>
      <c r="B631" t="s">
        <v>30</v>
      </c>
      <c r="C631">
        <v>1777622662</v>
      </c>
      <c r="D631" t="s">
        <v>23</v>
      </c>
      <c r="E631" t="s">
        <v>19</v>
      </c>
      <c r="F631" t="s">
        <v>68</v>
      </c>
      <c r="G631" s="8">
        <v>0.66</v>
      </c>
      <c r="H631" s="29">
        <v>4.05</v>
      </c>
    </row>
    <row r="632" spans="1:8" x14ac:dyDescent="0.3">
      <c r="A632">
        <v>202609</v>
      </c>
      <c r="B632" t="s">
        <v>30</v>
      </c>
      <c r="C632">
        <v>1777666589</v>
      </c>
      <c r="D632" t="s">
        <v>23</v>
      </c>
      <c r="E632" t="s">
        <v>34</v>
      </c>
      <c r="F632" t="s">
        <v>220</v>
      </c>
      <c r="G632" s="8">
        <v>2.3565807799999998</v>
      </c>
      <c r="H632" s="29">
        <v>0.75</v>
      </c>
    </row>
    <row r="633" spans="1:8" x14ac:dyDescent="0.3">
      <c r="A633">
        <v>202609</v>
      </c>
      <c r="B633" t="s">
        <v>96</v>
      </c>
      <c r="C633">
        <v>1773386379</v>
      </c>
      <c r="D633" t="s">
        <v>18</v>
      </c>
      <c r="E633" t="s">
        <v>34</v>
      </c>
      <c r="F633" t="s">
        <v>139</v>
      </c>
      <c r="G633" s="8">
        <v>8.2884526400000005E-2</v>
      </c>
      <c r="H633" s="29">
        <v>5.2</v>
      </c>
    </row>
    <row r="634" spans="1:8" x14ac:dyDescent="0.3">
      <c r="A634">
        <v>202609</v>
      </c>
      <c r="B634" t="s">
        <v>96</v>
      </c>
      <c r="C634">
        <v>1773387103</v>
      </c>
      <c r="D634" t="s">
        <v>23</v>
      </c>
      <c r="E634" t="s">
        <v>34</v>
      </c>
      <c r="F634" t="s">
        <v>121</v>
      </c>
      <c r="G634" s="8">
        <v>3.3864999999999999E-2</v>
      </c>
      <c r="H634" s="29">
        <v>9.25</v>
      </c>
    </row>
    <row r="635" spans="1:8" x14ac:dyDescent="0.3">
      <c r="A635">
        <v>202609</v>
      </c>
      <c r="B635" t="s">
        <v>96</v>
      </c>
      <c r="C635">
        <v>1773387260</v>
      </c>
      <c r="D635" t="s">
        <v>18</v>
      </c>
      <c r="E635" t="s">
        <v>34</v>
      </c>
      <c r="F635" t="s">
        <v>121</v>
      </c>
      <c r="G635" s="8">
        <v>2.6748889749999998E-2</v>
      </c>
      <c r="H635" s="29">
        <v>9.25</v>
      </c>
    </row>
    <row r="636" spans="1:8" x14ac:dyDescent="0.3">
      <c r="A636">
        <v>202609</v>
      </c>
      <c r="B636" t="s">
        <v>96</v>
      </c>
      <c r="C636">
        <v>1773387537</v>
      </c>
      <c r="D636" t="s">
        <v>18</v>
      </c>
      <c r="E636" t="s">
        <v>34</v>
      </c>
      <c r="F636" t="s">
        <v>293</v>
      </c>
      <c r="G636" s="8">
        <v>0.74164600000000003</v>
      </c>
      <c r="H636" s="29">
        <v>9</v>
      </c>
    </row>
    <row r="637" spans="1:8" x14ac:dyDescent="0.3">
      <c r="A637">
        <v>202609</v>
      </c>
      <c r="B637" t="s">
        <v>96</v>
      </c>
      <c r="C637">
        <v>1777525292</v>
      </c>
      <c r="D637" t="s">
        <v>18</v>
      </c>
      <c r="E637" t="s">
        <v>34</v>
      </c>
      <c r="F637" t="s">
        <v>294</v>
      </c>
      <c r="G637" s="8">
        <v>0.50358535500000001</v>
      </c>
      <c r="H637" s="29">
        <v>13.9</v>
      </c>
    </row>
    <row r="638" spans="1:8" x14ac:dyDescent="0.3">
      <c r="A638">
        <v>202609</v>
      </c>
      <c r="B638" t="s">
        <v>96</v>
      </c>
      <c r="C638">
        <v>1777558220</v>
      </c>
      <c r="D638" t="s">
        <v>18</v>
      </c>
      <c r="E638" t="s">
        <v>34</v>
      </c>
      <c r="F638" t="s">
        <v>293</v>
      </c>
      <c r="G638" s="8">
        <v>0.27466559999999995</v>
      </c>
      <c r="H638" s="29">
        <v>8.85</v>
      </c>
    </row>
    <row r="639" spans="1:8" x14ac:dyDescent="0.3">
      <c r="A639">
        <v>202609</v>
      </c>
      <c r="B639" t="s">
        <v>96</v>
      </c>
      <c r="C639">
        <v>1777562340</v>
      </c>
      <c r="D639" t="s">
        <v>23</v>
      </c>
      <c r="E639" t="s">
        <v>34</v>
      </c>
      <c r="F639" t="s">
        <v>295</v>
      </c>
      <c r="G639" s="8">
        <v>0.33059128000000004</v>
      </c>
      <c r="H639" s="29">
        <v>13.55</v>
      </c>
    </row>
    <row r="640" spans="1:8" x14ac:dyDescent="0.3">
      <c r="A640">
        <v>202609</v>
      </c>
      <c r="B640" t="s">
        <v>96</v>
      </c>
      <c r="C640">
        <v>1777568919</v>
      </c>
      <c r="D640" t="s">
        <v>18</v>
      </c>
      <c r="E640" t="s">
        <v>34</v>
      </c>
      <c r="F640" t="s">
        <v>316</v>
      </c>
      <c r="G640" s="8">
        <v>0.59595745996000005</v>
      </c>
      <c r="H640" s="29">
        <v>4.05</v>
      </c>
    </row>
    <row r="641" spans="1:8" x14ac:dyDescent="0.3">
      <c r="A641">
        <v>202609</v>
      </c>
      <c r="B641" t="s">
        <v>96</v>
      </c>
      <c r="C641">
        <v>1777569478</v>
      </c>
      <c r="D641" t="s">
        <v>18</v>
      </c>
      <c r="E641" t="s">
        <v>34</v>
      </c>
      <c r="F641" t="s">
        <v>294</v>
      </c>
      <c r="G641" s="8">
        <v>0.16905391776000001</v>
      </c>
      <c r="H641" s="29">
        <v>13.75</v>
      </c>
    </row>
    <row r="642" spans="1:8" x14ac:dyDescent="0.3">
      <c r="A642">
        <v>202609</v>
      </c>
      <c r="B642" t="s">
        <v>96</v>
      </c>
      <c r="C642">
        <v>1777579200</v>
      </c>
      <c r="D642" t="s">
        <v>23</v>
      </c>
      <c r="E642" t="s">
        <v>34</v>
      </c>
      <c r="F642" t="s">
        <v>121</v>
      </c>
      <c r="G642" s="8">
        <v>4.1622059999999995E-2</v>
      </c>
      <c r="H642" s="29">
        <v>9.0500000000000007</v>
      </c>
    </row>
    <row r="643" spans="1:8" x14ac:dyDescent="0.3">
      <c r="A643">
        <v>202609</v>
      </c>
      <c r="B643" t="s">
        <v>96</v>
      </c>
      <c r="C643">
        <v>1777580005</v>
      </c>
      <c r="D643" t="s">
        <v>18</v>
      </c>
      <c r="E643" t="s">
        <v>34</v>
      </c>
      <c r="F643" t="s">
        <v>121</v>
      </c>
      <c r="G643" s="8">
        <v>2.6592069159999999E-2</v>
      </c>
      <c r="H643" s="29">
        <v>8.9499999999999993</v>
      </c>
    </row>
    <row r="644" spans="1:8" x14ac:dyDescent="0.3">
      <c r="A644">
        <v>202609</v>
      </c>
      <c r="B644" t="s">
        <v>96</v>
      </c>
      <c r="C644">
        <v>1777596742</v>
      </c>
      <c r="D644" t="s">
        <v>23</v>
      </c>
      <c r="E644" t="s">
        <v>34</v>
      </c>
      <c r="F644" t="s">
        <v>121</v>
      </c>
      <c r="G644" s="8">
        <v>4.5825500000000003E-3</v>
      </c>
      <c r="H644" s="29">
        <v>9.15</v>
      </c>
    </row>
    <row r="645" spans="1:8" x14ac:dyDescent="0.3">
      <c r="A645">
        <v>202609</v>
      </c>
      <c r="B645" t="s">
        <v>96</v>
      </c>
      <c r="C645">
        <v>1777597854</v>
      </c>
      <c r="D645" t="s">
        <v>18</v>
      </c>
      <c r="E645" t="s">
        <v>34</v>
      </c>
      <c r="F645" t="s">
        <v>121</v>
      </c>
      <c r="G645" s="8">
        <v>2.2609841840000002E-2</v>
      </c>
      <c r="H645" s="29">
        <v>9.1999999999999993</v>
      </c>
    </row>
    <row r="646" spans="1:8" x14ac:dyDescent="0.3">
      <c r="A646">
        <v>202609</v>
      </c>
      <c r="B646" t="s">
        <v>96</v>
      </c>
      <c r="C646">
        <v>1777598486</v>
      </c>
      <c r="D646" t="s">
        <v>18</v>
      </c>
      <c r="E646" t="s">
        <v>34</v>
      </c>
      <c r="F646" t="s">
        <v>316</v>
      </c>
      <c r="G646" s="8">
        <v>0.36506903600000001</v>
      </c>
      <c r="H646" s="29">
        <v>4.3499999999999996</v>
      </c>
    </row>
    <row r="647" spans="1:8" x14ac:dyDescent="0.3">
      <c r="A647">
        <v>202609</v>
      </c>
      <c r="B647" t="s">
        <v>96</v>
      </c>
      <c r="C647">
        <v>1777603986</v>
      </c>
      <c r="D647" t="s">
        <v>18</v>
      </c>
      <c r="E647" t="s">
        <v>34</v>
      </c>
      <c r="F647" t="s">
        <v>139</v>
      </c>
      <c r="G647" s="8">
        <v>3.3232535219999998E-2</v>
      </c>
      <c r="H647" s="29">
        <v>5</v>
      </c>
    </row>
    <row r="648" spans="1:8" x14ac:dyDescent="0.3">
      <c r="A648">
        <v>202609</v>
      </c>
      <c r="B648" t="s">
        <v>96</v>
      </c>
      <c r="C648">
        <v>1777623693</v>
      </c>
      <c r="D648" t="s">
        <v>18</v>
      </c>
      <c r="E648" t="s">
        <v>34</v>
      </c>
      <c r="F648" t="s">
        <v>139</v>
      </c>
      <c r="G648" s="8">
        <v>9.184822728E-2</v>
      </c>
      <c r="H648" s="29">
        <v>5.25</v>
      </c>
    </row>
    <row r="649" spans="1:8" x14ac:dyDescent="0.3">
      <c r="A649">
        <v>202609</v>
      </c>
      <c r="B649" t="s">
        <v>96</v>
      </c>
      <c r="C649">
        <v>1777626048</v>
      </c>
      <c r="D649" t="s">
        <v>23</v>
      </c>
      <c r="E649" t="s">
        <v>34</v>
      </c>
      <c r="F649" t="s">
        <v>163</v>
      </c>
      <c r="G649" s="8">
        <v>0.15737693</v>
      </c>
      <c r="H649" s="29">
        <v>5</v>
      </c>
    </row>
    <row r="650" spans="1:8" x14ac:dyDescent="0.3">
      <c r="A650">
        <v>202609</v>
      </c>
      <c r="B650" t="s">
        <v>96</v>
      </c>
      <c r="C650">
        <v>1777641942</v>
      </c>
      <c r="D650" t="s">
        <v>23</v>
      </c>
      <c r="E650" t="s">
        <v>34</v>
      </c>
      <c r="F650" t="s">
        <v>121</v>
      </c>
      <c r="G650" s="8">
        <v>8.7817900000000011E-3</v>
      </c>
      <c r="H650" s="29">
        <v>9.3000000000000007</v>
      </c>
    </row>
    <row r="651" spans="1:8" x14ac:dyDescent="0.3">
      <c r="A651">
        <v>202609</v>
      </c>
      <c r="B651" t="s">
        <v>96</v>
      </c>
      <c r="C651">
        <v>1777681499</v>
      </c>
      <c r="D651" t="s">
        <v>18</v>
      </c>
      <c r="E651" t="s">
        <v>34</v>
      </c>
      <c r="F651" t="s">
        <v>139</v>
      </c>
      <c r="G651" s="8">
        <v>3.450253625E-2</v>
      </c>
      <c r="H651" s="29">
        <v>4.9000000000000004</v>
      </c>
    </row>
    <row r="652" spans="1:8" x14ac:dyDescent="0.3">
      <c r="A652">
        <v>202609</v>
      </c>
      <c r="B652" t="s">
        <v>96</v>
      </c>
      <c r="C652">
        <v>1777689180</v>
      </c>
      <c r="D652" t="s">
        <v>18</v>
      </c>
      <c r="E652" t="s">
        <v>34</v>
      </c>
      <c r="F652" t="s">
        <v>316</v>
      </c>
      <c r="G652" s="8">
        <v>0.2795306072</v>
      </c>
      <c r="H652" s="29">
        <v>4.3499999999999996</v>
      </c>
    </row>
    <row r="653" spans="1:8" x14ac:dyDescent="0.3">
      <c r="A653">
        <v>202609</v>
      </c>
      <c r="B653" t="s">
        <v>237</v>
      </c>
      <c r="C653">
        <v>1773404369</v>
      </c>
      <c r="D653" t="s">
        <v>18</v>
      </c>
      <c r="E653" t="s">
        <v>24</v>
      </c>
      <c r="F653" t="s">
        <v>296</v>
      </c>
      <c r="G653" s="8">
        <v>1.1759999999999999</v>
      </c>
      <c r="H653" s="29">
        <v>2.75</v>
      </c>
    </row>
    <row r="654" spans="1:8" x14ac:dyDescent="0.3">
      <c r="A654">
        <v>202609</v>
      </c>
      <c r="B654" t="s">
        <v>237</v>
      </c>
      <c r="C654">
        <v>1777621542</v>
      </c>
      <c r="D654" t="s">
        <v>18</v>
      </c>
      <c r="E654" t="s">
        <v>24</v>
      </c>
      <c r="F654" t="s">
        <v>258</v>
      </c>
      <c r="G654" s="8">
        <v>5.0385</v>
      </c>
      <c r="H654" s="29">
        <v>0</v>
      </c>
    </row>
    <row r="655" spans="1:8" x14ac:dyDescent="0.3">
      <c r="A655">
        <v>202609</v>
      </c>
      <c r="B655" t="s">
        <v>25</v>
      </c>
      <c r="C655">
        <v>1742159320</v>
      </c>
      <c r="D655" t="s">
        <v>18</v>
      </c>
      <c r="E655" t="s">
        <v>24</v>
      </c>
      <c r="F655" t="s">
        <v>272</v>
      </c>
      <c r="G655" s="8">
        <v>4.5763999999999996</v>
      </c>
      <c r="H655" s="29">
        <v>1.5</v>
      </c>
    </row>
    <row r="656" spans="1:8" x14ac:dyDescent="0.3">
      <c r="A656">
        <v>202609</v>
      </c>
      <c r="B656" t="s">
        <v>25</v>
      </c>
      <c r="C656">
        <v>1746608200</v>
      </c>
      <c r="D656" t="s">
        <v>18</v>
      </c>
      <c r="E656" t="s">
        <v>24</v>
      </c>
      <c r="F656" t="s">
        <v>272</v>
      </c>
      <c r="G656" s="8">
        <v>7.8068</v>
      </c>
      <c r="H656" s="29">
        <v>1.5</v>
      </c>
    </row>
    <row r="657" spans="1:8" x14ac:dyDescent="0.3">
      <c r="A657">
        <v>202609</v>
      </c>
      <c r="B657" t="s">
        <v>25</v>
      </c>
      <c r="C657">
        <v>1773380508</v>
      </c>
      <c r="D657" t="s">
        <v>18</v>
      </c>
      <c r="E657" t="s">
        <v>24</v>
      </c>
      <c r="F657" t="s">
        <v>123</v>
      </c>
      <c r="G657" s="8">
        <v>0.44956023119999999</v>
      </c>
      <c r="H657" s="29">
        <v>2.1</v>
      </c>
    </row>
    <row r="658" spans="1:8" x14ac:dyDescent="0.3">
      <c r="A658">
        <v>202609</v>
      </c>
      <c r="B658" t="s">
        <v>25</v>
      </c>
      <c r="C658">
        <v>1773380516</v>
      </c>
      <c r="D658" t="s">
        <v>18</v>
      </c>
      <c r="E658" t="s">
        <v>24</v>
      </c>
      <c r="F658" t="s">
        <v>123</v>
      </c>
      <c r="G658" s="8">
        <v>1.9555215295500001</v>
      </c>
      <c r="H658" s="29">
        <v>2.1</v>
      </c>
    </row>
    <row r="659" spans="1:8" x14ac:dyDescent="0.3">
      <c r="A659">
        <v>202609</v>
      </c>
      <c r="B659" t="s">
        <v>25</v>
      </c>
      <c r="C659">
        <v>1773382098</v>
      </c>
      <c r="D659" t="s">
        <v>23</v>
      </c>
      <c r="E659" t="s">
        <v>19</v>
      </c>
      <c r="F659" t="s">
        <v>99</v>
      </c>
      <c r="G659" s="8">
        <v>5.25</v>
      </c>
      <c r="H659" s="29">
        <v>0.65</v>
      </c>
    </row>
    <row r="660" spans="1:8" x14ac:dyDescent="0.3">
      <c r="A660">
        <v>202609</v>
      </c>
      <c r="B660" t="s">
        <v>25</v>
      </c>
      <c r="C660">
        <v>1773408232</v>
      </c>
      <c r="D660" t="s">
        <v>18</v>
      </c>
      <c r="E660" t="s">
        <v>19</v>
      </c>
      <c r="F660" t="s">
        <v>221</v>
      </c>
      <c r="G660" s="8">
        <v>6.7279999999999998</v>
      </c>
      <c r="H660" s="29">
        <v>1.1499999999999999</v>
      </c>
    </row>
    <row r="661" spans="1:8" x14ac:dyDescent="0.3">
      <c r="A661">
        <v>202609</v>
      </c>
      <c r="B661" t="s">
        <v>25</v>
      </c>
      <c r="C661">
        <v>1777482020</v>
      </c>
      <c r="D661" t="s">
        <v>18</v>
      </c>
      <c r="E661" t="s">
        <v>24</v>
      </c>
      <c r="F661" t="s">
        <v>72</v>
      </c>
      <c r="G661" s="8">
        <v>3.3610000000000002</v>
      </c>
      <c r="H661" s="29">
        <v>4.05</v>
      </c>
    </row>
    <row r="662" spans="1:8" x14ac:dyDescent="0.3">
      <c r="A662">
        <v>202609</v>
      </c>
      <c r="B662" t="s">
        <v>25</v>
      </c>
      <c r="C662">
        <v>1777494150</v>
      </c>
      <c r="D662" t="s">
        <v>18</v>
      </c>
      <c r="E662" t="s">
        <v>24</v>
      </c>
      <c r="F662" t="s">
        <v>73</v>
      </c>
      <c r="G662" s="8">
        <v>0.1248432</v>
      </c>
      <c r="H662" s="29">
        <v>3.2</v>
      </c>
    </row>
    <row r="663" spans="1:8" x14ac:dyDescent="0.3">
      <c r="A663">
        <v>202609</v>
      </c>
      <c r="B663" t="s">
        <v>25</v>
      </c>
      <c r="C663">
        <v>1777502632</v>
      </c>
      <c r="D663" t="s">
        <v>18</v>
      </c>
      <c r="E663" t="s">
        <v>24</v>
      </c>
      <c r="F663" t="s">
        <v>122</v>
      </c>
      <c r="G663" s="8">
        <v>1.64591</v>
      </c>
      <c r="H663" s="29">
        <v>1.65</v>
      </c>
    </row>
    <row r="664" spans="1:8" x14ac:dyDescent="0.3">
      <c r="A664">
        <v>202609</v>
      </c>
      <c r="B664" t="s">
        <v>25</v>
      </c>
      <c r="C664">
        <v>1777514673</v>
      </c>
      <c r="D664" t="s">
        <v>18</v>
      </c>
      <c r="E664" t="s">
        <v>24</v>
      </c>
      <c r="F664" t="s">
        <v>73</v>
      </c>
      <c r="G664" s="8">
        <v>0.13982522412000001</v>
      </c>
      <c r="H664" s="29">
        <v>3.1</v>
      </c>
    </row>
    <row r="665" spans="1:8" x14ac:dyDescent="0.3">
      <c r="A665">
        <v>202609</v>
      </c>
      <c r="B665" t="s">
        <v>25</v>
      </c>
      <c r="C665">
        <v>1777515246</v>
      </c>
      <c r="D665" t="s">
        <v>18</v>
      </c>
      <c r="E665" t="s">
        <v>24</v>
      </c>
      <c r="F665" t="s">
        <v>123</v>
      </c>
      <c r="G665" s="8">
        <v>1.2866853805199998</v>
      </c>
      <c r="H665" s="29">
        <v>2.25</v>
      </c>
    </row>
    <row r="666" spans="1:8" x14ac:dyDescent="0.3">
      <c r="A666">
        <v>202609</v>
      </c>
      <c r="B666" t="s">
        <v>25</v>
      </c>
      <c r="C666">
        <v>1777515440</v>
      </c>
      <c r="D666" t="s">
        <v>18</v>
      </c>
      <c r="E666" t="s">
        <v>24</v>
      </c>
      <c r="F666" t="s">
        <v>123</v>
      </c>
      <c r="G666" s="8">
        <v>1.32712008483</v>
      </c>
      <c r="H666" s="29">
        <v>2.35</v>
      </c>
    </row>
    <row r="667" spans="1:8" x14ac:dyDescent="0.3">
      <c r="A667">
        <v>202609</v>
      </c>
      <c r="B667" t="s">
        <v>25</v>
      </c>
      <c r="C667">
        <v>1777543703</v>
      </c>
      <c r="D667" t="s">
        <v>18</v>
      </c>
      <c r="E667" t="s">
        <v>24</v>
      </c>
      <c r="F667" t="s">
        <v>72</v>
      </c>
      <c r="G667" s="8">
        <v>2.0261999999999998</v>
      </c>
      <c r="H667" s="29">
        <v>3.9</v>
      </c>
    </row>
    <row r="668" spans="1:8" x14ac:dyDescent="0.3">
      <c r="A668">
        <v>202609</v>
      </c>
      <c r="B668" t="s">
        <v>25</v>
      </c>
      <c r="C668">
        <v>1777552273</v>
      </c>
      <c r="D668" t="s">
        <v>18</v>
      </c>
      <c r="E668" t="s">
        <v>24</v>
      </c>
      <c r="F668" t="s">
        <v>297</v>
      </c>
      <c r="G668" s="8">
        <v>0.91125</v>
      </c>
      <c r="H668" s="29">
        <v>3.1</v>
      </c>
    </row>
    <row r="669" spans="1:8" x14ac:dyDescent="0.3">
      <c r="A669">
        <v>202609</v>
      </c>
      <c r="B669" t="s">
        <v>25</v>
      </c>
      <c r="C669">
        <v>1777560500</v>
      </c>
      <c r="D669" t="s">
        <v>23</v>
      </c>
      <c r="E669" t="s">
        <v>19</v>
      </c>
      <c r="F669" t="s">
        <v>103</v>
      </c>
      <c r="G669" s="8">
        <v>1.56</v>
      </c>
      <c r="H669" s="29">
        <v>0.7</v>
      </c>
    </row>
    <row r="670" spans="1:8" x14ac:dyDescent="0.3">
      <c r="A670">
        <v>202609</v>
      </c>
      <c r="B670" t="s">
        <v>25</v>
      </c>
      <c r="C670">
        <v>1777575540</v>
      </c>
      <c r="D670" t="s">
        <v>23</v>
      </c>
      <c r="E670" t="s">
        <v>24</v>
      </c>
      <c r="F670" t="s">
        <v>273</v>
      </c>
      <c r="G670" s="8">
        <v>30</v>
      </c>
      <c r="H670" s="29">
        <v>0.37</v>
      </c>
    </row>
    <row r="671" spans="1:8" x14ac:dyDescent="0.3">
      <c r="A671">
        <v>202609</v>
      </c>
      <c r="B671" t="s">
        <v>25</v>
      </c>
      <c r="C671">
        <v>1777596947</v>
      </c>
      <c r="D671" t="s">
        <v>18</v>
      </c>
      <c r="E671" t="s">
        <v>24</v>
      </c>
      <c r="F671" t="s">
        <v>317</v>
      </c>
      <c r="G671" s="8">
        <v>13.423637551999999</v>
      </c>
      <c r="H671" s="29">
        <v>0.4</v>
      </c>
    </row>
    <row r="672" spans="1:8" x14ac:dyDescent="0.3">
      <c r="A672">
        <v>202609</v>
      </c>
      <c r="B672" t="s">
        <v>25</v>
      </c>
      <c r="C672">
        <v>1777597412</v>
      </c>
      <c r="D672" t="s">
        <v>18</v>
      </c>
      <c r="E672" t="s">
        <v>24</v>
      </c>
      <c r="F672" t="s">
        <v>73</v>
      </c>
      <c r="G672" s="8">
        <v>0.13393393280000002</v>
      </c>
      <c r="H672" s="29">
        <v>3.3</v>
      </c>
    </row>
    <row r="673" spans="1:8" x14ac:dyDescent="0.3">
      <c r="A673">
        <v>202609</v>
      </c>
      <c r="B673" t="s">
        <v>25</v>
      </c>
      <c r="C673">
        <v>1777616336</v>
      </c>
      <c r="D673" t="s">
        <v>18</v>
      </c>
      <c r="E673" t="s">
        <v>24</v>
      </c>
      <c r="F673" t="s">
        <v>123</v>
      </c>
      <c r="G673" s="8">
        <v>0.42043514684</v>
      </c>
      <c r="H673" s="29">
        <v>2.5499999999999998</v>
      </c>
    </row>
    <row r="674" spans="1:8" x14ac:dyDescent="0.3">
      <c r="A674">
        <v>202609</v>
      </c>
      <c r="B674" t="s">
        <v>25</v>
      </c>
      <c r="C674">
        <v>1777617006</v>
      </c>
      <c r="D674" t="s">
        <v>18</v>
      </c>
      <c r="E674" t="s">
        <v>24</v>
      </c>
      <c r="F674" t="s">
        <v>123</v>
      </c>
      <c r="G674" s="8">
        <v>1.34776358127</v>
      </c>
      <c r="H674" s="29">
        <v>2.35</v>
      </c>
    </row>
    <row r="675" spans="1:8" x14ac:dyDescent="0.3">
      <c r="A675">
        <v>202609</v>
      </c>
      <c r="B675" t="s">
        <v>25</v>
      </c>
      <c r="C675">
        <v>1777617030</v>
      </c>
      <c r="D675" t="s">
        <v>18</v>
      </c>
      <c r="E675" t="s">
        <v>24</v>
      </c>
      <c r="F675" t="s">
        <v>123</v>
      </c>
      <c r="G675" s="8">
        <v>1.5710160900900001</v>
      </c>
      <c r="H675" s="29">
        <v>2.35</v>
      </c>
    </row>
    <row r="676" spans="1:8" x14ac:dyDescent="0.3">
      <c r="A676">
        <v>202609</v>
      </c>
      <c r="B676" t="s">
        <v>25</v>
      </c>
      <c r="C676">
        <v>1777620538</v>
      </c>
      <c r="D676" t="s">
        <v>18</v>
      </c>
      <c r="E676" t="s">
        <v>24</v>
      </c>
      <c r="F676" t="s">
        <v>123</v>
      </c>
      <c r="G676" s="8">
        <v>1.4104935108900001</v>
      </c>
      <c r="H676" s="29">
        <v>2.35</v>
      </c>
    </row>
    <row r="677" spans="1:8" x14ac:dyDescent="0.3">
      <c r="A677">
        <v>202609</v>
      </c>
      <c r="B677" t="s">
        <v>25</v>
      </c>
      <c r="C677">
        <v>1777621968</v>
      </c>
      <c r="D677" t="s">
        <v>18</v>
      </c>
      <c r="E677" t="s">
        <v>24</v>
      </c>
      <c r="F677" t="s">
        <v>72</v>
      </c>
      <c r="G677" s="8">
        <v>2.6871999999999998</v>
      </c>
      <c r="H677" s="29">
        <v>4</v>
      </c>
    </row>
    <row r="678" spans="1:8" x14ac:dyDescent="0.3">
      <c r="A678">
        <v>202609</v>
      </c>
      <c r="B678" t="s">
        <v>25</v>
      </c>
      <c r="C678">
        <v>1777623669</v>
      </c>
      <c r="D678" t="s">
        <v>18</v>
      </c>
      <c r="E678" t="s">
        <v>24</v>
      </c>
      <c r="F678" t="s">
        <v>297</v>
      </c>
      <c r="G678" s="8">
        <v>0.90693000000000001</v>
      </c>
      <c r="H678" s="29">
        <v>3.05</v>
      </c>
    </row>
    <row r="679" spans="1:8" x14ac:dyDescent="0.3">
      <c r="A679">
        <v>202609</v>
      </c>
      <c r="B679" t="s">
        <v>25</v>
      </c>
      <c r="C679">
        <v>1777639506</v>
      </c>
      <c r="D679" t="s">
        <v>18</v>
      </c>
      <c r="E679" t="s">
        <v>34</v>
      </c>
      <c r="F679" t="s">
        <v>239</v>
      </c>
      <c r="G679" s="8">
        <v>0.61074301182000001</v>
      </c>
      <c r="H679" s="29">
        <v>2</v>
      </c>
    </row>
    <row r="680" spans="1:8" x14ac:dyDescent="0.3">
      <c r="A680">
        <v>202609</v>
      </c>
      <c r="B680" t="s">
        <v>25</v>
      </c>
      <c r="C680">
        <v>1777641012</v>
      </c>
      <c r="D680" t="s">
        <v>23</v>
      </c>
      <c r="E680" t="s">
        <v>19</v>
      </c>
      <c r="F680" t="s">
        <v>90</v>
      </c>
      <c r="G680" s="8">
        <v>11.5</v>
      </c>
      <c r="H680" s="29">
        <v>2.7</v>
      </c>
    </row>
    <row r="681" spans="1:8" x14ac:dyDescent="0.3">
      <c r="A681">
        <v>202609</v>
      </c>
      <c r="B681" t="s">
        <v>25</v>
      </c>
      <c r="C681">
        <v>1777654378</v>
      </c>
      <c r="D681" t="s">
        <v>18</v>
      </c>
      <c r="E681" t="s">
        <v>24</v>
      </c>
      <c r="F681" t="s">
        <v>73</v>
      </c>
      <c r="G681" s="8">
        <v>0.19000699256</v>
      </c>
      <c r="H681" s="29">
        <v>3.3</v>
      </c>
    </row>
    <row r="682" spans="1:8" x14ac:dyDescent="0.3">
      <c r="A682">
        <v>202609</v>
      </c>
      <c r="B682" t="s">
        <v>25</v>
      </c>
      <c r="C682">
        <v>1777685125</v>
      </c>
      <c r="D682" t="s">
        <v>18</v>
      </c>
      <c r="E682" t="s">
        <v>24</v>
      </c>
      <c r="F682" t="s">
        <v>99</v>
      </c>
      <c r="G682" s="8">
        <v>0.35138428129999999</v>
      </c>
      <c r="H682" s="29">
        <v>0.5</v>
      </c>
    </row>
    <row r="683" spans="1:8" x14ac:dyDescent="0.3">
      <c r="A683">
        <v>202609</v>
      </c>
      <c r="B683" t="s">
        <v>25</v>
      </c>
      <c r="C683">
        <v>1777685133</v>
      </c>
      <c r="D683" t="s">
        <v>18</v>
      </c>
      <c r="E683" t="s">
        <v>24</v>
      </c>
      <c r="F683" t="s">
        <v>99</v>
      </c>
      <c r="G683" s="8">
        <v>1.6976619978499998</v>
      </c>
      <c r="H683" s="29">
        <v>0.6</v>
      </c>
    </row>
    <row r="684" spans="1:8" x14ac:dyDescent="0.3">
      <c r="A684">
        <v>202609</v>
      </c>
      <c r="B684" t="s">
        <v>25</v>
      </c>
      <c r="C684">
        <v>1777685486</v>
      </c>
      <c r="D684" t="s">
        <v>18</v>
      </c>
      <c r="E684" t="s">
        <v>24</v>
      </c>
      <c r="F684" t="s">
        <v>99</v>
      </c>
      <c r="G684" s="8">
        <v>4.8192587299999999E-2</v>
      </c>
      <c r="H684" s="29">
        <v>0.5</v>
      </c>
    </row>
    <row r="685" spans="1:8" x14ac:dyDescent="0.3">
      <c r="A685">
        <v>202609</v>
      </c>
      <c r="B685" t="s">
        <v>25</v>
      </c>
      <c r="C685">
        <v>1777685494</v>
      </c>
      <c r="D685" t="s">
        <v>18</v>
      </c>
      <c r="E685" t="s">
        <v>24</v>
      </c>
      <c r="F685" t="s">
        <v>99</v>
      </c>
      <c r="G685" s="8">
        <v>0.76414506154999995</v>
      </c>
      <c r="H685" s="29">
        <v>0.5</v>
      </c>
    </row>
    <row r="686" spans="1:8" x14ac:dyDescent="0.3">
      <c r="A686">
        <v>202609</v>
      </c>
      <c r="B686" t="s">
        <v>25</v>
      </c>
      <c r="C686">
        <v>1777688485</v>
      </c>
      <c r="D686" t="s">
        <v>18</v>
      </c>
      <c r="E686" t="s">
        <v>34</v>
      </c>
      <c r="F686" t="s">
        <v>239</v>
      </c>
      <c r="G686" s="8">
        <v>0.15598770525</v>
      </c>
      <c r="H686" s="29">
        <v>1.95</v>
      </c>
    </row>
    <row r="687" spans="1:8" x14ac:dyDescent="0.3">
      <c r="A687">
        <v>202609</v>
      </c>
      <c r="B687" t="s">
        <v>25</v>
      </c>
      <c r="C687">
        <v>1777707552</v>
      </c>
      <c r="D687" t="s">
        <v>18</v>
      </c>
      <c r="E687" t="s">
        <v>24</v>
      </c>
      <c r="F687" t="s">
        <v>99</v>
      </c>
      <c r="G687" s="8">
        <v>0.50906659326000003</v>
      </c>
      <c r="H687" s="29">
        <v>0.7</v>
      </c>
    </row>
    <row r="688" spans="1:8" x14ac:dyDescent="0.3">
      <c r="A688">
        <v>202609</v>
      </c>
      <c r="B688" t="s">
        <v>25</v>
      </c>
      <c r="C688">
        <v>1777714168</v>
      </c>
      <c r="D688" t="s">
        <v>18</v>
      </c>
      <c r="E688" t="s">
        <v>24</v>
      </c>
      <c r="F688" t="s">
        <v>99</v>
      </c>
      <c r="G688" s="8">
        <v>0.43640265103000003</v>
      </c>
      <c r="H688" s="29">
        <v>0.5</v>
      </c>
    </row>
    <row r="689" spans="1:8" x14ac:dyDescent="0.3">
      <c r="A689">
        <v>202609</v>
      </c>
      <c r="B689" t="s">
        <v>36</v>
      </c>
      <c r="C689">
        <v>1773379666</v>
      </c>
      <c r="D689" t="s">
        <v>23</v>
      </c>
      <c r="E689" t="s">
        <v>19</v>
      </c>
      <c r="F689" t="s">
        <v>97</v>
      </c>
      <c r="G689" s="8">
        <v>0.22</v>
      </c>
      <c r="H689" s="29">
        <v>3.1</v>
      </c>
    </row>
    <row r="690" spans="1:8" x14ac:dyDescent="0.3">
      <c r="A690">
        <v>202609</v>
      </c>
      <c r="B690" t="s">
        <v>36</v>
      </c>
      <c r="C690">
        <v>1773403206</v>
      </c>
      <c r="D690" t="s">
        <v>23</v>
      </c>
      <c r="E690" t="s">
        <v>19</v>
      </c>
      <c r="F690" t="s">
        <v>97</v>
      </c>
      <c r="G690" s="8">
        <v>0.09</v>
      </c>
      <c r="H690" s="29">
        <v>3.1</v>
      </c>
    </row>
    <row r="691" spans="1:8" x14ac:dyDescent="0.3">
      <c r="A691">
        <v>202609</v>
      </c>
      <c r="B691" t="s">
        <v>36</v>
      </c>
      <c r="C691">
        <v>1777490855</v>
      </c>
      <c r="D691" t="s">
        <v>18</v>
      </c>
      <c r="E691" t="s">
        <v>24</v>
      </c>
      <c r="F691" t="s">
        <v>247</v>
      </c>
      <c r="G691" s="8">
        <v>3.3559999999999999</v>
      </c>
      <c r="H691" s="29">
        <v>1.95</v>
      </c>
    </row>
    <row r="692" spans="1:8" x14ac:dyDescent="0.3">
      <c r="A692">
        <v>202609</v>
      </c>
      <c r="B692" t="s">
        <v>36</v>
      </c>
      <c r="C692">
        <v>1777515629</v>
      </c>
      <c r="D692" t="s">
        <v>23</v>
      </c>
      <c r="E692" t="s">
        <v>24</v>
      </c>
      <c r="F692" t="s">
        <v>231</v>
      </c>
      <c r="G692" s="8">
        <v>0.105</v>
      </c>
      <c r="H692" s="29">
        <v>5</v>
      </c>
    </row>
    <row r="693" spans="1:8" x14ac:dyDescent="0.3">
      <c r="A693">
        <v>202609</v>
      </c>
      <c r="B693" t="s">
        <v>36</v>
      </c>
      <c r="C693">
        <v>1777550556</v>
      </c>
      <c r="D693" t="s">
        <v>23</v>
      </c>
      <c r="E693" t="s">
        <v>24</v>
      </c>
      <c r="F693" t="s">
        <v>230</v>
      </c>
      <c r="G693" s="8">
        <v>0.97</v>
      </c>
      <c r="H693" s="29">
        <v>1</v>
      </c>
    </row>
    <row r="694" spans="1:8" x14ac:dyDescent="0.3">
      <c r="A694">
        <v>202609</v>
      </c>
      <c r="B694" t="s">
        <v>36</v>
      </c>
      <c r="C694">
        <v>1777621054</v>
      </c>
      <c r="D694" t="s">
        <v>23</v>
      </c>
      <c r="E694" t="s">
        <v>19</v>
      </c>
      <c r="F694" t="s">
        <v>97</v>
      </c>
      <c r="G694" s="8">
        <v>0.18</v>
      </c>
      <c r="H694" s="29">
        <v>3.15</v>
      </c>
    </row>
    <row r="695" spans="1:8" x14ac:dyDescent="0.3">
      <c r="A695">
        <v>202609</v>
      </c>
      <c r="B695" t="s">
        <v>117</v>
      </c>
      <c r="C695">
        <v>1773391275</v>
      </c>
      <c r="D695" t="s">
        <v>18</v>
      </c>
      <c r="E695" t="s">
        <v>34</v>
      </c>
      <c r="F695" t="s">
        <v>94</v>
      </c>
      <c r="G695" s="8">
        <v>1.0214390199999999E-2</v>
      </c>
      <c r="H695" s="29">
        <v>14.15</v>
      </c>
    </row>
    <row r="696" spans="1:8" x14ac:dyDescent="0.3">
      <c r="A696">
        <v>202609</v>
      </c>
      <c r="B696" t="s">
        <v>117</v>
      </c>
      <c r="C696">
        <v>1777484065</v>
      </c>
      <c r="D696" t="s">
        <v>18</v>
      </c>
      <c r="E696" t="s">
        <v>34</v>
      </c>
      <c r="F696" t="s">
        <v>94</v>
      </c>
      <c r="G696" s="8">
        <v>1.7331567869999998E-2</v>
      </c>
      <c r="H696" s="29">
        <v>14.15</v>
      </c>
    </row>
    <row r="697" spans="1:8" x14ac:dyDescent="0.3">
      <c r="A697">
        <v>202609</v>
      </c>
      <c r="B697" t="s">
        <v>117</v>
      </c>
      <c r="C697">
        <v>1777513480</v>
      </c>
      <c r="D697" t="s">
        <v>18</v>
      </c>
      <c r="E697" t="s">
        <v>34</v>
      </c>
      <c r="F697" t="s">
        <v>249</v>
      </c>
      <c r="G697" s="8">
        <v>1.957816863E-2</v>
      </c>
      <c r="H697" s="29">
        <v>3.8</v>
      </c>
    </row>
    <row r="698" spans="1:8" x14ac:dyDescent="0.3">
      <c r="A698">
        <v>202609</v>
      </c>
      <c r="B698" t="s">
        <v>117</v>
      </c>
      <c r="C698">
        <v>1777523869</v>
      </c>
      <c r="D698" t="s">
        <v>18</v>
      </c>
      <c r="E698" t="s">
        <v>34</v>
      </c>
      <c r="F698" t="s">
        <v>249</v>
      </c>
      <c r="G698" s="8">
        <v>8.9501594000000011E-3</v>
      </c>
      <c r="H698" s="29">
        <v>3.45</v>
      </c>
    </row>
    <row r="699" spans="1:8" x14ac:dyDescent="0.3">
      <c r="A699">
        <v>202609</v>
      </c>
      <c r="B699" t="s">
        <v>117</v>
      </c>
      <c r="C699">
        <v>1777543789</v>
      </c>
      <c r="D699" t="s">
        <v>18</v>
      </c>
      <c r="E699" t="s">
        <v>34</v>
      </c>
      <c r="F699" t="s">
        <v>249</v>
      </c>
      <c r="G699" s="8">
        <v>8.542391659999999E-3</v>
      </c>
      <c r="H699" s="29">
        <v>3.95</v>
      </c>
    </row>
    <row r="700" spans="1:8" x14ac:dyDescent="0.3">
      <c r="A700">
        <v>202609</v>
      </c>
      <c r="B700" t="s">
        <v>117</v>
      </c>
      <c r="C700">
        <v>1777561973</v>
      </c>
      <c r="D700" t="s">
        <v>23</v>
      </c>
      <c r="E700" t="s">
        <v>34</v>
      </c>
      <c r="F700" t="s">
        <v>298</v>
      </c>
      <c r="G700" s="8">
        <v>0.33074384999999995</v>
      </c>
      <c r="H700" s="29">
        <v>13.55</v>
      </c>
    </row>
    <row r="701" spans="1:8" x14ac:dyDescent="0.3">
      <c r="A701">
        <v>202609</v>
      </c>
      <c r="B701" t="s">
        <v>117</v>
      </c>
      <c r="C701">
        <v>1777568470</v>
      </c>
      <c r="D701" t="s">
        <v>18</v>
      </c>
      <c r="E701" t="s">
        <v>34</v>
      </c>
      <c r="F701" t="s">
        <v>249</v>
      </c>
      <c r="G701" s="8">
        <v>3.4653909600000001E-3</v>
      </c>
      <c r="H701" s="29">
        <v>3.95</v>
      </c>
    </row>
    <row r="702" spans="1:8" x14ac:dyDescent="0.3">
      <c r="A702">
        <v>202609</v>
      </c>
      <c r="B702" t="s">
        <v>117</v>
      </c>
      <c r="C702">
        <v>1777651440</v>
      </c>
      <c r="D702" t="s">
        <v>18</v>
      </c>
      <c r="E702" t="s">
        <v>34</v>
      </c>
      <c r="F702" t="s">
        <v>249</v>
      </c>
      <c r="G702" s="8">
        <v>1.144663179E-2</v>
      </c>
      <c r="H702" s="29">
        <v>4.3</v>
      </c>
    </row>
    <row r="703" spans="1:8" x14ac:dyDescent="0.3">
      <c r="A703">
        <v>202609</v>
      </c>
      <c r="B703" t="s">
        <v>117</v>
      </c>
      <c r="C703">
        <v>1777710332</v>
      </c>
      <c r="D703" t="s">
        <v>23</v>
      </c>
      <c r="E703" t="s">
        <v>34</v>
      </c>
      <c r="F703" t="s">
        <v>327</v>
      </c>
      <c r="G703" s="8">
        <v>5.2445390000000001E-2</v>
      </c>
      <c r="H703" s="29">
        <v>11.55</v>
      </c>
    </row>
    <row r="704" spans="1:8" x14ac:dyDescent="0.3">
      <c r="A704">
        <v>202609</v>
      </c>
      <c r="B704" t="s">
        <v>37</v>
      </c>
      <c r="C704">
        <v>1773398377</v>
      </c>
      <c r="D704" t="s">
        <v>18</v>
      </c>
      <c r="E704" t="s">
        <v>19</v>
      </c>
      <c r="F704" t="s">
        <v>182</v>
      </c>
      <c r="G704" s="8">
        <v>0.1008</v>
      </c>
      <c r="H704" s="29">
        <v>7</v>
      </c>
    </row>
    <row r="705" spans="1:8" x14ac:dyDescent="0.3">
      <c r="A705">
        <v>202609</v>
      </c>
      <c r="B705" t="s">
        <v>37</v>
      </c>
      <c r="C705">
        <v>1773400053</v>
      </c>
      <c r="D705" t="s">
        <v>18</v>
      </c>
      <c r="E705" t="s">
        <v>19</v>
      </c>
      <c r="F705" t="s">
        <v>182</v>
      </c>
      <c r="G705" s="8">
        <v>0.1008</v>
      </c>
      <c r="H705" s="29">
        <v>7</v>
      </c>
    </row>
    <row r="706" spans="1:8" x14ac:dyDescent="0.3">
      <c r="A706">
        <v>202609</v>
      </c>
      <c r="B706" t="s">
        <v>37</v>
      </c>
      <c r="C706">
        <v>1773407970</v>
      </c>
      <c r="D706" t="s">
        <v>23</v>
      </c>
      <c r="E706" t="s">
        <v>24</v>
      </c>
      <c r="F706" t="s">
        <v>46</v>
      </c>
      <c r="G706" s="8">
        <v>3.7999999999999999E-2</v>
      </c>
      <c r="H706" s="29">
        <v>4.1500000000000004</v>
      </c>
    </row>
    <row r="707" spans="1:8" x14ac:dyDescent="0.3">
      <c r="A707">
        <v>202609</v>
      </c>
      <c r="B707" t="s">
        <v>37</v>
      </c>
      <c r="C707">
        <v>1773408089</v>
      </c>
      <c r="D707" t="s">
        <v>23</v>
      </c>
      <c r="E707" t="s">
        <v>24</v>
      </c>
      <c r="F707" t="s">
        <v>46</v>
      </c>
      <c r="G707" s="8">
        <v>4.1000000000000002E-2</v>
      </c>
      <c r="H707" s="29">
        <v>4.1500000000000004</v>
      </c>
    </row>
    <row r="708" spans="1:8" x14ac:dyDescent="0.3">
      <c r="A708">
        <v>202609</v>
      </c>
      <c r="B708" t="s">
        <v>37</v>
      </c>
      <c r="C708">
        <v>1773408150</v>
      </c>
      <c r="D708" t="s">
        <v>23</v>
      </c>
      <c r="E708" t="s">
        <v>24</v>
      </c>
      <c r="F708" t="s">
        <v>46</v>
      </c>
      <c r="G708" s="8">
        <v>5.5E-2</v>
      </c>
      <c r="H708" s="29">
        <v>4.1500000000000004</v>
      </c>
    </row>
    <row r="709" spans="1:8" x14ac:dyDescent="0.3">
      <c r="A709">
        <v>202609</v>
      </c>
      <c r="B709" t="s">
        <v>37</v>
      </c>
      <c r="C709">
        <v>1773409026</v>
      </c>
      <c r="D709" t="s">
        <v>23</v>
      </c>
      <c r="E709" t="s">
        <v>19</v>
      </c>
      <c r="F709" t="s">
        <v>125</v>
      </c>
      <c r="G709" s="8">
        <v>1.5</v>
      </c>
      <c r="H709" s="29">
        <v>1.4</v>
      </c>
    </row>
    <row r="710" spans="1:8" x14ac:dyDescent="0.3">
      <c r="A710">
        <v>202609</v>
      </c>
      <c r="B710" t="s">
        <v>37</v>
      </c>
      <c r="C710">
        <v>1773411233</v>
      </c>
      <c r="D710" t="s">
        <v>18</v>
      </c>
      <c r="E710" t="s">
        <v>24</v>
      </c>
      <c r="F710" t="s">
        <v>250</v>
      </c>
      <c r="G710" s="8">
        <v>1.3455999999999999</v>
      </c>
      <c r="H710" s="29">
        <v>1.22</v>
      </c>
    </row>
    <row r="711" spans="1:8" x14ac:dyDescent="0.3">
      <c r="A711">
        <v>202609</v>
      </c>
      <c r="B711" t="s">
        <v>37</v>
      </c>
      <c r="C711">
        <v>1773413732</v>
      </c>
      <c r="D711" t="s">
        <v>18</v>
      </c>
      <c r="E711" t="s">
        <v>19</v>
      </c>
      <c r="F711" t="s">
        <v>101</v>
      </c>
      <c r="G711" s="8">
        <v>1.0092000000000001</v>
      </c>
      <c r="H711" s="29">
        <v>3.68</v>
      </c>
    </row>
    <row r="712" spans="1:8" x14ac:dyDescent="0.3">
      <c r="A712">
        <v>202609</v>
      </c>
      <c r="B712" t="s">
        <v>37</v>
      </c>
      <c r="C712">
        <v>1777512352</v>
      </c>
      <c r="D712" t="s">
        <v>23</v>
      </c>
      <c r="E712" t="s">
        <v>24</v>
      </c>
      <c r="F712" t="s">
        <v>46</v>
      </c>
      <c r="G712" s="8">
        <v>4.5999999999999999E-2</v>
      </c>
      <c r="H712" s="29">
        <v>4.1500000000000004</v>
      </c>
    </row>
    <row r="713" spans="1:8" x14ac:dyDescent="0.3">
      <c r="A713">
        <v>202609</v>
      </c>
      <c r="B713" t="s">
        <v>37</v>
      </c>
      <c r="C713">
        <v>1777512417</v>
      </c>
      <c r="D713" t="s">
        <v>23</v>
      </c>
      <c r="E713" t="s">
        <v>24</v>
      </c>
      <c r="F713" t="s">
        <v>46</v>
      </c>
      <c r="G713" s="8">
        <v>5.5E-2</v>
      </c>
      <c r="H713" s="29">
        <v>4.1500000000000004</v>
      </c>
    </row>
    <row r="714" spans="1:8" x14ac:dyDescent="0.3">
      <c r="A714">
        <v>202609</v>
      </c>
      <c r="B714" t="s">
        <v>37</v>
      </c>
      <c r="C714">
        <v>1777516020</v>
      </c>
      <c r="D714" t="s">
        <v>23</v>
      </c>
      <c r="E714" t="s">
        <v>19</v>
      </c>
      <c r="F714" t="s">
        <v>198</v>
      </c>
      <c r="G714" s="8">
        <v>0.5</v>
      </c>
      <c r="H714" s="29">
        <v>1.8</v>
      </c>
    </row>
    <row r="715" spans="1:8" x14ac:dyDescent="0.3">
      <c r="A715">
        <v>202609</v>
      </c>
      <c r="B715" t="s">
        <v>37</v>
      </c>
      <c r="C715">
        <v>1777516285</v>
      </c>
      <c r="D715" t="s">
        <v>23</v>
      </c>
      <c r="E715" t="s">
        <v>19</v>
      </c>
      <c r="F715" t="s">
        <v>198</v>
      </c>
      <c r="G715" s="8">
        <v>0.5</v>
      </c>
      <c r="H715" s="29">
        <v>1.9</v>
      </c>
    </row>
    <row r="716" spans="1:8" x14ac:dyDescent="0.3">
      <c r="A716">
        <v>202609</v>
      </c>
      <c r="B716" t="s">
        <v>37</v>
      </c>
      <c r="C716">
        <v>1777523915</v>
      </c>
      <c r="D716" t="s">
        <v>23</v>
      </c>
      <c r="E716" t="s">
        <v>19</v>
      </c>
      <c r="F716" t="s">
        <v>125</v>
      </c>
      <c r="G716" s="8">
        <v>1.2</v>
      </c>
      <c r="H716" s="29">
        <v>1.1499999999999999</v>
      </c>
    </row>
    <row r="717" spans="1:8" x14ac:dyDescent="0.3">
      <c r="A717">
        <v>202609</v>
      </c>
      <c r="B717" t="s">
        <v>37</v>
      </c>
      <c r="C717">
        <v>1777542464</v>
      </c>
      <c r="D717" t="s">
        <v>23</v>
      </c>
      <c r="E717" t="s">
        <v>19</v>
      </c>
      <c r="F717" t="s">
        <v>125</v>
      </c>
      <c r="G717" s="8">
        <v>1.2</v>
      </c>
      <c r="H717" s="29">
        <v>1.1499999999999999</v>
      </c>
    </row>
    <row r="718" spans="1:8" x14ac:dyDescent="0.3">
      <c r="A718">
        <v>202609</v>
      </c>
      <c r="B718" t="s">
        <v>37</v>
      </c>
      <c r="C718">
        <v>1777548780</v>
      </c>
      <c r="D718" t="s">
        <v>23</v>
      </c>
      <c r="E718" t="s">
        <v>24</v>
      </c>
      <c r="F718" t="s">
        <v>299</v>
      </c>
      <c r="G718" s="8">
        <v>0.33500000000000002</v>
      </c>
      <c r="H718" s="29">
        <v>1.05</v>
      </c>
    </row>
    <row r="719" spans="1:8" x14ac:dyDescent="0.3">
      <c r="A719">
        <v>202609</v>
      </c>
      <c r="B719" t="s">
        <v>37</v>
      </c>
      <c r="C719">
        <v>1777560179</v>
      </c>
      <c r="D719" t="s">
        <v>23</v>
      </c>
      <c r="E719" t="s">
        <v>19</v>
      </c>
      <c r="F719" t="s">
        <v>125</v>
      </c>
      <c r="G719" s="8">
        <v>1</v>
      </c>
      <c r="H719" s="29">
        <v>1.1499999999999999</v>
      </c>
    </row>
    <row r="720" spans="1:8" x14ac:dyDescent="0.3">
      <c r="A720">
        <v>202609</v>
      </c>
      <c r="B720" t="s">
        <v>37</v>
      </c>
      <c r="C720">
        <v>1777565120</v>
      </c>
      <c r="D720" t="s">
        <v>23</v>
      </c>
      <c r="E720" t="s">
        <v>19</v>
      </c>
      <c r="F720" t="s">
        <v>125</v>
      </c>
      <c r="G720" s="8">
        <v>4.3</v>
      </c>
      <c r="H720" s="29">
        <v>1.4</v>
      </c>
    </row>
    <row r="721" spans="1:8" x14ac:dyDescent="0.3">
      <c r="A721">
        <v>202609</v>
      </c>
      <c r="B721" t="s">
        <v>37</v>
      </c>
      <c r="C721">
        <v>1777567830</v>
      </c>
      <c r="D721" t="s">
        <v>23</v>
      </c>
      <c r="E721" t="s">
        <v>19</v>
      </c>
      <c r="F721" t="s">
        <v>125</v>
      </c>
      <c r="G721" s="8">
        <v>1.4</v>
      </c>
      <c r="H721" s="29">
        <v>1.4</v>
      </c>
    </row>
    <row r="722" spans="1:8" x14ac:dyDescent="0.3">
      <c r="A722">
        <v>202609</v>
      </c>
      <c r="B722" t="s">
        <v>37</v>
      </c>
      <c r="C722">
        <v>1777575923</v>
      </c>
      <c r="D722" t="s">
        <v>23</v>
      </c>
      <c r="E722" t="s">
        <v>24</v>
      </c>
      <c r="F722" t="s">
        <v>46</v>
      </c>
      <c r="G722" s="8">
        <v>4.8000000000000001E-2</v>
      </c>
      <c r="H722" s="29">
        <v>4.05</v>
      </c>
    </row>
    <row r="723" spans="1:8" x14ac:dyDescent="0.3">
      <c r="A723">
        <v>202609</v>
      </c>
      <c r="B723" t="s">
        <v>37</v>
      </c>
      <c r="C723">
        <v>1777575958</v>
      </c>
      <c r="D723" t="s">
        <v>23</v>
      </c>
      <c r="E723" t="s">
        <v>24</v>
      </c>
      <c r="F723" t="s">
        <v>46</v>
      </c>
      <c r="G723" s="8">
        <v>5.0999999999999997E-2</v>
      </c>
      <c r="H723" s="29">
        <v>4.05</v>
      </c>
    </row>
    <row r="724" spans="1:8" x14ac:dyDescent="0.3">
      <c r="A724">
        <v>202609</v>
      </c>
      <c r="B724" t="s">
        <v>37</v>
      </c>
      <c r="C724">
        <v>1777575990</v>
      </c>
      <c r="D724" t="s">
        <v>23</v>
      </c>
      <c r="E724" t="s">
        <v>24</v>
      </c>
      <c r="F724" t="s">
        <v>46</v>
      </c>
      <c r="G724" s="8">
        <v>3.3000000000000002E-2</v>
      </c>
      <c r="H724" s="29">
        <v>4.05</v>
      </c>
    </row>
    <row r="725" spans="1:8" x14ac:dyDescent="0.3">
      <c r="A725">
        <v>202609</v>
      </c>
      <c r="B725" t="s">
        <v>37</v>
      </c>
      <c r="C725">
        <v>1777576083</v>
      </c>
      <c r="D725" t="s">
        <v>23</v>
      </c>
      <c r="E725" t="s">
        <v>24</v>
      </c>
      <c r="F725" t="s">
        <v>46</v>
      </c>
      <c r="G725" s="8">
        <v>3.4000000000000002E-2</v>
      </c>
      <c r="H725" s="29">
        <v>4.05</v>
      </c>
    </row>
    <row r="726" spans="1:8" x14ac:dyDescent="0.3">
      <c r="A726">
        <v>202609</v>
      </c>
      <c r="B726" t="s">
        <v>37</v>
      </c>
      <c r="C726">
        <v>1777577756</v>
      </c>
      <c r="D726" t="s">
        <v>18</v>
      </c>
      <c r="E726" t="s">
        <v>24</v>
      </c>
      <c r="F726" t="s">
        <v>250</v>
      </c>
      <c r="G726" s="8">
        <v>0.83950000000000002</v>
      </c>
      <c r="H726" s="29">
        <v>1.22</v>
      </c>
    </row>
    <row r="727" spans="1:8" x14ac:dyDescent="0.3">
      <c r="A727">
        <v>202609</v>
      </c>
      <c r="B727" t="s">
        <v>37</v>
      </c>
      <c r="C727">
        <v>1777605989</v>
      </c>
      <c r="D727" t="s">
        <v>23</v>
      </c>
      <c r="E727" t="s">
        <v>19</v>
      </c>
      <c r="F727" t="s">
        <v>125</v>
      </c>
      <c r="G727" s="8">
        <v>10.4</v>
      </c>
      <c r="H727" s="29">
        <v>1.4</v>
      </c>
    </row>
    <row r="728" spans="1:8" x14ac:dyDescent="0.3">
      <c r="A728">
        <v>202609</v>
      </c>
      <c r="B728" t="s">
        <v>37</v>
      </c>
      <c r="C728">
        <v>1777683726</v>
      </c>
      <c r="D728" t="s">
        <v>18</v>
      </c>
      <c r="E728" t="s">
        <v>34</v>
      </c>
      <c r="F728" t="s">
        <v>143</v>
      </c>
      <c r="G728" s="8">
        <v>1.40260732495</v>
      </c>
      <c r="H728" s="29">
        <v>2.1</v>
      </c>
    </row>
    <row r="729" spans="1:8" x14ac:dyDescent="0.3">
      <c r="A729">
        <v>202609</v>
      </c>
      <c r="B729" t="s">
        <v>37</v>
      </c>
      <c r="C729">
        <v>1777686709</v>
      </c>
      <c r="D729" t="s">
        <v>18</v>
      </c>
      <c r="E729" t="s">
        <v>19</v>
      </c>
      <c r="F729" t="s">
        <v>125</v>
      </c>
      <c r="G729" s="8">
        <v>9.6460000000000008</v>
      </c>
      <c r="H729" s="29">
        <v>1.55</v>
      </c>
    </row>
    <row r="730" spans="1:8" x14ac:dyDescent="0.3">
      <c r="A730">
        <v>202609</v>
      </c>
      <c r="B730" t="s">
        <v>37</v>
      </c>
      <c r="C730">
        <v>1777688299</v>
      </c>
      <c r="D730" t="s">
        <v>18</v>
      </c>
      <c r="E730" t="s">
        <v>19</v>
      </c>
      <c r="F730" t="s">
        <v>198</v>
      </c>
      <c r="G730" s="8">
        <v>1.0335000000000001</v>
      </c>
      <c r="H730" s="29">
        <v>1.85</v>
      </c>
    </row>
    <row r="731" spans="1:8" x14ac:dyDescent="0.3">
      <c r="A731">
        <v>202609</v>
      </c>
      <c r="B731" t="s">
        <v>37</v>
      </c>
      <c r="C731">
        <v>1777688728</v>
      </c>
      <c r="D731" t="s">
        <v>18</v>
      </c>
      <c r="E731" t="s">
        <v>24</v>
      </c>
      <c r="F731" t="s">
        <v>45</v>
      </c>
      <c r="G731" s="8">
        <v>0.17224999999999999</v>
      </c>
      <c r="H731" s="29">
        <v>5.65</v>
      </c>
    </row>
    <row r="732" spans="1:8" x14ac:dyDescent="0.3">
      <c r="A732">
        <v>202609</v>
      </c>
      <c r="B732" t="s">
        <v>144</v>
      </c>
      <c r="C732">
        <v>1773403982</v>
      </c>
      <c r="D732" t="s">
        <v>23</v>
      </c>
      <c r="E732" t="s">
        <v>19</v>
      </c>
      <c r="F732" t="s">
        <v>145</v>
      </c>
      <c r="G732" s="8">
        <v>0.344192</v>
      </c>
      <c r="H732" s="29">
        <v>2.8</v>
      </c>
    </row>
    <row r="733" spans="1:8" x14ac:dyDescent="0.3">
      <c r="A733">
        <v>202609</v>
      </c>
      <c r="B733" t="s">
        <v>144</v>
      </c>
      <c r="C733">
        <v>1777525322</v>
      </c>
      <c r="D733" t="s">
        <v>23</v>
      </c>
      <c r="E733" t="s">
        <v>48</v>
      </c>
      <c r="F733" t="s">
        <v>300</v>
      </c>
      <c r="G733" s="8">
        <v>2</v>
      </c>
      <c r="H733" s="29">
        <v>3.5</v>
      </c>
    </row>
    <row r="734" spans="1:8" x14ac:dyDescent="0.3">
      <c r="A734">
        <v>202609</v>
      </c>
      <c r="B734" t="s">
        <v>144</v>
      </c>
      <c r="C734">
        <v>1777572193</v>
      </c>
      <c r="D734" t="s">
        <v>18</v>
      </c>
      <c r="E734" t="s">
        <v>24</v>
      </c>
      <c r="F734" t="s">
        <v>232</v>
      </c>
      <c r="G734" s="8">
        <v>0.70643999999999996</v>
      </c>
      <c r="H734" s="29">
        <v>0.9</v>
      </c>
    </row>
    <row r="735" spans="1:8" x14ac:dyDescent="0.3">
      <c r="A735">
        <v>202609</v>
      </c>
      <c r="B735" t="s">
        <v>32</v>
      </c>
      <c r="C735">
        <v>1777605270</v>
      </c>
      <c r="D735" t="s">
        <v>18</v>
      </c>
      <c r="E735" t="s">
        <v>19</v>
      </c>
      <c r="F735" t="s">
        <v>183</v>
      </c>
      <c r="G735" s="8">
        <v>3.0230999999999999</v>
      </c>
      <c r="H735" s="29">
        <v>2.4</v>
      </c>
    </row>
    <row r="736" spans="1:8" x14ac:dyDescent="0.3">
      <c r="A736">
        <v>202609</v>
      </c>
      <c r="B736" t="s">
        <v>32</v>
      </c>
      <c r="C736">
        <v>1777625180</v>
      </c>
      <c r="D736" t="s">
        <v>23</v>
      </c>
      <c r="E736" t="s">
        <v>19</v>
      </c>
      <c r="F736" t="s">
        <v>167</v>
      </c>
      <c r="G736" s="8">
        <v>0.33574999999999999</v>
      </c>
      <c r="H736" s="29">
        <v>9.4499999999999993</v>
      </c>
    </row>
    <row r="737" spans="1:8" x14ac:dyDescent="0.3">
      <c r="A737">
        <v>202609</v>
      </c>
      <c r="B737" t="s">
        <v>32</v>
      </c>
      <c r="C737">
        <v>1777645220</v>
      </c>
      <c r="D737" t="s">
        <v>18</v>
      </c>
      <c r="E737" t="s">
        <v>19</v>
      </c>
      <c r="F737" t="s">
        <v>207</v>
      </c>
      <c r="G737" s="8">
        <v>0.34029999999999999</v>
      </c>
      <c r="H737" s="29">
        <v>5.75</v>
      </c>
    </row>
    <row r="738" spans="1:8" x14ac:dyDescent="0.3">
      <c r="A738">
        <v>202609</v>
      </c>
      <c r="B738" t="s">
        <v>33</v>
      </c>
      <c r="C738">
        <v>1773402420</v>
      </c>
      <c r="D738" t="s">
        <v>18</v>
      </c>
      <c r="E738" t="s">
        <v>19</v>
      </c>
      <c r="F738" t="s">
        <v>78</v>
      </c>
      <c r="G738" s="8">
        <v>0.4032</v>
      </c>
      <c r="H738" s="29">
        <v>3.4</v>
      </c>
    </row>
    <row r="739" spans="1:8" x14ac:dyDescent="0.3">
      <c r="A739">
        <v>202609</v>
      </c>
      <c r="B739" t="s">
        <v>33</v>
      </c>
      <c r="C739">
        <v>1773408216</v>
      </c>
      <c r="D739" t="s">
        <v>23</v>
      </c>
      <c r="E739" t="s">
        <v>19</v>
      </c>
      <c r="F739" t="s">
        <v>301</v>
      </c>
      <c r="G739" s="8">
        <v>1.2</v>
      </c>
      <c r="H739" s="29">
        <v>0.95</v>
      </c>
    </row>
    <row r="740" spans="1:8" x14ac:dyDescent="0.3">
      <c r="A740">
        <v>202609</v>
      </c>
      <c r="B740" t="s">
        <v>33</v>
      </c>
      <c r="C740">
        <v>1777501687</v>
      </c>
      <c r="D740" t="s">
        <v>18</v>
      </c>
      <c r="E740" t="s">
        <v>19</v>
      </c>
      <c r="F740" t="s">
        <v>78</v>
      </c>
      <c r="G740" s="8">
        <v>0.429952</v>
      </c>
      <c r="H740" s="29">
        <v>3.4</v>
      </c>
    </row>
    <row r="741" spans="1:8" x14ac:dyDescent="0.3">
      <c r="A741">
        <v>202609</v>
      </c>
      <c r="B741" t="s">
        <v>33</v>
      </c>
      <c r="C741">
        <v>1777502690</v>
      </c>
      <c r="D741" t="s">
        <v>23</v>
      </c>
      <c r="E741" t="s">
        <v>19</v>
      </c>
      <c r="F741" t="s">
        <v>302</v>
      </c>
      <c r="G741" s="8">
        <v>1.1173999999999999</v>
      </c>
      <c r="H741" s="29">
        <v>0.9</v>
      </c>
    </row>
    <row r="742" spans="1:8" x14ac:dyDescent="0.3">
      <c r="A742">
        <v>202609</v>
      </c>
      <c r="B742" t="s">
        <v>33</v>
      </c>
      <c r="C742">
        <v>1777512514</v>
      </c>
      <c r="D742" t="s">
        <v>23</v>
      </c>
      <c r="E742" t="s">
        <v>19</v>
      </c>
      <c r="F742" t="s">
        <v>184</v>
      </c>
      <c r="G742" s="8">
        <v>0.185</v>
      </c>
      <c r="H742" s="29">
        <v>8.6300000000000008</v>
      </c>
    </row>
    <row r="743" spans="1:8" x14ac:dyDescent="0.3">
      <c r="A743">
        <v>202609</v>
      </c>
      <c r="B743" t="s">
        <v>33</v>
      </c>
      <c r="C743">
        <v>1777552877</v>
      </c>
      <c r="D743" t="s">
        <v>18</v>
      </c>
      <c r="E743" t="s">
        <v>24</v>
      </c>
      <c r="F743" t="s">
        <v>148</v>
      </c>
      <c r="G743" s="8">
        <v>0.39487499999999998</v>
      </c>
      <c r="H743" s="29">
        <v>3.2</v>
      </c>
    </row>
    <row r="744" spans="1:8" x14ac:dyDescent="0.3">
      <c r="A744">
        <v>202609</v>
      </c>
      <c r="B744" t="s">
        <v>33</v>
      </c>
      <c r="C744">
        <v>1777560250</v>
      </c>
      <c r="D744" t="s">
        <v>23</v>
      </c>
      <c r="E744" t="s">
        <v>34</v>
      </c>
      <c r="F744" t="s">
        <v>303</v>
      </c>
      <c r="G744" s="8">
        <v>0.29469327000000001</v>
      </c>
      <c r="H744" s="29">
        <v>2.1</v>
      </c>
    </row>
    <row r="745" spans="1:8" x14ac:dyDescent="0.3">
      <c r="A745">
        <v>202609</v>
      </c>
      <c r="B745" t="s">
        <v>33</v>
      </c>
      <c r="C745">
        <v>1777568625</v>
      </c>
      <c r="D745" t="s">
        <v>18</v>
      </c>
      <c r="E745" t="s">
        <v>24</v>
      </c>
      <c r="F745" t="s">
        <v>81</v>
      </c>
      <c r="G745" s="8">
        <v>6.7279999999999998</v>
      </c>
      <c r="H745" s="29">
        <v>0.3</v>
      </c>
    </row>
    <row r="746" spans="1:8" x14ac:dyDescent="0.3">
      <c r="A746">
        <v>202609</v>
      </c>
      <c r="B746" t="s">
        <v>33</v>
      </c>
      <c r="C746">
        <v>1777568950</v>
      </c>
      <c r="D746" t="s">
        <v>23</v>
      </c>
      <c r="E746" t="s">
        <v>19</v>
      </c>
      <c r="F746" t="s">
        <v>318</v>
      </c>
      <c r="G746" s="8">
        <v>1</v>
      </c>
      <c r="H746" s="29">
        <v>1.25</v>
      </c>
    </row>
    <row r="747" spans="1:8" x14ac:dyDescent="0.3">
      <c r="A747">
        <v>202609</v>
      </c>
      <c r="B747" t="s">
        <v>33</v>
      </c>
      <c r="C747">
        <v>1777574870</v>
      </c>
      <c r="D747" t="s">
        <v>18</v>
      </c>
      <c r="E747" t="s">
        <v>24</v>
      </c>
      <c r="F747" t="s">
        <v>81</v>
      </c>
      <c r="G747" s="8">
        <v>6.7160000000000002</v>
      </c>
      <c r="H747" s="29">
        <v>0.3</v>
      </c>
    </row>
    <row r="748" spans="1:8" x14ac:dyDescent="0.3">
      <c r="A748">
        <v>202609</v>
      </c>
      <c r="B748" t="s">
        <v>33</v>
      </c>
      <c r="C748">
        <v>1777579988</v>
      </c>
      <c r="D748" t="s">
        <v>23</v>
      </c>
      <c r="E748" t="s">
        <v>19</v>
      </c>
      <c r="F748" t="s">
        <v>318</v>
      </c>
      <c r="G748" s="8">
        <v>0.6</v>
      </c>
      <c r="H748" s="29">
        <v>1.25</v>
      </c>
    </row>
    <row r="749" spans="1:8" x14ac:dyDescent="0.3">
      <c r="A749">
        <v>202609</v>
      </c>
      <c r="B749" t="s">
        <v>33</v>
      </c>
      <c r="C749">
        <v>1777606438</v>
      </c>
      <c r="D749" t="s">
        <v>18</v>
      </c>
      <c r="E749" t="s">
        <v>24</v>
      </c>
      <c r="F749" t="s">
        <v>81</v>
      </c>
      <c r="G749" s="8">
        <v>6.718</v>
      </c>
      <c r="H749" s="29">
        <v>0.3</v>
      </c>
    </row>
    <row r="750" spans="1:8" x14ac:dyDescent="0.3">
      <c r="A750">
        <v>202609</v>
      </c>
      <c r="B750" t="s">
        <v>33</v>
      </c>
      <c r="C750">
        <v>1777626846</v>
      </c>
      <c r="D750" t="s">
        <v>23</v>
      </c>
      <c r="E750" t="s">
        <v>19</v>
      </c>
      <c r="F750" t="s">
        <v>82</v>
      </c>
      <c r="G750" s="8">
        <v>0.35</v>
      </c>
      <c r="H750" s="29">
        <v>1.5</v>
      </c>
    </row>
    <row r="751" spans="1:8" x14ac:dyDescent="0.3">
      <c r="A751">
        <v>202609</v>
      </c>
      <c r="B751" t="s">
        <v>33</v>
      </c>
      <c r="C751">
        <v>1777674417</v>
      </c>
      <c r="D751" t="s">
        <v>23</v>
      </c>
      <c r="E751" t="s">
        <v>19</v>
      </c>
      <c r="F751" t="s">
        <v>301</v>
      </c>
      <c r="G751" s="8">
        <v>0.85</v>
      </c>
      <c r="H751" s="29">
        <v>1</v>
      </c>
    </row>
    <row r="752" spans="1:8" x14ac:dyDescent="0.3">
      <c r="A752">
        <v>202609</v>
      </c>
      <c r="B752" t="s">
        <v>107</v>
      </c>
      <c r="C752">
        <v>1773381458</v>
      </c>
      <c r="D752" t="s">
        <v>18</v>
      </c>
      <c r="E752" t="s">
        <v>24</v>
      </c>
      <c r="F752" t="s">
        <v>227</v>
      </c>
      <c r="G752" s="8">
        <v>0.51806194000000005</v>
      </c>
      <c r="H752" s="29">
        <v>4.12</v>
      </c>
    </row>
    <row r="753" spans="1:8" x14ac:dyDescent="0.3">
      <c r="A753">
        <v>202609</v>
      </c>
      <c r="B753" t="s">
        <v>107</v>
      </c>
      <c r="C753">
        <v>1773382748</v>
      </c>
      <c r="D753" t="s">
        <v>23</v>
      </c>
      <c r="E753" t="s">
        <v>24</v>
      </c>
      <c r="F753" t="s">
        <v>304</v>
      </c>
      <c r="G753" s="8">
        <v>0.6</v>
      </c>
      <c r="H753" s="29">
        <v>1.23</v>
      </c>
    </row>
    <row r="754" spans="1:8" x14ac:dyDescent="0.3">
      <c r="A754">
        <v>202609</v>
      </c>
      <c r="B754" t="s">
        <v>107</v>
      </c>
      <c r="C754">
        <v>1777483646</v>
      </c>
      <c r="D754" t="s">
        <v>18</v>
      </c>
      <c r="E754" t="s">
        <v>24</v>
      </c>
      <c r="F754" t="s">
        <v>89</v>
      </c>
      <c r="G754" s="8">
        <v>1.0083</v>
      </c>
      <c r="H754" s="29">
        <v>0.95</v>
      </c>
    </row>
    <row r="755" spans="1:8" x14ac:dyDescent="0.3">
      <c r="A755">
        <v>202609</v>
      </c>
      <c r="B755" t="s">
        <v>107</v>
      </c>
      <c r="C755">
        <v>1777513669</v>
      </c>
      <c r="D755" t="s">
        <v>18</v>
      </c>
      <c r="E755" t="s">
        <v>24</v>
      </c>
      <c r="F755" t="s">
        <v>89</v>
      </c>
      <c r="G755" s="8">
        <v>1.1791499999999999</v>
      </c>
      <c r="H755" s="29">
        <v>0.95</v>
      </c>
    </row>
    <row r="756" spans="1:8" x14ac:dyDescent="0.3">
      <c r="A756">
        <v>202609</v>
      </c>
      <c r="B756" t="s">
        <v>107</v>
      </c>
      <c r="C756">
        <v>1777515998</v>
      </c>
      <c r="D756" t="s">
        <v>18</v>
      </c>
      <c r="E756" t="s">
        <v>24</v>
      </c>
      <c r="F756" t="s">
        <v>199</v>
      </c>
      <c r="G756" s="8">
        <v>0.43797000000000003</v>
      </c>
      <c r="H756" s="29">
        <v>5.3</v>
      </c>
    </row>
    <row r="757" spans="1:8" x14ac:dyDescent="0.3">
      <c r="A757">
        <v>202609</v>
      </c>
      <c r="B757" t="s">
        <v>107</v>
      </c>
      <c r="C757">
        <v>1777520088</v>
      </c>
      <c r="D757" t="s">
        <v>18</v>
      </c>
      <c r="E757" t="s">
        <v>24</v>
      </c>
      <c r="F757" t="s">
        <v>89</v>
      </c>
      <c r="G757" s="8">
        <v>0.6734</v>
      </c>
      <c r="H757" s="29">
        <v>1.1499999999999999</v>
      </c>
    </row>
    <row r="758" spans="1:8" x14ac:dyDescent="0.3">
      <c r="A758">
        <v>202609</v>
      </c>
      <c r="B758" t="s">
        <v>107</v>
      </c>
      <c r="C758">
        <v>1777520282</v>
      </c>
      <c r="D758" t="s">
        <v>18</v>
      </c>
      <c r="E758" t="s">
        <v>24</v>
      </c>
      <c r="F758" t="s">
        <v>64</v>
      </c>
      <c r="G758" s="8">
        <v>0.6734</v>
      </c>
      <c r="H758" s="29">
        <v>1.2</v>
      </c>
    </row>
    <row r="759" spans="1:8" x14ac:dyDescent="0.3">
      <c r="A759">
        <v>202609</v>
      </c>
      <c r="B759" t="s">
        <v>107</v>
      </c>
      <c r="C759">
        <v>1777520673</v>
      </c>
      <c r="D759" t="s">
        <v>18</v>
      </c>
      <c r="E759" t="s">
        <v>24</v>
      </c>
      <c r="F759" t="s">
        <v>64</v>
      </c>
      <c r="G759" s="8">
        <v>0.3367</v>
      </c>
      <c r="H759" s="29">
        <v>1.2</v>
      </c>
    </row>
    <row r="760" spans="1:8" x14ac:dyDescent="0.3">
      <c r="A760">
        <v>202609</v>
      </c>
      <c r="B760" t="s">
        <v>107</v>
      </c>
      <c r="C760">
        <v>1777526060</v>
      </c>
      <c r="D760" t="s">
        <v>18</v>
      </c>
      <c r="E760" t="s">
        <v>24</v>
      </c>
      <c r="F760" t="s">
        <v>227</v>
      </c>
      <c r="G760" s="8">
        <v>1.17283647026</v>
      </c>
      <c r="H760" s="29">
        <v>4.13</v>
      </c>
    </row>
    <row r="761" spans="1:8" x14ac:dyDescent="0.3">
      <c r="A761">
        <v>202609</v>
      </c>
      <c r="B761" t="s">
        <v>107</v>
      </c>
      <c r="C761">
        <v>1777550742</v>
      </c>
      <c r="D761" t="s">
        <v>23</v>
      </c>
      <c r="E761" t="s">
        <v>19</v>
      </c>
      <c r="F761" t="s">
        <v>305</v>
      </c>
      <c r="G761" s="8">
        <v>7</v>
      </c>
      <c r="H761" s="29">
        <v>0.55000000000000004</v>
      </c>
    </row>
    <row r="762" spans="1:8" x14ac:dyDescent="0.3">
      <c r="A762">
        <v>202609</v>
      </c>
      <c r="B762" t="s">
        <v>107</v>
      </c>
      <c r="C762">
        <v>1777551382</v>
      </c>
      <c r="D762" t="s">
        <v>23</v>
      </c>
      <c r="E762" t="s">
        <v>24</v>
      </c>
      <c r="F762" t="s">
        <v>259</v>
      </c>
      <c r="G762" s="8">
        <v>0.33700000000000002</v>
      </c>
      <c r="H762" s="29">
        <v>1.65</v>
      </c>
    </row>
    <row r="763" spans="1:8" x14ac:dyDescent="0.3">
      <c r="A763">
        <v>202609</v>
      </c>
      <c r="B763" t="s">
        <v>107</v>
      </c>
      <c r="C763">
        <v>1777552605</v>
      </c>
      <c r="D763" t="s">
        <v>18</v>
      </c>
      <c r="E763" t="s">
        <v>24</v>
      </c>
      <c r="F763" t="s">
        <v>227</v>
      </c>
      <c r="G763" s="8">
        <v>0.47023713</v>
      </c>
      <c r="H763" s="29">
        <v>4.3</v>
      </c>
    </row>
    <row r="764" spans="1:8" x14ac:dyDescent="0.3">
      <c r="A764">
        <v>202609</v>
      </c>
      <c r="B764" t="s">
        <v>107</v>
      </c>
      <c r="C764">
        <v>1777566657</v>
      </c>
      <c r="D764" t="s">
        <v>18</v>
      </c>
      <c r="E764" t="s">
        <v>24</v>
      </c>
      <c r="F764" t="s">
        <v>222</v>
      </c>
      <c r="G764" s="8">
        <v>0.39315121823999999</v>
      </c>
      <c r="H764" s="29">
        <v>2.4</v>
      </c>
    </row>
    <row r="765" spans="1:8" x14ac:dyDescent="0.3">
      <c r="A765">
        <v>202609</v>
      </c>
      <c r="B765" t="s">
        <v>107</v>
      </c>
      <c r="C765">
        <v>1777576547</v>
      </c>
      <c r="D765" t="s">
        <v>23</v>
      </c>
      <c r="E765" t="s">
        <v>24</v>
      </c>
      <c r="F765" t="s">
        <v>280</v>
      </c>
      <c r="G765" s="8">
        <v>1.34463</v>
      </c>
      <c r="H765" s="29">
        <v>0.5</v>
      </c>
    </row>
    <row r="766" spans="1:8" x14ac:dyDescent="0.3">
      <c r="A766">
        <v>202609</v>
      </c>
      <c r="B766" t="s">
        <v>41</v>
      </c>
      <c r="C766">
        <v>1773383140</v>
      </c>
      <c r="D766" t="s">
        <v>18</v>
      </c>
      <c r="E766" t="s">
        <v>48</v>
      </c>
      <c r="F766" t="s">
        <v>108</v>
      </c>
      <c r="G766" s="8">
        <v>0.11792978999999999</v>
      </c>
      <c r="H766" s="29">
        <v>1.75</v>
      </c>
    </row>
    <row r="767" spans="1:8" x14ac:dyDescent="0.3">
      <c r="A767">
        <v>202609</v>
      </c>
      <c r="B767" t="s">
        <v>41</v>
      </c>
      <c r="C767">
        <v>1773383868</v>
      </c>
      <c r="D767" t="s">
        <v>18</v>
      </c>
      <c r="E767" t="s">
        <v>24</v>
      </c>
      <c r="F767" t="s">
        <v>306</v>
      </c>
      <c r="G767" s="8">
        <v>0.84125000000000005</v>
      </c>
      <c r="H767" s="29">
        <v>1.8</v>
      </c>
    </row>
    <row r="768" spans="1:8" x14ac:dyDescent="0.3">
      <c r="A768">
        <v>202609</v>
      </c>
      <c r="B768" t="s">
        <v>41</v>
      </c>
      <c r="C768">
        <v>1773400738</v>
      </c>
      <c r="D768" t="s">
        <v>23</v>
      </c>
      <c r="E768" t="s">
        <v>19</v>
      </c>
      <c r="F768" t="s">
        <v>211</v>
      </c>
      <c r="G768" s="8">
        <v>0.94</v>
      </c>
      <c r="H768" s="29">
        <v>1.3</v>
      </c>
    </row>
    <row r="769" spans="1:8" x14ac:dyDescent="0.3">
      <c r="A769">
        <v>202609</v>
      </c>
      <c r="B769" t="s">
        <v>41</v>
      </c>
      <c r="C769">
        <v>1773400770</v>
      </c>
      <c r="D769" t="s">
        <v>23</v>
      </c>
      <c r="E769" t="s">
        <v>19</v>
      </c>
      <c r="F769" t="s">
        <v>211</v>
      </c>
      <c r="G769" s="8">
        <v>0.94</v>
      </c>
      <c r="H769" s="29">
        <v>1.3</v>
      </c>
    </row>
    <row r="770" spans="1:8" x14ac:dyDescent="0.3">
      <c r="A770">
        <v>202609</v>
      </c>
      <c r="B770" t="s">
        <v>41</v>
      </c>
      <c r="C770">
        <v>1773411349</v>
      </c>
      <c r="D770" t="s">
        <v>23</v>
      </c>
      <c r="E770" t="s">
        <v>19</v>
      </c>
      <c r="F770" t="s">
        <v>211</v>
      </c>
      <c r="G770" s="8">
        <v>0.93</v>
      </c>
      <c r="H770" s="29">
        <v>1.3</v>
      </c>
    </row>
    <row r="771" spans="1:8" x14ac:dyDescent="0.3">
      <c r="A771">
        <v>202609</v>
      </c>
      <c r="B771" t="s">
        <v>41</v>
      </c>
      <c r="C771">
        <v>1777489849</v>
      </c>
      <c r="D771" t="s">
        <v>23</v>
      </c>
      <c r="E771" t="s">
        <v>19</v>
      </c>
      <c r="F771" t="s">
        <v>126</v>
      </c>
      <c r="G771" s="8">
        <v>1</v>
      </c>
      <c r="H771" s="29">
        <v>0.56000000000000005</v>
      </c>
    </row>
    <row r="772" spans="1:8" x14ac:dyDescent="0.3">
      <c r="A772">
        <v>202609</v>
      </c>
      <c r="B772" t="s">
        <v>41</v>
      </c>
      <c r="C772">
        <v>1777489865</v>
      </c>
      <c r="D772" t="s">
        <v>23</v>
      </c>
      <c r="E772" t="s">
        <v>19</v>
      </c>
      <c r="F772" t="s">
        <v>126</v>
      </c>
      <c r="G772" s="8">
        <v>1</v>
      </c>
      <c r="H772" s="29">
        <v>0.56000000000000005</v>
      </c>
    </row>
    <row r="773" spans="1:8" x14ac:dyDescent="0.3">
      <c r="A773">
        <v>202609</v>
      </c>
      <c r="B773" t="s">
        <v>41</v>
      </c>
      <c r="C773">
        <v>1777489910</v>
      </c>
      <c r="D773" t="s">
        <v>23</v>
      </c>
      <c r="E773" t="s">
        <v>19</v>
      </c>
      <c r="F773" t="s">
        <v>126</v>
      </c>
      <c r="G773" s="8">
        <v>1</v>
      </c>
      <c r="H773" s="29">
        <v>0.56000000000000005</v>
      </c>
    </row>
    <row r="774" spans="1:8" x14ac:dyDescent="0.3">
      <c r="A774">
        <v>202609</v>
      </c>
      <c r="B774" t="s">
        <v>41</v>
      </c>
      <c r="C774">
        <v>1777489938</v>
      </c>
      <c r="D774" t="s">
        <v>23</v>
      </c>
      <c r="E774" t="s">
        <v>19</v>
      </c>
      <c r="F774" t="s">
        <v>126</v>
      </c>
      <c r="G774" s="8">
        <v>1</v>
      </c>
      <c r="H774" s="29">
        <v>0.56000000000000005</v>
      </c>
    </row>
    <row r="775" spans="1:8" x14ac:dyDescent="0.3">
      <c r="A775">
        <v>202609</v>
      </c>
      <c r="B775" t="s">
        <v>41</v>
      </c>
      <c r="C775">
        <v>1777494885</v>
      </c>
      <c r="D775" t="s">
        <v>23</v>
      </c>
      <c r="E775" t="s">
        <v>19</v>
      </c>
      <c r="F775" t="s">
        <v>223</v>
      </c>
      <c r="G775" s="8">
        <v>0.4</v>
      </c>
      <c r="H775" s="29">
        <v>1.25</v>
      </c>
    </row>
    <row r="776" spans="1:8" x14ac:dyDescent="0.3">
      <c r="A776">
        <v>202609</v>
      </c>
      <c r="B776" t="s">
        <v>41</v>
      </c>
      <c r="C776">
        <v>1777501326</v>
      </c>
      <c r="D776" t="s">
        <v>23</v>
      </c>
      <c r="E776" t="s">
        <v>19</v>
      </c>
      <c r="F776" t="s">
        <v>211</v>
      </c>
      <c r="G776" s="8">
        <v>1.1499999999999999</v>
      </c>
      <c r="H776" s="29">
        <v>1.3</v>
      </c>
    </row>
    <row r="777" spans="1:8" x14ac:dyDescent="0.3">
      <c r="A777">
        <v>202609</v>
      </c>
      <c r="B777" t="s">
        <v>41</v>
      </c>
      <c r="C777">
        <v>1777512719</v>
      </c>
      <c r="D777" t="s">
        <v>23</v>
      </c>
      <c r="E777" t="s">
        <v>19</v>
      </c>
      <c r="F777" t="s">
        <v>211</v>
      </c>
      <c r="G777" s="8">
        <v>1.1499999999999999</v>
      </c>
      <c r="H777" s="29">
        <v>1.3</v>
      </c>
    </row>
    <row r="778" spans="1:8" x14ac:dyDescent="0.3">
      <c r="A778">
        <v>202609</v>
      </c>
      <c r="B778" t="s">
        <v>41</v>
      </c>
      <c r="C778">
        <v>1777560853</v>
      </c>
      <c r="D778" t="s">
        <v>23</v>
      </c>
      <c r="E778" t="s">
        <v>19</v>
      </c>
      <c r="F778" t="s">
        <v>211</v>
      </c>
      <c r="G778" s="8">
        <v>1</v>
      </c>
      <c r="H778" s="29">
        <v>1.3</v>
      </c>
    </row>
    <row r="779" spans="1:8" x14ac:dyDescent="0.3">
      <c r="A779">
        <v>202609</v>
      </c>
      <c r="B779" t="s">
        <v>41</v>
      </c>
      <c r="C779">
        <v>1777571499</v>
      </c>
      <c r="D779" t="s">
        <v>23</v>
      </c>
      <c r="E779" t="s">
        <v>19</v>
      </c>
      <c r="F779" t="s">
        <v>211</v>
      </c>
      <c r="G779" s="8">
        <v>0.26700000000000002</v>
      </c>
      <c r="H779" s="29">
        <v>1.3</v>
      </c>
    </row>
    <row r="780" spans="1:8" x14ac:dyDescent="0.3">
      <c r="A780">
        <v>202609</v>
      </c>
      <c r="B780" t="s">
        <v>41</v>
      </c>
      <c r="C780">
        <v>1777634016</v>
      </c>
      <c r="D780" t="s">
        <v>23</v>
      </c>
      <c r="E780" t="s">
        <v>19</v>
      </c>
      <c r="F780" t="s">
        <v>211</v>
      </c>
      <c r="G780" s="8">
        <v>1</v>
      </c>
      <c r="H780" s="29">
        <v>1.25</v>
      </c>
    </row>
    <row r="781" spans="1:8" x14ac:dyDescent="0.3">
      <c r="A781">
        <v>202609</v>
      </c>
      <c r="B781" t="s">
        <v>41</v>
      </c>
      <c r="C781">
        <v>1777689147</v>
      </c>
      <c r="D781" t="s">
        <v>18</v>
      </c>
      <c r="E781" t="s">
        <v>48</v>
      </c>
      <c r="F781" t="s">
        <v>108</v>
      </c>
      <c r="G781" s="8">
        <v>1.2858393600000002</v>
      </c>
      <c r="H781" s="29">
        <v>1.75</v>
      </c>
    </row>
    <row r="782" spans="1:8" x14ac:dyDescent="0.3">
      <c r="A782">
        <v>202609</v>
      </c>
      <c r="B782" t="s">
        <v>41</v>
      </c>
      <c r="C782">
        <v>1777690293</v>
      </c>
      <c r="D782" t="s">
        <v>23</v>
      </c>
      <c r="E782" t="s">
        <v>19</v>
      </c>
      <c r="F782" t="s">
        <v>211</v>
      </c>
      <c r="G782" s="8">
        <v>1.4</v>
      </c>
      <c r="H782" s="29">
        <v>1.25</v>
      </c>
    </row>
    <row r="783" spans="1:8" x14ac:dyDescent="0.3">
      <c r="A783">
        <v>202609</v>
      </c>
      <c r="B783" t="s">
        <v>27</v>
      </c>
      <c r="C783">
        <v>1777484952</v>
      </c>
      <c r="D783" t="s">
        <v>18</v>
      </c>
      <c r="E783" t="s">
        <v>24</v>
      </c>
      <c r="F783" t="s">
        <v>213</v>
      </c>
      <c r="G783" s="8">
        <v>0.62850700000000004</v>
      </c>
      <c r="H783" s="29">
        <v>3.93</v>
      </c>
    </row>
    <row r="784" spans="1:8" x14ac:dyDescent="0.3">
      <c r="A784">
        <v>202609</v>
      </c>
      <c r="B784" t="s">
        <v>27</v>
      </c>
      <c r="C784">
        <v>1777484960</v>
      </c>
      <c r="D784" t="s">
        <v>18</v>
      </c>
      <c r="E784" t="s">
        <v>24</v>
      </c>
      <c r="F784" t="s">
        <v>213</v>
      </c>
      <c r="G784" s="8">
        <v>0.715893</v>
      </c>
      <c r="H784" s="29">
        <v>3.93</v>
      </c>
    </row>
    <row r="785" spans="1:8" x14ac:dyDescent="0.3">
      <c r="A785">
        <v>202609</v>
      </c>
      <c r="B785" t="s">
        <v>27</v>
      </c>
      <c r="C785">
        <v>1777489709</v>
      </c>
      <c r="D785" t="s">
        <v>18</v>
      </c>
      <c r="E785" t="s">
        <v>24</v>
      </c>
      <c r="F785" t="s">
        <v>93</v>
      </c>
      <c r="G785" s="8">
        <v>5.3696000000000002</v>
      </c>
      <c r="H785" s="29">
        <v>0.3</v>
      </c>
    </row>
    <row r="786" spans="1:8" x14ac:dyDescent="0.3">
      <c r="A786">
        <v>202609</v>
      </c>
      <c r="B786" t="s">
        <v>27</v>
      </c>
      <c r="C786">
        <v>1777500079</v>
      </c>
      <c r="D786" t="s">
        <v>23</v>
      </c>
      <c r="E786" t="s">
        <v>19</v>
      </c>
      <c r="F786" t="s">
        <v>128</v>
      </c>
      <c r="G786" s="8">
        <v>10.1</v>
      </c>
      <c r="H786" s="29">
        <v>0.51</v>
      </c>
    </row>
    <row r="787" spans="1:8" x14ac:dyDescent="0.3">
      <c r="A787">
        <v>202609</v>
      </c>
      <c r="B787" t="s">
        <v>27</v>
      </c>
      <c r="C787">
        <v>1777555213</v>
      </c>
      <c r="D787" t="s">
        <v>18</v>
      </c>
      <c r="E787" t="s">
        <v>48</v>
      </c>
      <c r="F787" t="s">
        <v>84</v>
      </c>
      <c r="G787" s="8">
        <v>1.3329359999999999</v>
      </c>
      <c r="H787" s="29">
        <v>0.9</v>
      </c>
    </row>
    <row r="788" spans="1:8" x14ac:dyDescent="0.3">
      <c r="A788">
        <v>202609</v>
      </c>
      <c r="B788" t="s">
        <v>27</v>
      </c>
      <c r="C788">
        <v>1777561159</v>
      </c>
      <c r="D788" t="s">
        <v>23</v>
      </c>
      <c r="E788" t="s">
        <v>19</v>
      </c>
      <c r="F788" t="s">
        <v>83</v>
      </c>
      <c r="G788" s="8">
        <v>1.5</v>
      </c>
      <c r="H788" s="29">
        <v>4.25</v>
      </c>
    </row>
    <row r="789" spans="1:8" x14ac:dyDescent="0.3">
      <c r="A789">
        <v>202609</v>
      </c>
      <c r="B789" t="s">
        <v>27</v>
      </c>
      <c r="C789">
        <v>1777622050</v>
      </c>
      <c r="D789" t="s">
        <v>23</v>
      </c>
      <c r="E789" t="s">
        <v>19</v>
      </c>
      <c r="F789" t="s">
        <v>235</v>
      </c>
      <c r="G789" s="8">
        <v>2</v>
      </c>
      <c r="H789" s="29">
        <v>0.65</v>
      </c>
    </row>
    <row r="790" spans="1:8" x14ac:dyDescent="0.3">
      <c r="A790">
        <v>202609</v>
      </c>
      <c r="B790" t="s">
        <v>27</v>
      </c>
      <c r="C790">
        <v>1777642302</v>
      </c>
      <c r="D790" t="s">
        <v>23</v>
      </c>
      <c r="E790" t="s">
        <v>19</v>
      </c>
      <c r="F790" t="s">
        <v>323</v>
      </c>
      <c r="G790" s="8">
        <v>17</v>
      </c>
      <c r="H790" s="29">
        <v>0.35</v>
      </c>
    </row>
    <row r="791" spans="1:8" x14ac:dyDescent="0.3">
      <c r="A791">
        <v>202609</v>
      </c>
      <c r="B791" t="s">
        <v>27</v>
      </c>
      <c r="C791">
        <v>1777648882</v>
      </c>
      <c r="D791" t="s">
        <v>23</v>
      </c>
      <c r="E791" t="s">
        <v>19</v>
      </c>
      <c r="F791" t="s">
        <v>323</v>
      </c>
      <c r="G791" s="8">
        <v>27.2</v>
      </c>
      <c r="H791" s="29">
        <v>0.25</v>
      </c>
    </row>
    <row r="792" spans="1:8" x14ac:dyDescent="0.3">
      <c r="A792">
        <v>202609</v>
      </c>
      <c r="B792" t="s">
        <v>27</v>
      </c>
      <c r="C792">
        <v>1777675138</v>
      </c>
      <c r="D792" t="s">
        <v>23</v>
      </c>
      <c r="E792" t="s">
        <v>19</v>
      </c>
      <c r="F792" t="s">
        <v>83</v>
      </c>
      <c r="G792" s="8">
        <v>2</v>
      </c>
      <c r="H792" s="29">
        <v>4.45</v>
      </c>
    </row>
    <row r="793" spans="1:8" x14ac:dyDescent="0.3">
      <c r="A793">
        <v>202609</v>
      </c>
      <c r="B793" t="s">
        <v>27</v>
      </c>
      <c r="C793">
        <v>1777695562</v>
      </c>
      <c r="D793" t="s">
        <v>18</v>
      </c>
      <c r="E793" t="s">
        <v>48</v>
      </c>
      <c r="F793" t="s">
        <v>84</v>
      </c>
      <c r="G793" s="8">
        <v>1.4418599999999999</v>
      </c>
      <c r="H793" s="29">
        <v>0.9</v>
      </c>
    </row>
    <row r="794" spans="1:8" x14ac:dyDescent="0.3">
      <c r="A794">
        <v>202609</v>
      </c>
      <c r="B794" t="s">
        <v>114</v>
      </c>
      <c r="C794">
        <v>1777569052</v>
      </c>
      <c r="D794" t="s">
        <v>23</v>
      </c>
      <c r="E794" t="s">
        <v>19</v>
      </c>
      <c r="F794" t="s">
        <v>319</v>
      </c>
      <c r="G794" s="8">
        <v>0.16800000000000001</v>
      </c>
      <c r="H794" s="29">
        <v>3.9</v>
      </c>
    </row>
    <row r="795" spans="1:8" x14ac:dyDescent="0.3">
      <c r="A795">
        <v>202609</v>
      </c>
      <c r="B795" t="s">
        <v>114</v>
      </c>
      <c r="C795">
        <v>1777597927</v>
      </c>
      <c r="D795" t="s">
        <v>23</v>
      </c>
      <c r="E795" t="s">
        <v>34</v>
      </c>
      <c r="F795" t="s">
        <v>70</v>
      </c>
      <c r="G795" s="8">
        <v>9.4251000000000001E-2</v>
      </c>
      <c r="H795" s="29">
        <v>10.1</v>
      </c>
    </row>
    <row r="796" spans="1:8" x14ac:dyDescent="0.3">
      <c r="A796">
        <v>202609</v>
      </c>
      <c r="B796" t="s">
        <v>114</v>
      </c>
      <c r="C796">
        <v>1777599083</v>
      </c>
      <c r="D796" t="s">
        <v>23</v>
      </c>
      <c r="E796" t="s">
        <v>34</v>
      </c>
      <c r="F796" t="s">
        <v>187</v>
      </c>
      <c r="G796" s="8">
        <v>5.0005309999999997E-2</v>
      </c>
      <c r="H796" s="29">
        <v>5.65</v>
      </c>
    </row>
    <row r="797" spans="1:8" x14ac:dyDescent="0.3">
      <c r="A797">
        <v>202609</v>
      </c>
      <c r="B797" t="s">
        <v>114</v>
      </c>
      <c r="C797">
        <v>1777624436</v>
      </c>
      <c r="D797" t="s">
        <v>23</v>
      </c>
      <c r="E797" t="s">
        <v>34</v>
      </c>
      <c r="F797" t="s">
        <v>187</v>
      </c>
      <c r="G797" s="8">
        <v>0.30294536999999999</v>
      </c>
      <c r="H797" s="29">
        <v>5.7</v>
      </c>
    </row>
    <row r="798" spans="1:8" x14ac:dyDescent="0.3">
      <c r="A798">
        <v>202609</v>
      </c>
      <c r="B798" t="s">
        <v>114</v>
      </c>
      <c r="C798">
        <v>1777645468</v>
      </c>
      <c r="D798" t="s">
        <v>23</v>
      </c>
      <c r="E798" t="s">
        <v>34</v>
      </c>
      <c r="F798" t="s">
        <v>187</v>
      </c>
      <c r="G798" s="8">
        <v>9.9990969999999998E-2</v>
      </c>
      <c r="H798" s="29">
        <v>5.85</v>
      </c>
    </row>
    <row r="799" spans="1:8" x14ac:dyDescent="0.3">
      <c r="A799">
        <v>202609</v>
      </c>
      <c r="B799" t="s">
        <v>114</v>
      </c>
      <c r="C799">
        <v>1777690307</v>
      </c>
      <c r="D799" t="s">
        <v>18</v>
      </c>
      <c r="E799" t="s">
        <v>24</v>
      </c>
      <c r="F799" t="s">
        <v>328</v>
      </c>
      <c r="G799" s="8">
        <v>1.7224999999999999</v>
      </c>
      <c r="H799" s="29">
        <v>2</v>
      </c>
    </row>
    <row r="800" spans="1:8" x14ac:dyDescent="0.3">
      <c r="A800">
        <v>202609</v>
      </c>
      <c r="B800" t="s">
        <v>114</v>
      </c>
      <c r="C800">
        <v>1777707722</v>
      </c>
      <c r="D800" t="s">
        <v>23</v>
      </c>
      <c r="E800" t="s">
        <v>24</v>
      </c>
      <c r="F800" t="s">
        <v>329</v>
      </c>
      <c r="G800" s="8">
        <v>0.51</v>
      </c>
      <c r="H800" s="29">
        <v>3.35</v>
      </c>
    </row>
    <row r="801" spans="1:8" x14ac:dyDescent="0.3">
      <c r="A801">
        <v>202609</v>
      </c>
      <c r="B801" t="s">
        <v>114</v>
      </c>
      <c r="C801">
        <v>1777716659</v>
      </c>
      <c r="D801" t="s">
        <v>18</v>
      </c>
      <c r="E801" t="s">
        <v>24</v>
      </c>
      <c r="F801" t="s">
        <v>330</v>
      </c>
      <c r="G801" s="8">
        <v>0.85824999999999996</v>
      </c>
      <c r="H801" s="29">
        <v>2.1</v>
      </c>
    </row>
    <row r="802" spans="1:8" x14ac:dyDescent="0.3">
      <c r="A802">
        <v>202609</v>
      </c>
      <c r="B802" t="s">
        <v>56</v>
      </c>
      <c r="C802">
        <v>1773386697</v>
      </c>
      <c r="D802" t="s">
        <v>18</v>
      </c>
      <c r="E802" t="s">
        <v>24</v>
      </c>
      <c r="F802" t="s">
        <v>154</v>
      </c>
      <c r="G802" s="8">
        <v>5.9798700273999996</v>
      </c>
      <c r="H802" s="29">
        <v>0.2</v>
      </c>
    </row>
    <row r="803" spans="1:8" x14ac:dyDescent="0.3">
      <c r="A803">
        <v>202609</v>
      </c>
      <c r="B803" t="s">
        <v>56</v>
      </c>
      <c r="C803">
        <v>1773391704</v>
      </c>
      <c r="D803" t="s">
        <v>18</v>
      </c>
      <c r="E803" t="s">
        <v>24</v>
      </c>
      <c r="F803" t="s">
        <v>200</v>
      </c>
      <c r="G803" s="8">
        <v>3.0351593349999999</v>
      </c>
      <c r="H803" s="29">
        <v>0.35</v>
      </c>
    </row>
    <row r="804" spans="1:8" x14ac:dyDescent="0.3">
      <c r="A804">
        <v>202609</v>
      </c>
      <c r="B804" t="s">
        <v>56</v>
      </c>
      <c r="C804">
        <v>1773391739</v>
      </c>
      <c r="D804" t="s">
        <v>18</v>
      </c>
      <c r="E804" t="s">
        <v>24</v>
      </c>
      <c r="F804" t="s">
        <v>200</v>
      </c>
      <c r="G804" s="8">
        <v>5.9070152199999999</v>
      </c>
      <c r="H804" s="29">
        <v>0.35</v>
      </c>
    </row>
    <row r="805" spans="1:8" x14ac:dyDescent="0.3">
      <c r="A805">
        <v>202609</v>
      </c>
      <c r="B805" t="s">
        <v>56</v>
      </c>
      <c r="C805">
        <v>1773392018</v>
      </c>
      <c r="D805" t="s">
        <v>18</v>
      </c>
      <c r="E805" t="s">
        <v>24</v>
      </c>
      <c r="F805" t="s">
        <v>104</v>
      </c>
      <c r="G805" s="8">
        <v>5.8977234455000005</v>
      </c>
      <c r="H805" s="29">
        <v>0.4</v>
      </c>
    </row>
    <row r="806" spans="1:8" x14ac:dyDescent="0.3">
      <c r="A806">
        <v>202609</v>
      </c>
      <c r="B806" t="s">
        <v>56</v>
      </c>
      <c r="C806">
        <v>1777490847</v>
      </c>
      <c r="D806" t="s">
        <v>18</v>
      </c>
      <c r="E806" t="s">
        <v>24</v>
      </c>
      <c r="F806" t="s">
        <v>104</v>
      </c>
      <c r="G806" s="8">
        <v>4.0406240000000002</v>
      </c>
      <c r="H806" s="29">
        <v>0.4</v>
      </c>
    </row>
    <row r="807" spans="1:8" x14ac:dyDescent="0.3">
      <c r="A807">
        <v>202609</v>
      </c>
      <c r="B807" t="s">
        <v>56</v>
      </c>
      <c r="C807">
        <v>1777505453</v>
      </c>
      <c r="D807" t="s">
        <v>18</v>
      </c>
      <c r="E807" t="s">
        <v>24</v>
      </c>
      <c r="F807" t="s">
        <v>154</v>
      </c>
      <c r="G807" s="8">
        <v>2.5313146882500002</v>
      </c>
      <c r="H807" s="29">
        <v>0.4</v>
      </c>
    </row>
    <row r="808" spans="1:8" x14ac:dyDescent="0.3">
      <c r="A808">
        <v>202609</v>
      </c>
      <c r="B808" t="s">
        <v>56</v>
      </c>
      <c r="C808">
        <v>1777558026</v>
      </c>
      <c r="D808" t="s">
        <v>18</v>
      </c>
      <c r="E808" t="s">
        <v>24</v>
      </c>
      <c r="F808" t="s">
        <v>104</v>
      </c>
      <c r="G808" s="8">
        <v>7.0686</v>
      </c>
      <c r="H808" s="29">
        <v>0.5</v>
      </c>
    </row>
    <row r="809" spans="1:8" x14ac:dyDescent="0.3">
      <c r="A809">
        <v>202609</v>
      </c>
      <c r="B809" t="s">
        <v>56</v>
      </c>
      <c r="C809">
        <v>1777566932</v>
      </c>
      <c r="D809" t="s">
        <v>23</v>
      </c>
      <c r="E809" t="s">
        <v>24</v>
      </c>
      <c r="F809" t="s">
        <v>320</v>
      </c>
      <c r="G809" s="8">
        <v>10</v>
      </c>
      <c r="H809" s="29">
        <v>0.5</v>
      </c>
    </row>
    <row r="810" spans="1:8" x14ac:dyDescent="0.3">
      <c r="A810">
        <v>202609</v>
      </c>
      <c r="B810" t="s">
        <v>56</v>
      </c>
      <c r="C810">
        <v>1777650186</v>
      </c>
      <c r="D810" t="s">
        <v>18</v>
      </c>
      <c r="E810" t="s">
        <v>19</v>
      </c>
      <c r="F810" t="s">
        <v>156</v>
      </c>
      <c r="G810" s="8">
        <v>3.4209999999999998</v>
      </c>
      <c r="H810" s="29">
        <v>1.8</v>
      </c>
    </row>
    <row r="811" spans="1:8" x14ac:dyDescent="0.3">
      <c r="A811">
        <v>202609</v>
      </c>
      <c r="B811" t="s">
        <v>56</v>
      </c>
      <c r="C811">
        <v>1777674875</v>
      </c>
      <c r="D811" t="s">
        <v>18</v>
      </c>
      <c r="E811" t="s">
        <v>24</v>
      </c>
      <c r="F811" t="s">
        <v>200</v>
      </c>
      <c r="G811" s="8">
        <v>3.7197964199999998</v>
      </c>
      <c r="H811" s="29">
        <v>0.45</v>
      </c>
    </row>
    <row r="812" spans="1:8" x14ac:dyDescent="0.3">
      <c r="A812">
        <v>202609</v>
      </c>
      <c r="B812" t="s">
        <v>115</v>
      </c>
      <c r="C812">
        <v>1773386440</v>
      </c>
      <c r="D812" t="s">
        <v>18</v>
      </c>
      <c r="E812" t="s">
        <v>48</v>
      </c>
      <c r="F812" t="s">
        <v>61</v>
      </c>
      <c r="G812" s="8">
        <v>2.50114393</v>
      </c>
      <c r="H812" s="29">
        <v>1</v>
      </c>
    </row>
    <row r="813" spans="1:8" x14ac:dyDescent="0.3">
      <c r="A813">
        <v>202609</v>
      </c>
      <c r="B813" t="s">
        <v>115</v>
      </c>
      <c r="C813">
        <v>1777495814</v>
      </c>
      <c r="D813" t="s">
        <v>23</v>
      </c>
      <c r="E813" t="s">
        <v>34</v>
      </c>
      <c r="F813" t="s">
        <v>59</v>
      </c>
      <c r="G813" s="8">
        <v>0.21680569</v>
      </c>
      <c r="H813" s="29">
        <v>1.56</v>
      </c>
    </row>
    <row r="814" spans="1:8" x14ac:dyDescent="0.3">
      <c r="A814">
        <v>202609</v>
      </c>
      <c r="B814" t="s">
        <v>115</v>
      </c>
      <c r="C814">
        <v>1777505402</v>
      </c>
      <c r="D814" t="s">
        <v>18</v>
      </c>
      <c r="E814" t="s">
        <v>24</v>
      </c>
      <c r="F814" t="s">
        <v>218</v>
      </c>
      <c r="G814" s="8">
        <v>0.67179999999999995</v>
      </c>
      <c r="H814" s="29">
        <v>0.45</v>
      </c>
    </row>
    <row r="815" spans="1:8" x14ac:dyDescent="0.3">
      <c r="A815">
        <v>202609</v>
      </c>
      <c r="B815" t="s">
        <v>115</v>
      </c>
      <c r="C815">
        <v>1777508990</v>
      </c>
      <c r="D815" t="s">
        <v>23</v>
      </c>
      <c r="E815" t="s">
        <v>34</v>
      </c>
      <c r="F815" t="s">
        <v>59</v>
      </c>
      <c r="G815" s="8">
        <v>0.21680569</v>
      </c>
      <c r="H815" s="29">
        <v>1.9</v>
      </c>
    </row>
    <row r="816" spans="1:8" x14ac:dyDescent="0.3">
      <c r="A816">
        <v>202609</v>
      </c>
      <c r="B816" t="s">
        <v>115</v>
      </c>
      <c r="C816">
        <v>1777536080</v>
      </c>
      <c r="D816" t="s">
        <v>18</v>
      </c>
      <c r="E816" t="s">
        <v>48</v>
      </c>
      <c r="F816" t="s">
        <v>307</v>
      </c>
      <c r="G816" s="8">
        <v>2.617175</v>
      </c>
      <c r="H816" s="29">
        <v>2</v>
      </c>
    </row>
    <row r="817" spans="1:8" x14ac:dyDescent="0.3">
      <c r="A817">
        <v>202609</v>
      </c>
      <c r="B817" t="s">
        <v>115</v>
      </c>
      <c r="C817">
        <v>1777549680</v>
      </c>
      <c r="D817" t="s">
        <v>18</v>
      </c>
      <c r="E817" t="s">
        <v>24</v>
      </c>
      <c r="F817" t="s">
        <v>218</v>
      </c>
      <c r="G817" s="8">
        <v>0.84375</v>
      </c>
      <c r="H817" s="29">
        <v>0.45</v>
      </c>
    </row>
    <row r="818" spans="1:8" x14ac:dyDescent="0.3">
      <c r="A818">
        <v>202609</v>
      </c>
      <c r="B818" t="s">
        <v>115</v>
      </c>
      <c r="C818">
        <v>1777552907</v>
      </c>
      <c r="D818" t="s">
        <v>18</v>
      </c>
      <c r="E818" t="s">
        <v>24</v>
      </c>
      <c r="F818" t="s">
        <v>157</v>
      </c>
      <c r="G818" s="8">
        <v>2.3624999999999998</v>
      </c>
      <c r="H818" s="29">
        <v>0.35</v>
      </c>
    </row>
    <row r="819" spans="1:8" x14ac:dyDescent="0.3">
      <c r="A819">
        <v>202609</v>
      </c>
      <c r="B819" t="s">
        <v>115</v>
      </c>
      <c r="C819">
        <v>1777562414</v>
      </c>
      <c r="D819" t="s">
        <v>18</v>
      </c>
      <c r="E819" t="s">
        <v>24</v>
      </c>
      <c r="F819" t="s">
        <v>229</v>
      </c>
      <c r="G819" s="8">
        <v>0.53856000000000004</v>
      </c>
      <c r="H819" s="29">
        <v>2.36</v>
      </c>
    </row>
    <row r="820" spans="1:8" x14ac:dyDescent="0.3">
      <c r="A820">
        <v>202609</v>
      </c>
      <c r="B820" t="s">
        <v>115</v>
      </c>
      <c r="C820">
        <v>1777588812</v>
      </c>
      <c r="D820" t="s">
        <v>18</v>
      </c>
      <c r="E820" t="s">
        <v>19</v>
      </c>
      <c r="F820" t="s">
        <v>61</v>
      </c>
      <c r="G820" s="8">
        <v>1.6779999999999999</v>
      </c>
      <c r="H820" s="29">
        <v>0.65</v>
      </c>
    </row>
    <row r="821" spans="1:8" x14ac:dyDescent="0.3">
      <c r="A821">
        <v>202609</v>
      </c>
      <c r="B821" t="s">
        <v>115</v>
      </c>
      <c r="C821">
        <v>1777591635</v>
      </c>
      <c r="D821" t="s">
        <v>18</v>
      </c>
      <c r="E821" t="s">
        <v>24</v>
      </c>
      <c r="F821" t="s">
        <v>218</v>
      </c>
      <c r="G821" s="8">
        <v>0.83899999999999997</v>
      </c>
      <c r="H821" s="29">
        <v>0.45</v>
      </c>
    </row>
    <row r="822" spans="1:8" x14ac:dyDescent="0.3">
      <c r="A822">
        <v>202609</v>
      </c>
      <c r="B822" t="s">
        <v>115</v>
      </c>
      <c r="C822">
        <v>1777599202</v>
      </c>
      <c r="D822" t="s">
        <v>18</v>
      </c>
      <c r="E822" t="s">
        <v>19</v>
      </c>
      <c r="F822" t="s">
        <v>253</v>
      </c>
      <c r="G822" s="8">
        <v>1.6779999999999999</v>
      </c>
      <c r="H822" s="29">
        <v>1.2</v>
      </c>
    </row>
    <row r="823" spans="1:8" x14ac:dyDescent="0.3">
      <c r="A823">
        <v>202609</v>
      </c>
      <c r="B823" t="s">
        <v>115</v>
      </c>
      <c r="C823">
        <v>1777605229</v>
      </c>
      <c r="D823" t="s">
        <v>18</v>
      </c>
      <c r="E823" t="s">
        <v>24</v>
      </c>
      <c r="F823" t="s">
        <v>253</v>
      </c>
      <c r="G823" s="8">
        <v>0.83975</v>
      </c>
      <c r="H823" s="29">
        <v>1.2</v>
      </c>
    </row>
    <row r="824" spans="1:8" x14ac:dyDescent="0.3">
      <c r="A824">
        <v>202609</v>
      </c>
      <c r="B824" t="s">
        <v>115</v>
      </c>
      <c r="C824">
        <v>1777622476</v>
      </c>
      <c r="D824" t="s">
        <v>18</v>
      </c>
      <c r="E824" t="s">
        <v>19</v>
      </c>
      <c r="F824" t="s">
        <v>321</v>
      </c>
      <c r="G824" s="8">
        <v>3.359</v>
      </c>
      <c r="H824" s="29">
        <v>1.05</v>
      </c>
    </row>
    <row r="825" spans="1:8" x14ac:dyDescent="0.3">
      <c r="A825">
        <v>202609</v>
      </c>
      <c r="B825" t="s">
        <v>115</v>
      </c>
      <c r="C825">
        <v>1777626153</v>
      </c>
      <c r="D825" t="s">
        <v>18</v>
      </c>
      <c r="E825" t="s">
        <v>24</v>
      </c>
      <c r="F825" t="s">
        <v>229</v>
      </c>
      <c r="G825" s="8">
        <v>0.61805600000000005</v>
      </c>
      <c r="H825" s="29">
        <v>2.46</v>
      </c>
    </row>
    <row r="826" spans="1:8" x14ac:dyDescent="0.3">
      <c r="A826">
        <v>202609</v>
      </c>
      <c r="B826" t="s">
        <v>115</v>
      </c>
      <c r="C826">
        <v>1777650046</v>
      </c>
      <c r="D826" t="s">
        <v>18</v>
      </c>
      <c r="E826" t="s">
        <v>24</v>
      </c>
      <c r="F826" t="s">
        <v>218</v>
      </c>
      <c r="G826" s="8">
        <v>0.34210000000000002</v>
      </c>
      <c r="H826" s="29">
        <v>0.2</v>
      </c>
    </row>
    <row r="827" spans="1:8" x14ac:dyDescent="0.3">
      <c r="A827">
        <v>202609</v>
      </c>
      <c r="B827" t="s">
        <v>115</v>
      </c>
      <c r="C827">
        <v>1777650127</v>
      </c>
      <c r="D827" t="s">
        <v>18</v>
      </c>
      <c r="E827" t="s">
        <v>24</v>
      </c>
      <c r="F827" t="s">
        <v>218</v>
      </c>
      <c r="G827" s="8">
        <v>0.85524999999999995</v>
      </c>
      <c r="H827" s="29">
        <v>0.2</v>
      </c>
    </row>
    <row r="828" spans="1:8" x14ac:dyDescent="0.3">
      <c r="A828">
        <v>202609</v>
      </c>
      <c r="B828" t="s">
        <v>115</v>
      </c>
      <c r="C828">
        <v>1777673666</v>
      </c>
      <c r="D828" t="s">
        <v>18</v>
      </c>
      <c r="E828" t="s">
        <v>24</v>
      </c>
      <c r="F828" t="s">
        <v>218</v>
      </c>
      <c r="G828" s="8">
        <v>0.85899999999999999</v>
      </c>
      <c r="H828" s="29">
        <v>0.2</v>
      </c>
    </row>
    <row r="829" spans="1:8" x14ac:dyDescent="0.3">
      <c r="A829">
        <v>202609</v>
      </c>
      <c r="B829" t="s">
        <v>115</v>
      </c>
      <c r="C829">
        <v>1777685176</v>
      </c>
      <c r="D829" t="s">
        <v>18</v>
      </c>
      <c r="E829" t="s">
        <v>24</v>
      </c>
      <c r="F829" t="s">
        <v>229</v>
      </c>
      <c r="G829" s="8">
        <v>0.82679999999999998</v>
      </c>
      <c r="H829" s="29">
        <v>2.46</v>
      </c>
    </row>
    <row r="830" spans="1:8" x14ac:dyDescent="0.3">
      <c r="A830">
        <v>202609</v>
      </c>
      <c r="B830" t="s">
        <v>115</v>
      </c>
      <c r="C830">
        <v>1777703603</v>
      </c>
      <c r="D830" t="s">
        <v>18</v>
      </c>
      <c r="E830" t="s">
        <v>24</v>
      </c>
      <c r="F830" t="s">
        <v>218</v>
      </c>
      <c r="G830" s="8">
        <v>1.0299</v>
      </c>
      <c r="H830" s="29">
        <v>0.2</v>
      </c>
    </row>
    <row r="831" spans="1:8" x14ac:dyDescent="0.3">
      <c r="A831">
        <v>202609</v>
      </c>
      <c r="B831" t="s">
        <v>115</v>
      </c>
      <c r="C831">
        <v>1777703786</v>
      </c>
      <c r="D831" t="s">
        <v>23</v>
      </c>
      <c r="E831" t="s">
        <v>24</v>
      </c>
      <c r="F831" t="s">
        <v>60</v>
      </c>
      <c r="G831" s="8">
        <v>0.42399999999999999</v>
      </c>
      <c r="H831" s="29">
        <v>2.35</v>
      </c>
    </row>
    <row r="832" spans="1:8" x14ac:dyDescent="0.3">
      <c r="A832">
        <v>202609</v>
      </c>
      <c r="B832" t="s">
        <v>40</v>
      </c>
      <c r="C832">
        <v>1777515653</v>
      </c>
      <c r="D832" t="s">
        <v>18</v>
      </c>
      <c r="E832" t="s">
        <v>24</v>
      </c>
      <c r="F832" t="s">
        <v>308</v>
      </c>
      <c r="G832" s="8">
        <v>1.6845000000000001</v>
      </c>
      <c r="H832" s="29">
        <v>0.5</v>
      </c>
    </row>
    <row r="833" spans="1:8" x14ac:dyDescent="0.3">
      <c r="A833">
        <v>202609</v>
      </c>
      <c r="B833" t="s">
        <v>40</v>
      </c>
      <c r="C833">
        <v>1777542847</v>
      </c>
      <c r="D833" t="s">
        <v>18</v>
      </c>
      <c r="E833" t="s">
        <v>34</v>
      </c>
      <c r="F833" t="s">
        <v>53</v>
      </c>
      <c r="G833" s="8">
        <v>5.6433368828099999</v>
      </c>
      <c r="H833" s="29">
        <v>2.95</v>
      </c>
    </row>
    <row r="834" spans="1:8" x14ac:dyDescent="0.3">
      <c r="A834">
        <v>202609</v>
      </c>
      <c r="B834" t="s">
        <v>40</v>
      </c>
      <c r="C834">
        <v>1777556058</v>
      </c>
      <c r="D834" t="s">
        <v>23</v>
      </c>
      <c r="E834" t="s">
        <v>34</v>
      </c>
      <c r="F834" t="s">
        <v>309</v>
      </c>
      <c r="G834" s="8">
        <v>0.11679125</v>
      </c>
      <c r="H834" s="29">
        <v>2.2799999999999998</v>
      </c>
    </row>
    <row r="835" spans="1:8" x14ac:dyDescent="0.3">
      <c r="A835">
        <v>202609</v>
      </c>
      <c r="B835" t="s">
        <v>40</v>
      </c>
      <c r="C835">
        <v>1777561582</v>
      </c>
      <c r="D835" t="s">
        <v>23</v>
      </c>
      <c r="E835" t="s">
        <v>19</v>
      </c>
      <c r="F835" t="s">
        <v>310</v>
      </c>
      <c r="G835" s="8">
        <v>1.6</v>
      </c>
      <c r="H835" s="29">
        <v>3</v>
      </c>
    </row>
    <row r="836" spans="1:8" x14ac:dyDescent="0.3">
      <c r="A836">
        <v>202609</v>
      </c>
      <c r="B836" t="s">
        <v>40</v>
      </c>
      <c r="C836">
        <v>1777566916</v>
      </c>
      <c r="D836" t="s">
        <v>18</v>
      </c>
      <c r="E836" t="s">
        <v>19</v>
      </c>
      <c r="F836" t="s">
        <v>263</v>
      </c>
      <c r="G836" s="8">
        <v>0.84099999999999997</v>
      </c>
      <c r="H836" s="29">
        <v>0.5</v>
      </c>
    </row>
    <row r="837" spans="1:8" x14ac:dyDescent="0.3">
      <c r="A837">
        <v>202609</v>
      </c>
      <c r="B837" t="s">
        <v>40</v>
      </c>
      <c r="C837">
        <v>1777698730</v>
      </c>
      <c r="D837" t="s">
        <v>18</v>
      </c>
      <c r="E837" t="s">
        <v>34</v>
      </c>
      <c r="F837" t="s">
        <v>53</v>
      </c>
      <c r="G837" s="8">
        <v>3.5706007850700003</v>
      </c>
      <c r="H837" s="29">
        <v>2.95</v>
      </c>
    </row>
    <row r="838" spans="1:8" x14ac:dyDescent="0.3">
      <c r="A838">
        <v>202609</v>
      </c>
      <c r="B838" t="s">
        <v>40</v>
      </c>
      <c r="C838">
        <v>1777701538</v>
      </c>
      <c r="D838" t="s">
        <v>18</v>
      </c>
      <c r="E838" t="s">
        <v>34</v>
      </c>
      <c r="F838" t="s">
        <v>53</v>
      </c>
      <c r="G838" s="8">
        <v>6.0976741049900012</v>
      </c>
      <c r="H838" s="29">
        <v>2.95</v>
      </c>
    </row>
    <row r="839" spans="1:8" x14ac:dyDescent="0.3">
      <c r="A839">
        <v>202609</v>
      </c>
      <c r="B839" t="s">
        <v>116</v>
      </c>
      <c r="C839">
        <v>1773382284</v>
      </c>
      <c r="D839" t="s">
        <v>18</v>
      </c>
      <c r="E839" t="s">
        <v>24</v>
      </c>
      <c r="F839" t="s">
        <v>311</v>
      </c>
      <c r="G839" s="8">
        <v>0.33650000000000002</v>
      </c>
      <c r="H839" s="29">
        <v>4</v>
      </c>
    </row>
    <row r="840" spans="1:8" x14ac:dyDescent="0.3">
      <c r="A840">
        <v>202609</v>
      </c>
      <c r="B840" t="s">
        <v>116</v>
      </c>
      <c r="C840">
        <v>1777543452</v>
      </c>
      <c r="D840" t="s">
        <v>18</v>
      </c>
      <c r="E840" t="s">
        <v>24</v>
      </c>
      <c r="F840" t="s">
        <v>254</v>
      </c>
      <c r="G840" s="8">
        <v>0.3377</v>
      </c>
      <c r="H840" s="29">
        <v>0.95</v>
      </c>
    </row>
    <row r="841" spans="1:8" x14ac:dyDescent="0.3">
      <c r="A841">
        <v>202609</v>
      </c>
      <c r="B841" t="s">
        <v>116</v>
      </c>
      <c r="C841">
        <v>1777552850</v>
      </c>
      <c r="D841" t="s">
        <v>18</v>
      </c>
      <c r="E841" t="s">
        <v>19</v>
      </c>
      <c r="F841" t="s">
        <v>270</v>
      </c>
      <c r="G841" s="8">
        <v>3.375</v>
      </c>
      <c r="H841" s="29">
        <v>0.5</v>
      </c>
    </row>
    <row r="842" spans="1:8" x14ac:dyDescent="0.3">
      <c r="A842">
        <v>202609</v>
      </c>
      <c r="B842" t="s">
        <v>116</v>
      </c>
      <c r="C842">
        <v>1777552966</v>
      </c>
      <c r="D842" t="s">
        <v>18</v>
      </c>
      <c r="E842" t="s">
        <v>24</v>
      </c>
      <c r="F842" t="s">
        <v>312</v>
      </c>
      <c r="G842" s="8">
        <v>0.84375</v>
      </c>
      <c r="H842" s="29">
        <v>2.52</v>
      </c>
    </row>
    <row r="843" spans="1:8" x14ac:dyDescent="0.3">
      <c r="A843">
        <v>202609</v>
      </c>
      <c r="B843" t="s">
        <v>116</v>
      </c>
      <c r="C843">
        <v>1777553090</v>
      </c>
      <c r="D843" t="s">
        <v>18</v>
      </c>
      <c r="E843" t="s">
        <v>24</v>
      </c>
      <c r="F843" t="s">
        <v>312</v>
      </c>
      <c r="G843" s="8">
        <v>0.84375</v>
      </c>
      <c r="H843" s="29">
        <v>2.52</v>
      </c>
    </row>
    <row r="844" spans="1:8" x14ac:dyDescent="0.3">
      <c r="A844">
        <v>202609</v>
      </c>
      <c r="B844" t="s">
        <v>116</v>
      </c>
      <c r="C844">
        <v>1777553105</v>
      </c>
      <c r="D844" t="s">
        <v>18</v>
      </c>
      <c r="E844" t="s">
        <v>24</v>
      </c>
      <c r="F844" t="s">
        <v>312</v>
      </c>
      <c r="G844" s="8">
        <v>0.84375</v>
      </c>
      <c r="H844" s="29">
        <v>2.52</v>
      </c>
    </row>
    <row r="845" spans="1:8" x14ac:dyDescent="0.3">
      <c r="A845">
        <v>202609</v>
      </c>
      <c r="B845" t="s">
        <v>116</v>
      </c>
      <c r="C845">
        <v>1777553120</v>
      </c>
      <c r="D845" t="s">
        <v>18</v>
      </c>
      <c r="E845" t="s">
        <v>24</v>
      </c>
      <c r="F845" t="s">
        <v>312</v>
      </c>
      <c r="G845" s="8">
        <v>0.84375</v>
      </c>
      <c r="H845" s="29">
        <v>2.52</v>
      </c>
    </row>
    <row r="846" spans="1:8" x14ac:dyDescent="0.3">
      <c r="A846">
        <v>202609</v>
      </c>
      <c r="B846" t="s">
        <v>116</v>
      </c>
      <c r="C846">
        <v>1777571510</v>
      </c>
      <c r="D846" t="s">
        <v>18</v>
      </c>
      <c r="E846" t="s">
        <v>19</v>
      </c>
      <c r="F846" t="s">
        <v>270</v>
      </c>
      <c r="G846" s="8">
        <v>6.7279999999999998</v>
      </c>
      <c r="H846" s="29">
        <v>0.5</v>
      </c>
    </row>
    <row r="847" spans="1:8" x14ac:dyDescent="0.3">
      <c r="A847">
        <v>202609</v>
      </c>
      <c r="B847" t="s">
        <v>116</v>
      </c>
      <c r="C847">
        <v>1777579449</v>
      </c>
      <c r="D847" t="s">
        <v>18</v>
      </c>
      <c r="E847" t="s">
        <v>24</v>
      </c>
      <c r="F847" t="s">
        <v>311</v>
      </c>
      <c r="G847" s="8">
        <v>0.94023999999999996</v>
      </c>
      <c r="H847" s="29">
        <v>4.3</v>
      </c>
    </row>
    <row r="848" spans="1:8" x14ac:dyDescent="0.3">
      <c r="A848">
        <v>202609</v>
      </c>
      <c r="B848" t="s">
        <v>116</v>
      </c>
      <c r="C848">
        <v>1777682540</v>
      </c>
      <c r="D848" t="s">
        <v>23</v>
      </c>
      <c r="E848" t="s">
        <v>24</v>
      </c>
      <c r="F848" t="s">
        <v>331</v>
      </c>
      <c r="G848" s="8">
        <v>0.29499999999999998</v>
      </c>
      <c r="H848" s="29">
        <v>2.0499999999999998</v>
      </c>
    </row>
    <row r="849" spans="1:8" x14ac:dyDescent="0.3">
      <c r="A849">
        <v>202609</v>
      </c>
      <c r="B849" t="s">
        <v>116</v>
      </c>
      <c r="C849">
        <v>1777690315</v>
      </c>
      <c r="D849" t="s">
        <v>18</v>
      </c>
      <c r="E849" t="s">
        <v>24</v>
      </c>
      <c r="F849" t="s">
        <v>219</v>
      </c>
      <c r="G849" s="8">
        <v>0.34449999999999997</v>
      </c>
      <c r="H849" s="29">
        <v>2.8</v>
      </c>
    </row>
    <row r="850" spans="1:8" x14ac:dyDescent="0.3">
      <c r="A850">
        <v>202609</v>
      </c>
      <c r="B850" t="s">
        <v>116</v>
      </c>
      <c r="C850">
        <v>1777695759</v>
      </c>
      <c r="D850" t="s">
        <v>18</v>
      </c>
      <c r="E850" t="s">
        <v>48</v>
      </c>
      <c r="F850" t="s">
        <v>50</v>
      </c>
      <c r="G850" s="8">
        <v>1.57918</v>
      </c>
      <c r="H850" s="29">
        <v>3.2</v>
      </c>
    </row>
    <row r="851" spans="1:8" x14ac:dyDescent="0.3">
      <c r="A851">
        <v>202609</v>
      </c>
      <c r="B851" t="s">
        <v>116</v>
      </c>
      <c r="C851">
        <v>1777697085</v>
      </c>
      <c r="D851" t="s">
        <v>23</v>
      </c>
      <c r="E851" t="s">
        <v>34</v>
      </c>
      <c r="F851" t="s">
        <v>203</v>
      </c>
      <c r="G851" s="8">
        <v>0.33691654999999998</v>
      </c>
      <c r="H851" s="29">
        <v>3.6</v>
      </c>
    </row>
    <row r="852" spans="1:8" x14ac:dyDescent="0.3">
      <c r="A852">
        <v>202609</v>
      </c>
      <c r="B852" t="s">
        <v>42</v>
      </c>
      <c r="C852">
        <v>1777494672</v>
      </c>
      <c r="D852" t="s">
        <v>18</v>
      </c>
      <c r="E852" t="s">
        <v>24</v>
      </c>
      <c r="F852" t="s">
        <v>171</v>
      </c>
      <c r="G852" s="8">
        <v>0.67120000000000002</v>
      </c>
      <c r="H852" s="29">
        <v>1.1499999999999999</v>
      </c>
    </row>
    <row r="853" spans="1:8" x14ac:dyDescent="0.3">
      <c r="A853">
        <v>202609</v>
      </c>
      <c r="B853" t="s">
        <v>42</v>
      </c>
      <c r="C853">
        <v>1777497795</v>
      </c>
      <c r="D853" t="s">
        <v>23</v>
      </c>
      <c r="E853" t="s">
        <v>34</v>
      </c>
      <c r="F853" t="s">
        <v>87</v>
      </c>
      <c r="G853" s="8">
        <v>2.9726990000000002E-2</v>
      </c>
      <c r="H853" s="29">
        <v>2.1</v>
      </c>
    </row>
    <row r="854" spans="1:8" x14ac:dyDescent="0.3">
      <c r="A854">
        <v>202609</v>
      </c>
      <c r="B854" t="s">
        <v>42</v>
      </c>
      <c r="C854">
        <v>1777500036</v>
      </c>
      <c r="D854" t="s">
        <v>18</v>
      </c>
      <c r="E854" t="s">
        <v>24</v>
      </c>
      <c r="F854" t="s">
        <v>95</v>
      </c>
      <c r="G854" s="8">
        <v>1.6795</v>
      </c>
      <c r="H854" s="29">
        <v>1</v>
      </c>
    </row>
    <row r="855" spans="1:8" x14ac:dyDescent="0.3">
      <c r="A855">
        <v>202609</v>
      </c>
      <c r="B855" t="s">
        <v>42</v>
      </c>
      <c r="C855">
        <v>1777566584</v>
      </c>
      <c r="D855" t="s">
        <v>18</v>
      </c>
      <c r="E855" t="s">
        <v>34</v>
      </c>
      <c r="F855" t="s">
        <v>322</v>
      </c>
      <c r="G855" s="8">
        <v>1.1943094824</v>
      </c>
      <c r="H855" s="29">
        <v>1.25</v>
      </c>
    </row>
    <row r="856" spans="1:8" x14ac:dyDescent="0.3">
      <c r="A856">
        <v>202609</v>
      </c>
      <c r="B856" t="s">
        <v>42</v>
      </c>
      <c r="C856">
        <v>1777575249</v>
      </c>
      <c r="D856" t="s">
        <v>23</v>
      </c>
      <c r="E856" t="s">
        <v>34</v>
      </c>
      <c r="F856" t="s">
        <v>88</v>
      </c>
      <c r="G856" s="8">
        <v>0.75700197999999996</v>
      </c>
      <c r="H856" s="29">
        <v>0.8</v>
      </c>
    </row>
    <row r="857" spans="1:8" x14ac:dyDescent="0.3">
      <c r="A857">
        <v>202609</v>
      </c>
      <c r="B857" t="s">
        <v>42</v>
      </c>
      <c r="C857">
        <v>1777579368</v>
      </c>
      <c r="D857" t="s">
        <v>23</v>
      </c>
      <c r="E857" t="s">
        <v>34</v>
      </c>
      <c r="F857" t="s">
        <v>88</v>
      </c>
      <c r="G857" s="8">
        <v>0.16626610999999999</v>
      </c>
      <c r="H857" s="29">
        <v>0.8</v>
      </c>
    </row>
    <row r="858" spans="1:8" x14ac:dyDescent="0.3">
      <c r="A858">
        <v>202609</v>
      </c>
      <c r="B858" t="s">
        <v>42</v>
      </c>
      <c r="C858">
        <v>1777607825</v>
      </c>
      <c r="D858" t="s">
        <v>23</v>
      </c>
      <c r="E858" t="s">
        <v>34</v>
      </c>
      <c r="F858" t="s">
        <v>88</v>
      </c>
      <c r="G858" s="8">
        <v>0.25428580000000001</v>
      </c>
      <c r="H858" s="29">
        <v>0.8</v>
      </c>
    </row>
    <row r="859" spans="1:8" x14ac:dyDescent="0.3">
      <c r="A859">
        <v>202609</v>
      </c>
      <c r="B859" t="s">
        <v>42</v>
      </c>
      <c r="C859">
        <v>1777644674</v>
      </c>
      <c r="D859" t="s">
        <v>18</v>
      </c>
      <c r="E859" t="s">
        <v>24</v>
      </c>
      <c r="F859" t="s">
        <v>324</v>
      </c>
      <c r="G859" s="8">
        <v>1.7015</v>
      </c>
      <c r="H859" s="29">
        <v>1.95</v>
      </c>
    </row>
    <row r="860" spans="1:8" x14ac:dyDescent="0.3">
      <c r="A860">
        <v>202609</v>
      </c>
      <c r="B860" t="s">
        <v>42</v>
      </c>
      <c r="C860">
        <v>1777644690</v>
      </c>
      <c r="D860" t="s">
        <v>18</v>
      </c>
      <c r="E860" t="s">
        <v>24</v>
      </c>
      <c r="F860" t="s">
        <v>324</v>
      </c>
      <c r="G860" s="8">
        <v>1.7015</v>
      </c>
      <c r="H860" s="29">
        <v>1.95</v>
      </c>
    </row>
    <row r="861" spans="1:8" x14ac:dyDescent="0.3">
      <c r="A861">
        <v>202609</v>
      </c>
      <c r="B861" t="s">
        <v>42</v>
      </c>
      <c r="C861">
        <v>1777716209</v>
      </c>
      <c r="D861" t="s">
        <v>23</v>
      </c>
      <c r="E861" t="s">
        <v>34</v>
      </c>
      <c r="F861" t="s">
        <v>332</v>
      </c>
      <c r="G861" s="8">
        <v>1.182886E-2</v>
      </c>
      <c r="H861" s="29">
        <v>2.25</v>
      </c>
    </row>
    <row r="862" spans="1:8" x14ac:dyDescent="0.3">
      <c r="A862">
        <v>202609</v>
      </c>
      <c r="B862" t="s">
        <v>42</v>
      </c>
      <c r="C862">
        <v>1777716420</v>
      </c>
      <c r="D862" t="s">
        <v>18</v>
      </c>
      <c r="E862" t="s">
        <v>24</v>
      </c>
      <c r="F862" t="s">
        <v>333</v>
      </c>
      <c r="G862" s="8">
        <v>1.7164999999999999</v>
      </c>
      <c r="H862" s="29">
        <v>2.65</v>
      </c>
    </row>
  </sheetData>
  <mergeCells count="1">
    <mergeCell ref="A2:B2"/>
  </mergeCells>
  <pageMargins left="0.7" right="0.7" top="0.75" bottom="0.75" header="0.3" footer="0.3"/>
  <pageSetup paperSize="9" orientation="portrait" r:id="rId3"/>
  <headerFooter>
    <oddHeader>&amp;C&amp;G</oddHeader>
  </headerFooter>
  <drawing r:id="rId4"/>
  <legacyDrawingHF r:id="rId5"/>
  <tableParts count="1">
    <tablePart r:id="rId6"/>
  </tableParts>
  <extLst>
    <ext xmlns:x14="http://schemas.microsoft.com/office/spreadsheetml/2009/9/main" uri="{A8765BA9-456A-4dab-B4F3-ACF838C121DE}">
      <x14:slicerList>
        <x14:slicer r:id="rId7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3F9B3FEB-E73F-4B4F-92F4-0DFCFD1426D2}">
  <ds:schemaRefs>
    <ds:schemaRef ds:uri="http://gemini/pivotcustomization/ClientWindowXML"/>
  </ds:schemaRefs>
</ds:datastoreItem>
</file>

<file path=customXml/itemProps2.xml><?xml version="1.0" encoding="utf-8"?>
<ds:datastoreItem xmlns:ds="http://schemas.openxmlformats.org/officeDocument/2006/customXml" ds:itemID="{7A344F9C-3DA1-4635-8598-9255982679B3}">
  <ds:schemaRefs>
    <ds:schemaRef ds:uri="http://gemini/pivotcustomization/ShowHidden"/>
  </ds:schemaRefs>
</ds:datastoreItem>
</file>

<file path=customXml/itemProps3.xml><?xml version="1.0" encoding="utf-8"?>
<ds:datastoreItem xmlns:ds="http://schemas.openxmlformats.org/officeDocument/2006/customXml" ds:itemID="{081099C1-3FC1-42F8-A996-146ABF01BDBF}">
  <ds:schemaRefs/>
</ds:datastoreItem>
</file>

<file path=customXml/itemProps4.xml><?xml version="1.0" encoding="utf-8"?>
<ds:datastoreItem xmlns:ds="http://schemas.openxmlformats.org/officeDocument/2006/customXml" ds:itemID="{B0B2E568-74AD-4896-95E4-D67C079EA545}">
  <ds:schemaRefs/>
</ds:datastoreItem>
</file>

<file path=customXml/itemProps5.xml><?xml version="1.0" encoding="utf-8"?>
<ds:datastoreItem xmlns:ds="http://schemas.openxmlformats.org/officeDocument/2006/customXml" ds:itemID="{062027A2-EEC0-4BEC-A55B-7F7B7AF2BF54}">
  <ds:schemaRefs>
    <ds:schemaRef ds:uri="http://gemini/pivotcustomization/ManualCalcMode"/>
  </ds:schemaRefs>
</ds:datastoreItem>
</file>

<file path=customXml/itemProps6.xml><?xml version="1.0" encoding="utf-8"?>
<ds:datastoreItem xmlns:ds="http://schemas.openxmlformats.org/officeDocument/2006/customXml" ds:itemID="{5202C9C1-2422-46DD-A8A3-EEAC64716DCD}">
  <ds:schemaRefs/>
</ds:datastoreItem>
</file>

<file path=customXml/itemProps7.xml><?xml version="1.0" encoding="utf-8"?>
<ds:datastoreItem xmlns:ds="http://schemas.openxmlformats.org/officeDocument/2006/customXml" ds:itemID="{F24EA199-2C6C-449D-8273-DD1B76D1D51F}">
  <ds:schemaRefs/>
</ds:datastoreItem>
</file>

<file path=customXml/itemProps8.xml><?xml version="1.0" encoding="utf-8"?>
<ds:datastoreItem xmlns:ds="http://schemas.openxmlformats.org/officeDocument/2006/customXml" ds:itemID="{76A0B917-E3E3-4CFD-8F6D-1EC75B945463}">
  <ds:schemaRefs>
    <ds:schemaRef ds:uri="http://gemini/pivotcustomization/FormulaBarState"/>
  </ds:schemaRefs>
</ds:datastoreItem>
</file>

<file path=customXml/itemProps9.xml><?xml version="1.0" encoding="utf-8"?>
<ds:datastoreItem xmlns:ds="http://schemas.openxmlformats.org/officeDocument/2006/customXml" ds:itemID="{1087B155-B45D-4401-AEB2-AE069D1EF8E9}">
  <ds:schemaRefs/>
</ds:datastoreItem>
</file>

<file path=customXml/itemProps10.xml><?xml version="1.0" encoding="utf-8"?>
<ds:datastoreItem xmlns:ds="http://schemas.openxmlformats.org/officeDocument/2006/customXml" ds:itemID="{7A9ECA2B-19DE-4A6D-944F-75589FEB1FE3}">
  <ds:schemaRefs/>
</ds:datastoreItem>
</file>

<file path=customXml/itemProps11.xml><?xml version="1.0" encoding="utf-8"?>
<ds:datastoreItem xmlns:ds="http://schemas.openxmlformats.org/officeDocument/2006/customXml" ds:itemID="{FAB9A007-617F-4FFB-BAAB-27F745E31078}">
  <ds:schemaRefs>
    <ds:schemaRef ds:uri="http://gemini/pivotcustomization/ShowImplicitMeasures"/>
  </ds:schemaRefs>
</ds:datastoreItem>
</file>

<file path=customXml/itemProps12.xml><?xml version="1.0" encoding="utf-8"?>
<ds:datastoreItem xmlns:ds="http://schemas.openxmlformats.org/officeDocument/2006/customXml" ds:itemID="{A45D4411-5217-408C-9437-5368F0A9CFD2}">
  <ds:schemaRefs>
    <ds:schemaRef ds:uri="http://gemini/pivotcustomization/TableXML_Desem_b1380b3c-db72-424f-adbb-d519295d1a86"/>
  </ds:schemaRefs>
</ds:datastoreItem>
</file>

<file path=customXml/itemProps13.xml><?xml version="1.0" encoding="utf-8"?>
<ds:datastoreItem xmlns:ds="http://schemas.openxmlformats.org/officeDocument/2006/customXml" ds:itemID="{D432C547-9729-45A4-8F75-48A8FE9EBB73}">
  <ds:schemaRefs/>
</ds:datastoreItem>
</file>

<file path=customXml/itemProps14.xml><?xml version="1.0" encoding="utf-8"?>
<ds:datastoreItem xmlns:ds="http://schemas.openxmlformats.org/officeDocument/2006/customXml" ds:itemID="{06A5E0D3-18FE-4B32-8A60-77DF4BEAAFDC}">
  <ds:schemaRefs>
    <ds:schemaRef ds:uri="http://gemini/pivotcustomization/TableOrder"/>
  </ds:schemaRefs>
</ds:datastoreItem>
</file>

<file path=customXml/itemProps15.xml><?xml version="1.0" encoding="utf-8"?>
<ds:datastoreItem xmlns:ds="http://schemas.openxmlformats.org/officeDocument/2006/customXml" ds:itemID="{2E92E59B-232D-4B6D-A5D8-68CD8877AECD}">
  <ds:schemaRefs>
    <ds:schemaRef ds:uri="http://gemini/pivotcustomization/LinkedTableUpdateMode"/>
  </ds:schemaRefs>
</ds:datastoreItem>
</file>

<file path=customXml/itemProps16.xml><?xml version="1.0" encoding="utf-8"?>
<ds:datastoreItem xmlns:ds="http://schemas.openxmlformats.org/officeDocument/2006/customXml" ds:itemID="{0F2CE64F-47D8-4423-AFAD-0D5CE6399D02}">
  <ds:schemaRefs/>
</ds:datastoreItem>
</file>

<file path=customXml/itemProps17.xml><?xml version="1.0" encoding="utf-8"?>
<ds:datastoreItem xmlns:ds="http://schemas.openxmlformats.org/officeDocument/2006/customXml" ds:itemID="{44E2487A-E42F-4061-A95C-62E39634FA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Calculadora</vt:lpstr>
    </vt:vector>
  </TitlesOfParts>
  <Manager/>
  <Company>Banco Pichincha Peru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Zelada</dc:creator>
  <cp:keywords/>
  <dc:description/>
  <cp:lastModifiedBy>Luis Zelada</cp:lastModifiedBy>
  <cp:revision/>
  <dcterms:created xsi:type="dcterms:W3CDTF">2026-04-30T22:13:43Z</dcterms:created>
  <dcterms:modified xsi:type="dcterms:W3CDTF">2026-10-02T02:29:33Z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dac71-a7b2-4a5d-86b7-f0116d9e91ad_Enabled">
    <vt:lpwstr>true</vt:lpwstr>
  </property>
  <property fmtid="{D5CDD505-2E9C-101B-9397-08002B2CF9AE}" pid="3" name="MSIP_Label_f42dac71-a7b2-4a5d-86b7-f0116d9e91ad_SetDate">
    <vt:lpwstr>2026-06-22T16:55:38Z</vt:lpwstr>
  </property>
  <property fmtid="{D5CDD505-2E9C-101B-9397-08002B2CF9AE}" pid="4" name="MSIP_Label_f42dac71-a7b2-4a5d-86b7-f0116d9e91ad_Method">
    <vt:lpwstr>Standard</vt:lpwstr>
  </property>
  <property fmtid="{D5CDD505-2E9C-101B-9397-08002B2CF9AE}" pid="5" name="MSIP_Label_f42dac71-a7b2-4a5d-86b7-f0116d9e91ad_Name">
    <vt:lpwstr>Datos Personales</vt:lpwstr>
  </property>
  <property fmtid="{D5CDD505-2E9C-101B-9397-08002B2CF9AE}" pid="6" name="MSIP_Label_f42dac71-a7b2-4a5d-86b7-f0116d9e91ad_SiteId">
    <vt:lpwstr>517e0e98-94c4-4cdc-aedf-9a5d64ccdfb2</vt:lpwstr>
  </property>
  <property fmtid="{D5CDD505-2E9C-101B-9397-08002B2CF9AE}" pid="7" name="MSIP_Label_f42dac71-a7b2-4a5d-86b7-f0116d9e91ad_ActionId">
    <vt:lpwstr>f7ca107c-54a6-4780-a764-761ac4a235c7</vt:lpwstr>
  </property>
  <property fmtid="{D5CDD505-2E9C-101B-9397-08002B2CF9AE}" pid="8" name="MSIP_Label_f42dac71-a7b2-4a5d-86b7-f0116d9e91ad_ContentBits">
    <vt:lpwstr>4</vt:lpwstr>
  </property>
  <property fmtid="{D5CDD505-2E9C-101B-9397-08002B2CF9AE}" pid="9" name="MSIP_Label_f42dac71-a7b2-4a5d-86b7-f0116d9e91ad_Tag">
    <vt:lpwstr>10, 1, 2, 1</vt:lpwstr>
  </property>
</Properties>
</file>