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84" documentId="8_{E9AFCAC9-B2A1-4EC4-B527-4B3219212ADD}" xr6:coauthVersionLast="47" xr6:coauthVersionMax="47" xr10:uidLastSave="{F651EB78-B78D-4F9E-9819-B9D94A0549BB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28" r:id="rId2"/>
    <pivotCache cacheId="31" r:id="rId3"/>
  </pivotCaches>
  <extLst>
    <ext xmlns:x14="http://schemas.microsoft.com/office/spreadsheetml/2009/9/main" uri="{876F7934-8845-4945-9796-88D515C7AA90}">
      <x14:pivotCaches>
        <pivotCache cacheId="27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<sst xmlns="http://schemas.openxmlformats.org/spreadsheetml/2006/main" count="1803" uniqueCount="257">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</sst>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1.612216435184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319074" count="435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55928335"/>
        <n v="1760159719"/>
        <n v="1760167789"/>
        <n v="1760235210"/>
        <n v="1760240516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147206"/>
        <n v="1760236306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0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DEUTSCHE PHARMA S A C"/>
        <s v="FITFLOW PERU SRL"/>
        <s v="MAREAUTO PERU SA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IMPLEMENTOS PERU S A C"/>
        <s v="SOLPACK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1.61221736111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1.612215393521" createdVersion="3" refreshedVersion="8" minRefreshableVersion="3" recordCount="0" supportSubquery="1" supportAdvancedDrill="1" xr:uid="{4DEB06B8-8CC1-4B6F-967B-6C7E54AC735D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4701257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3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8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49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35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1">
      <x v="2"/>
      <x v="240"/>
      <x/>
      <x v="1"/>
      <x v="17"/>
    </i>
    <i r="2">
      <x v="241"/>
      <x/>
      <x v="1"/>
      <x v="17"/>
    </i>
    <i r="2">
      <x v="242"/>
      <x/>
      <x v="1"/>
      <x v="140"/>
    </i>
    <i r="2">
      <x v="243"/>
      <x/>
      <x v="1"/>
      <x v="141"/>
    </i>
    <i r="2">
      <x v="244"/>
      <x/>
      <x v="1"/>
      <x v="17"/>
    </i>
    <i r="2">
      <x v="245"/>
      <x v="1"/>
      <x/>
      <x v="142"/>
    </i>
    <i r="2">
      <x v="246"/>
      <x/>
      <x/>
      <x v="143"/>
    </i>
    <i r="2">
      <x v="247"/>
      <x/>
      <x v="1"/>
      <x v="17"/>
    </i>
    <i r="2">
      <x v="248"/>
      <x/>
      <x v="1"/>
      <x v="17"/>
    </i>
    <i r="2">
      <x v="249"/>
      <x/>
      <x v="1"/>
      <x v="144"/>
    </i>
    <i r="2">
      <x v="250"/>
      <x/>
      <x v="1"/>
      <x v="17"/>
    </i>
    <i r="2">
      <x v="251"/>
      <x/>
      <x v="1"/>
      <x v="15"/>
    </i>
    <i r="2">
      <x v="252"/>
      <x/>
      <x v="1"/>
      <x v="17"/>
    </i>
    <i r="1">
      <x v="3"/>
      <x v="253"/>
      <x/>
      <x/>
      <x v="145"/>
    </i>
    <i r="2">
      <x v="254"/>
      <x/>
      <x v="1"/>
      <x v="146"/>
    </i>
    <i r="2">
      <x v="255"/>
      <x/>
      <x v="1"/>
      <x v="146"/>
    </i>
    <i r="2">
      <x v="256"/>
      <x v="1"/>
      <x/>
      <x v="22"/>
    </i>
    <i r="2">
      <x v="257"/>
      <x v="1"/>
      <x v="2"/>
      <x v="20"/>
    </i>
    <i r="2">
      <x v="258"/>
      <x v="1"/>
      <x/>
      <x v="20"/>
    </i>
    <i r="2">
      <x v="259"/>
      <x/>
      <x v="1"/>
      <x v="24"/>
    </i>
    <i r="2">
      <x v="260"/>
      <x/>
      <x v="1"/>
      <x v="147"/>
    </i>
    <i r="2">
      <x v="261"/>
      <x v="1"/>
      <x v="2"/>
      <x v="22"/>
    </i>
    <i r="2">
      <x v="262"/>
      <x v="1"/>
      <x v="2"/>
      <x v="22"/>
    </i>
    <i r="2">
      <x v="263"/>
      <x v="1"/>
      <x v="1"/>
      <x v="23"/>
    </i>
    <i r="2">
      <x v="264"/>
      <x v="1"/>
      <x/>
      <x v="20"/>
    </i>
    <i r="2">
      <x v="265"/>
      <x v="1"/>
      <x v="1"/>
      <x v="23"/>
    </i>
    <i r="1">
      <x v="20"/>
      <x v="266"/>
      <x v="1"/>
      <x v="2"/>
      <x v="148"/>
    </i>
    <i r="2">
      <x v="267"/>
      <x/>
      <x v="2"/>
      <x v="149"/>
    </i>
    <i r="2">
      <x v="268"/>
      <x/>
      <x v="2"/>
      <x v="149"/>
    </i>
    <i r="2">
      <x v="269"/>
      <x/>
      <x v="2"/>
      <x v="149"/>
    </i>
    <i r="2">
      <x v="270"/>
      <x/>
      <x v="2"/>
      <x v="149"/>
    </i>
    <i r="1">
      <x v="4"/>
      <x v="271"/>
      <x/>
      <x/>
      <x v="150"/>
    </i>
    <i r="2">
      <x v="272"/>
      <x/>
      <x/>
      <x v="150"/>
    </i>
    <i r="2">
      <x v="273"/>
      <x/>
      <x v="1"/>
      <x v="32"/>
    </i>
    <i r="1">
      <x v="5"/>
      <x v="274"/>
      <x v="1"/>
      <x/>
      <x v="40"/>
    </i>
    <i r="2">
      <x v="275"/>
      <x/>
      <x v="1"/>
      <x v="151"/>
    </i>
    <i r="2">
      <x v="276"/>
      <x/>
      <x v="1"/>
      <x v="39"/>
    </i>
    <i r="2">
      <x v="277"/>
      <x/>
      <x/>
      <x v="152"/>
    </i>
    <i r="2">
      <x v="278"/>
      <x/>
      <x v="1"/>
      <x v="39"/>
    </i>
    <i r="2">
      <x v="279"/>
      <x/>
      <x/>
      <x v="152"/>
    </i>
    <i r="2">
      <x v="280"/>
      <x/>
      <x v="1"/>
      <x v="153"/>
    </i>
    <i r="2">
      <x v="281"/>
      <x v="1"/>
      <x v="1"/>
      <x v="154"/>
    </i>
    <i r="2">
      <x v="282"/>
      <x/>
      <x v="1"/>
      <x v="155"/>
    </i>
    <i r="2">
      <x v="283"/>
      <x v="1"/>
      <x v="1"/>
      <x v="156"/>
    </i>
    <i r="2">
      <x v="284"/>
      <x/>
      <x v="1"/>
      <x v="154"/>
    </i>
    <i r="2">
      <x v="285"/>
      <x v="1"/>
      <x v="1"/>
      <x v="38"/>
    </i>
    <i r="1">
      <x v="6"/>
      <x v="286"/>
      <x v="1"/>
      <x/>
      <x v="45"/>
    </i>
    <i r="2">
      <x v="287"/>
      <x v="1"/>
      <x/>
      <x v="45"/>
    </i>
    <i r="2">
      <x v="288"/>
      <x v="1"/>
      <x/>
      <x v="157"/>
    </i>
    <i r="2">
      <x v="289"/>
      <x/>
      <x/>
      <x v="158"/>
    </i>
    <i r="2">
      <x v="290"/>
      <x/>
      <x/>
      <x v="158"/>
    </i>
    <i r="2">
      <x v="291"/>
      <x/>
      <x v="1"/>
      <x v="43"/>
    </i>
    <i r="2">
      <x v="292"/>
      <x/>
      <x v="1"/>
      <x v="44"/>
    </i>
    <i r="2">
      <x v="293"/>
      <x/>
      <x v="1"/>
      <x v="43"/>
    </i>
    <i r="2">
      <x v="294"/>
      <x v="1"/>
      <x/>
      <x v="45"/>
    </i>
    <i r="2">
      <x v="295"/>
      <x/>
      <x v="1"/>
      <x v="159"/>
    </i>
    <i r="2">
      <x v="296"/>
      <x/>
      <x v="1"/>
      <x v="44"/>
    </i>
    <i r="1">
      <x v="7"/>
      <x v="297"/>
      <x/>
      <x v="1"/>
      <x v="49"/>
    </i>
    <i r="2">
      <x v="298"/>
      <x/>
      <x/>
      <x v="52"/>
    </i>
    <i r="2">
      <x v="299"/>
      <x/>
      <x/>
      <x v="52"/>
    </i>
    <i r="2">
      <x v="300"/>
      <x v="1"/>
      <x v="2"/>
      <x v="47"/>
    </i>
    <i r="2">
      <x v="301"/>
      <x/>
      <x v="2"/>
      <x v="47"/>
    </i>
    <i r="2">
      <x v="302"/>
      <x v="1"/>
      <x/>
      <x v="51"/>
    </i>
    <i r="2">
      <x v="303"/>
      <x v="1"/>
      <x v="1"/>
      <x v="160"/>
    </i>
    <i r="2">
      <x v="304"/>
      <x/>
      <x v="1"/>
      <x v="161"/>
    </i>
    <i r="2">
      <x v="305"/>
      <x/>
      <x v="1"/>
      <x v="49"/>
    </i>
    <i r="2">
      <x v="306"/>
      <x/>
      <x/>
      <x v="162"/>
    </i>
    <i r="2">
      <x v="307"/>
      <x/>
      <x/>
      <x v="162"/>
    </i>
    <i r="2">
      <x v="308"/>
      <x/>
      <x/>
      <x v="162"/>
    </i>
    <i r="2">
      <x v="309"/>
      <x/>
      <x/>
      <x v="162"/>
    </i>
    <i r="2">
      <x v="310"/>
      <x v="1"/>
      <x v="1"/>
      <x v="160"/>
    </i>
    <i r="2">
      <x v="311"/>
      <x v="1"/>
      <x/>
      <x v="163"/>
    </i>
    <i r="1">
      <x v="8"/>
      <x v="312"/>
      <x/>
      <x/>
      <x v="63"/>
    </i>
    <i r="2">
      <x v="313"/>
      <x v="1"/>
      <x v="1"/>
      <x v="58"/>
    </i>
    <i r="2">
      <x v="314"/>
      <x/>
      <x v="1"/>
      <x v="60"/>
    </i>
    <i r="2">
      <x v="315"/>
      <x v="1"/>
      <x/>
      <x v="164"/>
    </i>
    <i r="2">
      <x v="316"/>
      <x/>
      <x v="1"/>
      <x v="55"/>
    </i>
    <i r="2">
      <x v="317"/>
      <x v="1"/>
      <x v="1"/>
      <x v="54"/>
    </i>
    <i r="2">
      <x v="318"/>
      <x v="1"/>
      <x v="1"/>
      <x v="54"/>
    </i>
    <i r="2">
      <x v="319"/>
      <x v="1"/>
      <x v="1"/>
      <x v="54"/>
    </i>
    <i r="2">
      <x v="320"/>
      <x/>
      <x v="1"/>
      <x v="59"/>
    </i>
    <i r="2">
      <x v="321"/>
      <x/>
      <x v="1"/>
      <x v="60"/>
    </i>
    <i r="2">
      <x v="322"/>
      <x v="1"/>
      <x v="1"/>
      <x v="54"/>
    </i>
    <i r="2">
      <x v="323"/>
      <x v="1"/>
      <x v="1"/>
      <x v="54"/>
    </i>
    <i r="2">
      <x v="324"/>
      <x v="1"/>
      <x v="1"/>
      <x v="54"/>
    </i>
    <i r="2">
      <x v="325"/>
      <x v="1"/>
      <x v="1"/>
      <x v="54"/>
    </i>
    <i r="2">
      <x v="326"/>
      <x v="1"/>
      <x v="1"/>
      <x v="54"/>
    </i>
    <i r="2">
      <x v="327"/>
      <x v="1"/>
      <x v="1"/>
      <x v="54"/>
    </i>
    <i r="2">
      <x v="328"/>
      <x/>
      <x/>
      <x v="63"/>
    </i>
    <i r="2">
      <x v="329"/>
      <x/>
      <x v="1"/>
      <x v="165"/>
    </i>
    <i r="2">
      <x v="330"/>
      <x/>
      <x v="1"/>
      <x v="60"/>
    </i>
    <i r="2">
      <x v="331"/>
      <x/>
      <x v="1"/>
      <x v="55"/>
    </i>
    <i r="2">
      <x v="332"/>
      <x/>
      <x/>
      <x v="63"/>
    </i>
    <i r="2">
      <x v="333"/>
      <x/>
      <x/>
      <x v="63"/>
    </i>
    <i r="2">
      <x v="334"/>
      <x/>
      <x/>
      <x v="53"/>
    </i>
    <i r="2">
      <x v="335"/>
      <x/>
      <x v="3"/>
      <x v="166"/>
    </i>
    <i r="2">
      <x v="336"/>
      <x/>
      <x v="3"/>
      <x v="166"/>
    </i>
    <i r="2">
      <x v="337"/>
      <x v="1"/>
      <x v="1"/>
      <x v="54"/>
    </i>
    <i r="2">
      <x v="338"/>
      <x v="1"/>
      <x v="1"/>
      <x v="54"/>
    </i>
    <i r="2">
      <x v="339"/>
      <x v="1"/>
      <x v="1"/>
      <x v="54"/>
    </i>
    <i r="1">
      <x v="9"/>
      <x v="340"/>
      <x/>
      <x/>
      <x v="67"/>
    </i>
    <i r="2">
      <x v="341"/>
      <x v="1"/>
      <x v="2"/>
      <x v="68"/>
    </i>
    <i r="2">
      <x v="342"/>
      <x v="1"/>
      <x v="2"/>
      <x v="68"/>
    </i>
    <i r="1">
      <x v="10"/>
      <x v="343"/>
      <x/>
      <x/>
      <x v="69"/>
    </i>
    <i r="2">
      <x v="344"/>
      <x/>
      <x v="3"/>
      <x v="167"/>
    </i>
    <i r="2">
      <x v="345"/>
      <x/>
      <x v="3"/>
      <x v="167"/>
    </i>
    <i r="2">
      <x v="346"/>
      <x/>
      <x v="1"/>
      <x v="168"/>
    </i>
    <i r="2">
      <x v="347"/>
      <x/>
      <x v="1"/>
      <x v="169"/>
    </i>
    <i r="2">
      <x v="348"/>
      <x/>
      <x/>
      <x v="167"/>
    </i>
    <i r="1">
      <x v="11"/>
      <x v="349"/>
      <x v="1"/>
      <x/>
      <x v="170"/>
    </i>
    <i r="2">
      <x v="350"/>
      <x/>
      <x v="1"/>
      <x v="171"/>
    </i>
    <i r="2">
      <x v="351"/>
      <x v="1"/>
      <x/>
      <x v="172"/>
    </i>
    <i r="2">
      <x v="352"/>
      <x/>
      <x v="1"/>
      <x v="74"/>
    </i>
    <i r="2">
      <x v="353"/>
      <x/>
      <x v="3"/>
      <x v="173"/>
    </i>
    <i r="2">
      <x v="354"/>
      <x/>
      <x/>
      <x v="73"/>
    </i>
    <i r="2">
      <x v="355"/>
      <x/>
      <x v="1"/>
      <x v="74"/>
    </i>
    <i r="1">
      <x v="12"/>
      <x v="356"/>
      <x v="1"/>
      <x/>
      <x v="174"/>
    </i>
    <i r="2">
      <x v="357"/>
      <x/>
      <x v="1"/>
      <x v="83"/>
    </i>
    <i r="2">
      <x v="358"/>
      <x v="1"/>
      <x/>
      <x v="87"/>
    </i>
    <i r="2">
      <x v="359"/>
      <x v="1"/>
      <x/>
      <x v="87"/>
    </i>
    <i r="2">
      <x v="360"/>
      <x/>
      <x v="3"/>
      <x v="175"/>
    </i>
    <i r="2">
      <x v="361"/>
      <x/>
      <x/>
      <x v="87"/>
    </i>
    <i r="2">
      <x v="362"/>
      <x/>
      <x/>
      <x v="87"/>
    </i>
    <i r="2">
      <x v="363"/>
      <x/>
      <x/>
      <x v="87"/>
    </i>
    <i r="2">
      <x v="364"/>
      <x/>
      <x/>
      <x v="87"/>
    </i>
    <i r="2">
      <x v="365"/>
      <x v="1"/>
      <x/>
      <x v="87"/>
    </i>
    <i r="2">
      <x v="366"/>
      <x v="1"/>
      <x/>
      <x v="87"/>
    </i>
    <i r="2">
      <x v="367"/>
      <x v="1"/>
      <x/>
      <x v="176"/>
    </i>
    <i r="2">
      <x v="368"/>
      <x v="1"/>
      <x/>
      <x v="176"/>
    </i>
    <i r="2">
      <x v="369"/>
      <x v="1"/>
      <x/>
      <x v="176"/>
    </i>
    <i r="2">
      <x v="370"/>
      <x v="1"/>
      <x/>
      <x v="84"/>
    </i>
    <i r="1">
      <x v="13"/>
      <x v="371"/>
      <x v="1"/>
      <x/>
      <x v="177"/>
    </i>
    <i r="2">
      <x v="372"/>
      <x/>
      <x v="1"/>
      <x v="177"/>
    </i>
    <i r="1">
      <x v="14"/>
      <x v="373"/>
      <x/>
      <x v="1"/>
      <x v="178"/>
    </i>
    <i r="2">
      <x v="374"/>
      <x/>
      <x v="1"/>
      <x v="178"/>
    </i>
    <i r="2">
      <x v="375"/>
      <x/>
      <x v="1"/>
      <x v="178"/>
    </i>
    <i r="2">
      <x v="376"/>
      <x/>
      <x v="3"/>
      <x v="92"/>
    </i>
    <i r="2">
      <x v="377"/>
      <x/>
      <x v="1"/>
      <x v="179"/>
    </i>
    <i r="2">
      <x v="378"/>
      <x v="1"/>
      <x/>
      <x v="180"/>
    </i>
    <i r="2">
      <x v="379"/>
      <x v="1"/>
      <x/>
      <x v="180"/>
    </i>
    <i r="2">
      <x v="380"/>
      <x/>
      <x/>
      <x v="99"/>
    </i>
    <i r="2">
      <x v="381"/>
      <x/>
      <x v="1"/>
      <x v="94"/>
    </i>
    <i r="2">
      <x v="382"/>
      <x v="1"/>
      <x/>
      <x v="181"/>
    </i>
    <i r="2">
      <x v="383"/>
      <x/>
      <x v="1"/>
      <x v="182"/>
    </i>
    <i r="2">
      <x v="384"/>
      <x v="1"/>
      <x/>
      <x v="183"/>
    </i>
    <i r="2">
      <x v="385"/>
      <x v="1"/>
      <x/>
      <x v="183"/>
    </i>
    <i r="2">
      <x v="386"/>
      <x v="1"/>
      <x/>
      <x v="183"/>
    </i>
    <i r="2">
      <x v="387"/>
      <x v="1"/>
      <x/>
      <x v="183"/>
    </i>
    <i r="2">
      <x v="388"/>
      <x v="1"/>
      <x/>
      <x v="183"/>
    </i>
    <i r="2">
      <x v="389"/>
      <x v="1"/>
      <x/>
      <x v="183"/>
    </i>
    <i r="2">
      <x v="390"/>
      <x v="1"/>
      <x/>
      <x v="183"/>
    </i>
    <i r="2">
      <x v="391"/>
      <x v="1"/>
      <x/>
      <x v="183"/>
    </i>
    <i r="2">
      <x v="392"/>
      <x v="1"/>
      <x/>
      <x v="183"/>
    </i>
    <i r="2">
      <x v="393"/>
      <x v="1"/>
      <x/>
      <x v="183"/>
    </i>
    <i r="2">
      <x v="394"/>
      <x/>
      <x v="3"/>
      <x v="92"/>
    </i>
    <i r="1">
      <x v="15"/>
      <x v="395"/>
      <x/>
      <x v="1"/>
      <x v="115"/>
    </i>
    <i r="2">
      <x v="396"/>
      <x/>
      <x v="1"/>
      <x v="115"/>
    </i>
    <i r="2">
      <x v="397"/>
      <x v="1"/>
      <x v="1"/>
      <x v="110"/>
    </i>
    <i r="2">
      <x v="398"/>
      <x/>
      <x v="1"/>
      <x v="184"/>
    </i>
    <i r="2">
      <x v="399"/>
      <x v="1"/>
      <x/>
      <x v="185"/>
    </i>
    <i r="2">
      <x v="400"/>
      <x v="1"/>
      <x v="2"/>
      <x v="186"/>
    </i>
    <i r="2">
      <x v="401"/>
      <x/>
      <x v="1"/>
      <x v="115"/>
    </i>
    <i r="2">
      <x v="402"/>
      <x/>
      <x v="1"/>
      <x v="187"/>
    </i>
    <i r="2">
      <x v="403"/>
      <x/>
      <x v="1"/>
      <x v="187"/>
    </i>
    <i r="2">
      <x v="404"/>
      <x v="1"/>
      <x v="1"/>
      <x v="103"/>
    </i>
    <i r="2">
      <x v="405"/>
      <x/>
      <x v="1"/>
      <x v="188"/>
    </i>
    <i r="2">
      <x v="406"/>
      <x/>
      <x v="1"/>
      <x v="115"/>
    </i>
    <i r="2">
      <x v="407"/>
      <x v="1"/>
      <x v="1"/>
      <x v="110"/>
    </i>
    <i r="2">
      <x v="408"/>
      <x v="1"/>
      <x v="2"/>
      <x v="186"/>
    </i>
    <i r="2">
      <x v="409"/>
      <x/>
      <x v="1"/>
      <x v="108"/>
    </i>
    <i r="2">
      <x v="410"/>
      <x/>
      <x v="1"/>
      <x v="108"/>
    </i>
    <i r="2">
      <x v="411"/>
      <x/>
      <x v="1"/>
      <x v="108"/>
    </i>
    <i r="2">
      <x v="412"/>
      <x/>
      <x v="1"/>
      <x v="108"/>
    </i>
    <i r="1">
      <x v="16"/>
      <x v="413"/>
      <x/>
      <x v="1"/>
      <x v="189"/>
    </i>
    <i r="2">
      <x v="414"/>
      <x/>
      <x v="1"/>
      <x v="189"/>
    </i>
    <i r="2">
      <x v="415"/>
      <x/>
      <x v="1"/>
      <x v="190"/>
    </i>
    <i r="2">
      <x v="416"/>
      <x/>
      <x v="1"/>
      <x v="119"/>
    </i>
    <i r="2">
      <x v="417"/>
      <x/>
      <x v="1"/>
      <x v="190"/>
    </i>
    <i r="2">
      <x v="418"/>
      <x/>
      <x/>
      <x v="191"/>
    </i>
    <i r="2">
      <x v="419"/>
      <x/>
      <x/>
      <x v="191"/>
    </i>
    <i r="1">
      <x v="21"/>
      <x v="420"/>
      <x/>
      <x v="2"/>
      <x v="192"/>
    </i>
    <i r="2">
      <x v="421"/>
      <x v="1"/>
      <x v="2"/>
      <x v="193"/>
    </i>
    <i r="2">
      <x v="422"/>
      <x v="1"/>
      <x v="2"/>
      <x v="194"/>
    </i>
    <i r="1">
      <x v="17"/>
      <x v="423"/>
      <x v="1"/>
      <x v="1"/>
      <x v="195"/>
    </i>
    <i r="2">
      <x v="424"/>
      <x/>
      <x/>
      <x v="196"/>
    </i>
    <i r="1">
      <x v="18"/>
      <x v="425"/>
      <x v="1"/>
      <x v="1"/>
      <x v="197"/>
    </i>
    <i r="2">
      <x v="426"/>
      <x/>
      <x v="1"/>
      <x v="198"/>
    </i>
    <i r="2">
      <x v="427"/>
      <x/>
      <x v="1"/>
      <x v="198"/>
    </i>
    <i r="2">
      <x v="428"/>
      <x/>
      <x v="1"/>
      <x v="199"/>
    </i>
    <i r="2">
      <x v="429"/>
      <x/>
      <x v="1"/>
      <x v="199"/>
    </i>
    <i r="2">
      <x v="430"/>
      <x/>
      <x v="1"/>
      <x v="199"/>
    </i>
    <i r="2">
      <x v="431"/>
      <x v="1"/>
      <x v="2"/>
      <x v="134"/>
    </i>
    <i r="2">
      <x v="432"/>
      <x/>
      <x v="1"/>
      <x v="200"/>
    </i>
    <i r="2">
      <x v="433"/>
      <x/>
      <x v="1"/>
      <x v="199"/>
    </i>
    <i r="2">
      <x v="434"/>
      <x v="1"/>
      <x v="2"/>
      <x v="13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047012570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047012570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047012570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49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46170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270.15397926097012</v>
      </c>
      <c r="H6" s="21" cm="1">
        <f t="array" ref="H6">SUMPRODUCT(G15:G1005,H15:H1005*(A15:A1005=202604))/SUMIFS(G15:G1005,A15:A1005,202604)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293.77813259523987</v>
      </c>
      <c r="H7" s="21" cm="1">
        <f t="array" ref="H7">IFERROR(SUMPRODUCT(G15:G1005,H15:H1005*(A15:A1005=202605))/SUMIFS(G15:G1005,A15:A1005,202605),0)</f>
        <v>1.1543783174632105</v>
      </c>
      <c r="I7"/>
      <c r="J7"/>
      <c r="K7"/>
    </row>
    <row r="8" spans="1:22" x14ac:dyDescent="0.3">
      <c r="F8" s="13" t="s">
        <v>6</v>
      </c>
      <c r="G8" s="6">
        <f>+G7+SUM(J15:J999996)</f>
        <v>296.77813259523987</v>
      </c>
      <c r="H8" s="21">
        <f>+IFERROR(((G7*H7)+(SUM(J15:J1005)*(SUMPRODUCT(J15:J1005,K15:K1005)/SUM(J15:J1005))))/(G7+SUM(J15:J1005)),H7)</f>
        <v>1.1447309255635705</v>
      </c>
      <c r="I8"/>
      <c r="J8"/>
      <c r="K8"/>
    </row>
    <row r="9" spans="1:22" x14ac:dyDescent="0.3">
      <c r="F9" s="13" t="s">
        <v>7</v>
      </c>
      <c r="G9" s="6">
        <f>+SUM(G15:G999996)</f>
        <v>563.93211185621078</v>
      </c>
      <c r="H9" s="21">
        <f>+SUMPRODUCT(G15:G1005,H15:H1005)/SUM(G15:G1005)</f>
        <v>1.3465680229441717</v>
      </c>
      <c r="I9"/>
      <c r="J9"/>
      <c r="K9"/>
    </row>
    <row r="10" spans="1:22" x14ac:dyDescent="0.3">
      <c r="F10" s="13" t="s">
        <v>8</v>
      </c>
      <c r="G10" s="6">
        <f>+G9+SUM(J15:J999996)</f>
        <v>566.93211185621078</v>
      </c>
      <c r="H10" s="21">
        <f>+IFERROR(((G9*H9)+(SUM(J15:J1005)*(SUMPRODUCT(J15:J1005,K15:K1005)/SUM(J15:J1005))))/(G9+SUM(J15:J1005)),H9)</f>
        <v>1.3405007990263547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101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102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103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104</v>
      </c>
      <c r="G18" s="8">
        <v>0.129049734</v>
      </c>
      <c r="H18" s="25">
        <v>4.2</v>
      </c>
      <c r="J18" s="9"/>
      <c r="K18" s="9"/>
      <c r="S18" s="2" t="s">
        <v>95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105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101</v>
      </c>
      <c r="G20" s="8">
        <v>5.2574999999999997E-2</v>
      </c>
      <c r="H20" s="25">
        <v>3.34</v>
      </c>
      <c r="J20" s="9"/>
      <c r="K20" s="9"/>
      <c r="S20" s="2" t="s">
        <v>255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101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106</v>
      </c>
      <c r="G22" s="8">
        <v>1.0529678999999998</v>
      </c>
      <c r="H22" s="25">
        <v>1.5</v>
      </c>
      <c r="J22" s="9"/>
      <c r="K22" s="9"/>
      <c r="S22" s="2" t="s">
        <v>96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106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107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108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109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110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111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112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113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114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106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115</v>
      </c>
      <c r="G33" s="8">
        <v>2.4689000000000001</v>
      </c>
      <c r="H33" s="25">
        <v>0.25</v>
      </c>
      <c r="S33" s="2" t="s">
        <v>97</v>
      </c>
    </row>
    <row r="34" spans="1:19" x14ac:dyDescent="0.3">
      <c r="A34">
        <v>202604</v>
      </c>
      <c r="B34" t="s">
        <v>95</v>
      </c>
      <c r="C34">
        <v>1751395430</v>
      </c>
      <c r="D34" t="s">
        <v>21</v>
      </c>
      <c r="E34" t="s">
        <v>27</v>
      </c>
      <c r="F34" t="s">
        <v>116</v>
      </c>
      <c r="G34" s="8">
        <v>1.7184999999999999</v>
      </c>
      <c r="H34" s="25">
        <v>3.35</v>
      </c>
      <c r="S34" s="2" t="s">
        <v>256</v>
      </c>
    </row>
    <row r="35" spans="1:19" x14ac:dyDescent="0.3">
      <c r="A35">
        <v>202604</v>
      </c>
      <c r="B35" t="s">
        <v>95</v>
      </c>
      <c r="C35">
        <v>1751420140</v>
      </c>
      <c r="D35" t="s">
        <v>21</v>
      </c>
      <c r="E35" t="s">
        <v>22</v>
      </c>
      <c r="F35" t="s">
        <v>117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95</v>
      </c>
      <c r="C36">
        <v>1755715552</v>
      </c>
      <c r="D36" t="s">
        <v>21</v>
      </c>
      <c r="E36" t="s">
        <v>27</v>
      </c>
      <c r="F36" t="s">
        <v>119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95</v>
      </c>
      <c r="C37">
        <v>1755715692</v>
      </c>
      <c r="D37" t="s">
        <v>21</v>
      </c>
      <c r="E37" t="s">
        <v>27</v>
      </c>
      <c r="F37" t="s">
        <v>119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95</v>
      </c>
      <c r="C38">
        <v>1755756216</v>
      </c>
      <c r="D38" t="s">
        <v>21</v>
      </c>
      <c r="E38" t="s">
        <v>27</v>
      </c>
      <c r="F38" t="s">
        <v>119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95</v>
      </c>
      <c r="C39">
        <v>1755757999</v>
      </c>
      <c r="D39" t="s">
        <v>21</v>
      </c>
      <c r="E39" t="s">
        <v>27</v>
      </c>
      <c r="F39" t="s">
        <v>119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95</v>
      </c>
      <c r="C40">
        <v>1755778058</v>
      </c>
      <c r="D40" t="s">
        <v>21</v>
      </c>
      <c r="E40" t="s">
        <v>27</v>
      </c>
      <c r="F40" t="s">
        <v>119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95</v>
      </c>
      <c r="C41">
        <v>1755851448</v>
      </c>
      <c r="D41" t="s">
        <v>21</v>
      </c>
      <c r="E41" t="s">
        <v>27</v>
      </c>
      <c r="F41" t="s">
        <v>119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95</v>
      </c>
      <c r="C42">
        <v>1755874340</v>
      </c>
      <c r="D42" t="s">
        <v>21</v>
      </c>
      <c r="E42" t="s">
        <v>27</v>
      </c>
      <c r="F42" t="s">
        <v>119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95</v>
      </c>
      <c r="C43">
        <v>1755891199</v>
      </c>
      <c r="D43" t="s">
        <v>21</v>
      </c>
      <c r="E43" t="s">
        <v>27</v>
      </c>
      <c r="F43" t="s">
        <v>123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124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125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126</v>
      </c>
      <c r="G46" s="8">
        <v>0.6764</v>
      </c>
      <c r="H46" s="25">
        <v>1.3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127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125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128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127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129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130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131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127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127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132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133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128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134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134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125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135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142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136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137</v>
      </c>
      <c r="G65" s="8">
        <v>9.1002300000000008E-2</v>
      </c>
      <c r="H65" s="25">
        <v>10.42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137</v>
      </c>
      <c r="G66" s="8">
        <v>0.10800053999999999</v>
      </c>
      <c r="H66" s="25">
        <v>10.37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138</v>
      </c>
      <c r="G67" s="8">
        <v>1.46</v>
      </c>
      <c r="H67" s="25">
        <v>0.5</v>
      </c>
    </row>
    <row r="68" spans="1:8" x14ac:dyDescent="0.3">
      <c r="A68">
        <v>202604</v>
      </c>
      <c r="B68" t="s">
        <v>96</v>
      </c>
      <c r="C68">
        <v>1755662858</v>
      </c>
      <c r="D68" t="s">
        <v>21</v>
      </c>
      <c r="E68" t="s">
        <v>27</v>
      </c>
      <c r="F68" t="s">
        <v>118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96</v>
      </c>
      <c r="C69">
        <v>1755717512</v>
      </c>
      <c r="D69" t="s">
        <v>21</v>
      </c>
      <c r="E69" t="s">
        <v>27</v>
      </c>
      <c r="F69" t="s">
        <v>118</v>
      </c>
      <c r="G69" s="8">
        <v>0.27448</v>
      </c>
      <c r="H69" s="25">
        <v>1.2</v>
      </c>
    </row>
    <row r="70" spans="1:8" x14ac:dyDescent="0.3">
      <c r="A70">
        <v>202604</v>
      </c>
      <c r="B70" t="s">
        <v>96</v>
      </c>
      <c r="C70">
        <v>1755717570</v>
      </c>
      <c r="D70" t="s">
        <v>21</v>
      </c>
      <c r="E70" t="s">
        <v>27</v>
      </c>
      <c r="F70" t="s">
        <v>118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96</v>
      </c>
      <c r="C71">
        <v>1755722280</v>
      </c>
      <c r="D71" t="s">
        <v>21</v>
      </c>
      <c r="E71" t="s">
        <v>27</v>
      </c>
      <c r="F71" t="s">
        <v>118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96</v>
      </c>
      <c r="C72">
        <v>1755725914</v>
      </c>
      <c r="D72" t="s">
        <v>21</v>
      </c>
      <c r="E72" t="s">
        <v>27</v>
      </c>
      <c r="F72" t="s">
        <v>118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96</v>
      </c>
      <c r="C73">
        <v>1755774702</v>
      </c>
      <c r="D73" t="s">
        <v>21</v>
      </c>
      <c r="E73" t="s">
        <v>27</v>
      </c>
      <c r="F73" t="s">
        <v>120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96</v>
      </c>
      <c r="C74">
        <v>1755778244</v>
      </c>
      <c r="D74" t="s">
        <v>21</v>
      </c>
      <c r="E74" t="s">
        <v>27</v>
      </c>
      <c r="F74" t="s">
        <v>139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96</v>
      </c>
      <c r="C75">
        <v>1755802960</v>
      </c>
      <c r="D75" t="s">
        <v>26</v>
      </c>
      <c r="E75" t="s">
        <v>27</v>
      </c>
      <c r="F75" t="s">
        <v>140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96</v>
      </c>
      <c r="C76">
        <v>1755867050</v>
      </c>
      <c r="D76" t="s">
        <v>21</v>
      </c>
      <c r="E76" t="s">
        <v>27</v>
      </c>
      <c r="F76" t="s">
        <v>121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96</v>
      </c>
      <c r="C77">
        <v>1755868189</v>
      </c>
      <c r="D77" t="s">
        <v>26</v>
      </c>
      <c r="E77" t="s">
        <v>22</v>
      </c>
      <c r="F77" t="s">
        <v>141</v>
      </c>
      <c r="G77" s="8">
        <v>7.5</v>
      </c>
      <c r="H77" s="25">
        <v>0.49</v>
      </c>
    </row>
    <row r="78" spans="1:8" x14ac:dyDescent="0.3">
      <c r="A78">
        <v>202604</v>
      </c>
      <c r="B78" t="s">
        <v>96</v>
      </c>
      <c r="C78">
        <v>1755878230</v>
      </c>
      <c r="D78" t="s">
        <v>26</v>
      </c>
      <c r="E78" t="s">
        <v>27</v>
      </c>
      <c r="F78" t="s">
        <v>122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40</v>
      </c>
      <c r="C85">
        <v>1751403912</v>
      </c>
      <c r="D85" t="s">
        <v>21</v>
      </c>
      <c r="E85" t="s">
        <v>22</v>
      </c>
      <c r="F85" t="s">
        <v>50</v>
      </c>
      <c r="G85" s="8">
        <v>0.24024000000000001</v>
      </c>
      <c r="H85" s="25">
        <v>6.15</v>
      </c>
    </row>
    <row r="86" spans="1:8" x14ac:dyDescent="0.3">
      <c r="A86">
        <v>202604</v>
      </c>
      <c r="B86" t="s">
        <v>40</v>
      </c>
      <c r="C86">
        <v>1751417018</v>
      </c>
      <c r="D86" t="s">
        <v>21</v>
      </c>
      <c r="E86" t="s">
        <v>38</v>
      </c>
      <c r="F86" t="s">
        <v>51</v>
      </c>
      <c r="G86" s="8">
        <v>0.30089354270000002</v>
      </c>
      <c r="H86" s="25">
        <v>2.7</v>
      </c>
    </row>
    <row r="87" spans="1:8" x14ac:dyDescent="0.3">
      <c r="A87">
        <v>202604</v>
      </c>
      <c r="B87" t="s">
        <v>40</v>
      </c>
      <c r="C87">
        <v>1755672632</v>
      </c>
      <c r="D87" t="s">
        <v>26</v>
      </c>
      <c r="E87" t="s">
        <v>22</v>
      </c>
      <c r="F87" t="s">
        <v>52</v>
      </c>
      <c r="G87" s="8">
        <v>1</v>
      </c>
      <c r="H87" s="25">
        <v>1</v>
      </c>
    </row>
    <row r="88" spans="1:8" x14ac:dyDescent="0.3">
      <c r="A88">
        <v>202604</v>
      </c>
      <c r="B88" t="s">
        <v>40</v>
      </c>
      <c r="C88">
        <v>1755678967</v>
      </c>
      <c r="D88" t="s">
        <v>21</v>
      </c>
      <c r="E88" t="s">
        <v>27</v>
      </c>
      <c r="F88" t="s">
        <v>53</v>
      </c>
      <c r="G88" s="8">
        <v>1.6910000000000001</v>
      </c>
      <c r="H88" s="25">
        <v>0.6</v>
      </c>
    </row>
    <row r="89" spans="1:8" x14ac:dyDescent="0.3">
      <c r="A89">
        <v>202604</v>
      </c>
      <c r="B89" t="s">
        <v>40</v>
      </c>
      <c r="C89">
        <v>1755819994</v>
      </c>
      <c r="D89" t="s">
        <v>21</v>
      </c>
      <c r="E89" t="s">
        <v>27</v>
      </c>
      <c r="F89" t="s">
        <v>53</v>
      </c>
      <c r="G89" s="8">
        <v>1.7364999999999999</v>
      </c>
      <c r="H89" s="25">
        <v>0.6</v>
      </c>
    </row>
    <row r="90" spans="1:8" x14ac:dyDescent="0.3">
      <c r="A90">
        <v>202604</v>
      </c>
      <c r="B90" t="s">
        <v>40</v>
      </c>
      <c r="C90">
        <v>1755867662</v>
      </c>
      <c r="D90" t="s">
        <v>21</v>
      </c>
      <c r="E90" t="s">
        <v>27</v>
      </c>
      <c r="F90" t="s">
        <v>54</v>
      </c>
      <c r="G90" s="8">
        <v>5.274</v>
      </c>
      <c r="H90" s="25">
        <v>0.61</v>
      </c>
    </row>
    <row r="91" spans="1:8" x14ac:dyDescent="0.3">
      <c r="A91">
        <v>202604</v>
      </c>
      <c r="B91" t="s">
        <v>40</v>
      </c>
      <c r="C91">
        <v>1755874995</v>
      </c>
      <c r="D91" t="s">
        <v>21</v>
      </c>
      <c r="E91" t="s">
        <v>27</v>
      </c>
      <c r="F91" t="s">
        <v>53</v>
      </c>
      <c r="G91" s="8">
        <v>0.88175000000000003</v>
      </c>
      <c r="H91" s="25">
        <v>0.6</v>
      </c>
    </row>
    <row r="92" spans="1:8" x14ac:dyDescent="0.3">
      <c r="A92">
        <v>202604</v>
      </c>
      <c r="B92" t="s">
        <v>40</v>
      </c>
      <c r="C92">
        <v>1755878540</v>
      </c>
      <c r="D92" t="s">
        <v>26</v>
      </c>
      <c r="E92" t="s">
        <v>22</v>
      </c>
      <c r="F92" t="s">
        <v>55</v>
      </c>
      <c r="G92" s="8">
        <v>0.1</v>
      </c>
      <c r="H92" s="25">
        <v>2.2000000000000002</v>
      </c>
    </row>
    <row r="93" spans="1:8" x14ac:dyDescent="0.3">
      <c r="A93">
        <v>202604</v>
      </c>
      <c r="B93" t="s">
        <v>40</v>
      </c>
      <c r="C93">
        <v>1755883870</v>
      </c>
      <c r="D93" t="s">
        <v>21</v>
      </c>
      <c r="E93" t="s">
        <v>22</v>
      </c>
      <c r="F93" t="s">
        <v>53</v>
      </c>
      <c r="G93" s="8">
        <v>1.7585</v>
      </c>
      <c r="H93" s="25">
        <v>0.6</v>
      </c>
    </row>
    <row r="94" spans="1:8" x14ac:dyDescent="0.3">
      <c r="A94">
        <v>202604</v>
      </c>
      <c r="B94" t="s">
        <v>40</v>
      </c>
      <c r="C94">
        <v>1755890036</v>
      </c>
      <c r="D94" t="s">
        <v>21</v>
      </c>
      <c r="E94" t="s">
        <v>22</v>
      </c>
      <c r="F94" t="s">
        <v>56</v>
      </c>
      <c r="G94" s="8">
        <v>0.70340000000000003</v>
      </c>
      <c r="H94" s="25">
        <v>1.1000000000000001</v>
      </c>
    </row>
    <row r="95" spans="1:8" x14ac:dyDescent="0.3">
      <c r="A95">
        <v>202604</v>
      </c>
      <c r="B95" t="s">
        <v>40</v>
      </c>
      <c r="C95">
        <v>1755890087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1755895150</v>
      </c>
      <c r="D96" t="s">
        <v>26</v>
      </c>
      <c r="E96" t="s">
        <v>38</v>
      </c>
      <c r="F96" t="s">
        <v>51</v>
      </c>
      <c r="G96" s="8">
        <v>0.18401207999999999</v>
      </c>
      <c r="H96" s="25">
        <v>2.5499999999999998</v>
      </c>
    </row>
    <row r="97" spans="1:8" x14ac:dyDescent="0.3">
      <c r="A97">
        <v>202604</v>
      </c>
      <c r="B97" t="s">
        <v>40</v>
      </c>
      <c r="C97">
        <v>1755895194</v>
      </c>
      <c r="D97" t="s">
        <v>21</v>
      </c>
      <c r="E97" t="s">
        <v>38</v>
      </c>
      <c r="F97" t="s">
        <v>51</v>
      </c>
      <c r="G97" s="8">
        <v>0.26908292674000001</v>
      </c>
      <c r="H97" s="25">
        <v>1.9</v>
      </c>
    </row>
    <row r="98" spans="1:8" x14ac:dyDescent="0.3">
      <c r="A98">
        <v>202604</v>
      </c>
      <c r="B98" t="s">
        <v>41</v>
      </c>
      <c r="C98">
        <v>1751390357</v>
      </c>
      <c r="D98" t="s">
        <v>21</v>
      </c>
      <c r="E98" t="s">
        <v>27</v>
      </c>
      <c r="F98" t="s">
        <v>57</v>
      </c>
      <c r="G98" s="8">
        <v>0.27495999999999998</v>
      </c>
      <c r="H98" s="25">
        <v>5.55</v>
      </c>
    </row>
    <row r="99" spans="1:8" x14ac:dyDescent="0.3">
      <c r="A99">
        <v>202604</v>
      </c>
      <c r="B99" t="s">
        <v>41</v>
      </c>
      <c r="C99">
        <v>1751416224</v>
      </c>
      <c r="D99" t="s">
        <v>26</v>
      </c>
      <c r="E99" t="s">
        <v>27</v>
      </c>
      <c r="F99" t="s">
        <v>58</v>
      </c>
      <c r="G99" s="8">
        <v>0.05</v>
      </c>
      <c r="H99" s="25">
        <v>4.43</v>
      </c>
    </row>
    <row r="100" spans="1:8" x14ac:dyDescent="0.3">
      <c r="A100">
        <v>202604</v>
      </c>
      <c r="B100" t="s">
        <v>41</v>
      </c>
      <c r="C100">
        <v>1751416313</v>
      </c>
      <c r="D100" t="s">
        <v>26</v>
      </c>
      <c r="E100" t="s">
        <v>27</v>
      </c>
      <c r="F100" t="s">
        <v>58</v>
      </c>
      <c r="G100" s="8">
        <v>6.5000000000000002E-2</v>
      </c>
      <c r="H100" s="25">
        <v>4.18</v>
      </c>
    </row>
    <row r="101" spans="1:8" x14ac:dyDescent="0.3">
      <c r="A101">
        <v>202604</v>
      </c>
      <c r="B101" t="s">
        <v>41</v>
      </c>
      <c r="C101">
        <v>1751416330</v>
      </c>
      <c r="D101" t="s">
        <v>26</v>
      </c>
      <c r="E101" t="s">
        <v>27</v>
      </c>
      <c r="F101" t="s">
        <v>58</v>
      </c>
      <c r="G101" s="8">
        <v>5.5E-2</v>
      </c>
      <c r="H101" s="25">
        <v>4.18</v>
      </c>
    </row>
    <row r="102" spans="1:8" x14ac:dyDescent="0.3">
      <c r="A102">
        <v>202604</v>
      </c>
      <c r="B102" t="s">
        <v>41</v>
      </c>
      <c r="C102">
        <v>1755674783</v>
      </c>
      <c r="D102" t="s">
        <v>21</v>
      </c>
      <c r="E102" t="s">
        <v>27</v>
      </c>
      <c r="F102" t="s">
        <v>59</v>
      </c>
      <c r="G102" s="8">
        <v>1.5219</v>
      </c>
      <c r="H102" s="25">
        <v>1.9</v>
      </c>
    </row>
    <row r="103" spans="1:8" x14ac:dyDescent="0.3">
      <c r="A103">
        <v>202604</v>
      </c>
      <c r="B103" t="s">
        <v>41</v>
      </c>
      <c r="C103">
        <v>1755674848</v>
      </c>
      <c r="D103" t="s">
        <v>21</v>
      </c>
      <c r="E103" t="s">
        <v>27</v>
      </c>
      <c r="F103" t="s">
        <v>59</v>
      </c>
      <c r="G103" s="8">
        <v>1.8601000000000001</v>
      </c>
      <c r="H103" s="25">
        <v>1.9</v>
      </c>
    </row>
    <row r="104" spans="1:8" x14ac:dyDescent="0.3">
      <c r="A104">
        <v>202604</v>
      </c>
      <c r="B104" t="s">
        <v>41</v>
      </c>
      <c r="C104">
        <v>1755713096</v>
      </c>
      <c r="D104" t="s">
        <v>26</v>
      </c>
      <c r="E104" t="s">
        <v>27</v>
      </c>
      <c r="F104" t="s">
        <v>58</v>
      </c>
      <c r="G104" s="8">
        <v>3.7999999999999999E-2</v>
      </c>
      <c r="H104" s="25">
        <v>4.25</v>
      </c>
    </row>
    <row r="105" spans="1:8" x14ac:dyDescent="0.3">
      <c r="A105">
        <v>202604</v>
      </c>
      <c r="B105" t="s">
        <v>41</v>
      </c>
      <c r="C105">
        <v>1755713126</v>
      </c>
      <c r="D105" t="s">
        <v>26</v>
      </c>
      <c r="E105" t="s">
        <v>27</v>
      </c>
      <c r="F105" t="s">
        <v>58</v>
      </c>
      <c r="G105" s="8">
        <v>0.05</v>
      </c>
      <c r="H105" s="25">
        <v>4.25</v>
      </c>
    </row>
    <row r="106" spans="1:8" x14ac:dyDescent="0.3">
      <c r="A106">
        <v>202604</v>
      </c>
      <c r="B106" t="s">
        <v>41</v>
      </c>
      <c r="C106">
        <v>1755713207</v>
      </c>
      <c r="D106" t="s">
        <v>26</v>
      </c>
      <c r="E106" t="s">
        <v>27</v>
      </c>
      <c r="F106" t="s">
        <v>58</v>
      </c>
      <c r="G106" s="8">
        <v>3.5999999999999997E-2</v>
      </c>
      <c r="H106" s="25">
        <v>4.5</v>
      </c>
    </row>
    <row r="107" spans="1:8" x14ac:dyDescent="0.3">
      <c r="A107">
        <v>202604</v>
      </c>
      <c r="B107" t="s">
        <v>41</v>
      </c>
      <c r="C107">
        <v>1755733290</v>
      </c>
      <c r="D107" t="s">
        <v>26</v>
      </c>
      <c r="E107" t="s">
        <v>38</v>
      </c>
      <c r="F107" t="s">
        <v>60</v>
      </c>
      <c r="G107" s="8">
        <v>0.58905801000000002</v>
      </c>
      <c r="H107" s="25">
        <v>0.95</v>
      </c>
    </row>
    <row r="108" spans="1:8" x14ac:dyDescent="0.3">
      <c r="A108">
        <v>202604</v>
      </c>
      <c r="B108" t="s">
        <v>41</v>
      </c>
      <c r="C108">
        <v>1755754582</v>
      </c>
      <c r="D108" t="s">
        <v>26</v>
      </c>
      <c r="E108" t="s">
        <v>27</v>
      </c>
      <c r="F108" t="s">
        <v>58</v>
      </c>
      <c r="G108" s="8">
        <v>6.0999999999999999E-2</v>
      </c>
      <c r="H108" s="25">
        <v>4.5</v>
      </c>
    </row>
    <row r="109" spans="1:8" x14ac:dyDescent="0.3">
      <c r="A109">
        <v>202604</v>
      </c>
      <c r="B109" t="s">
        <v>41</v>
      </c>
      <c r="C109">
        <v>1755754639</v>
      </c>
      <c r="D109" t="s">
        <v>26</v>
      </c>
      <c r="E109" t="s">
        <v>27</v>
      </c>
      <c r="F109" t="s">
        <v>58</v>
      </c>
      <c r="G109" s="8">
        <v>6.6000000000000003E-2</v>
      </c>
      <c r="H109" s="25">
        <v>4.25</v>
      </c>
    </row>
    <row r="110" spans="1:8" x14ac:dyDescent="0.3">
      <c r="A110">
        <v>202604</v>
      </c>
      <c r="B110" t="s">
        <v>41</v>
      </c>
      <c r="C110">
        <v>1755754698</v>
      </c>
      <c r="D110" t="s">
        <v>26</v>
      </c>
      <c r="E110" t="s">
        <v>27</v>
      </c>
      <c r="F110" t="s">
        <v>58</v>
      </c>
      <c r="G110" s="8">
        <v>3.5000000000000003E-2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1755764260</v>
      </c>
      <c r="D111" t="s">
        <v>21</v>
      </c>
      <c r="E111" t="s">
        <v>27</v>
      </c>
      <c r="F111" t="s">
        <v>61</v>
      </c>
      <c r="G111" s="8">
        <v>0.30658569000000002</v>
      </c>
      <c r="H111" s="25">
        <v>0.7</v>
      </c>
    </row>
    <row r="112" spans="1:8" x14ac:dyDescent="0.3">
      <c r="A112">
        <v>202604</v>
      </c>
      <c r="B112" t="s">
        <v>41</v>
      </c>
      <c r="C112">
        <v>1755776250</v>
      </c>
      <c r="D112" t="s">
        <v>21</v>
      </c>
      <c r="E112" t="s">
        <v>38</v>
      </c>
      <c r="F112" t="s">
        <v>61</v>
      </c>
      <c r="G112" s="8">
        <v>0.72129954399999996</v>
      </c>
      <c r="H112" s="25">
        <v>0.51</v>
      </c>
    </row>
    <row r="113" spans="1:8" x14ac:dyDescent="0.3">
      <c r="A113">
        <v>202604</v>
      </c>
      <c r="B113" t="s">
        <v>41</v>
      </c>
      <c r="C113">
        <v>1755783639</v>
      </c>
      <c r="D113" t="s">
        <v>21</v>
      </c>
      <c r="E113" t="s">
        <v>27</v>
      </c>
      <c r="F113" t="s">
        <v>57</v>
      </c>
      <c r="G113" s="8">
        <v>0.34399999999999997</v>
      </c>
      <c r="H113" s="25">
        <v>5.55</v>
      </c>
    </row>
    <row r="114" spans="1:8" x14ac:dyDescent="0.3">
      <c r="A114">
        <v>202604</v>
      </c>
      <c r="B114" t="s">
        <v>41</v>
      </c>
      <c r="C114">
        <v>1755815130</v>
      </c>
      <c r="D114" t="s">
        <v>26</v>
      </c>
      <c r="E114" t="s">
        <v>27</v>
      </c>
      <c r="F114" t="s">
        <v>62</v>
      </c>
      <c r="G114" s="8">
        <v>0.25</v>
      </c>
      <c r="H114" s="25">
        <v>4.8</v>
      </c>
    </row>
    <row r="115" spans="1:8" x14ac:dyDescent="0.3">
      <c r="A115">
        <v>202604</v>
      </c>
      <c r="B115" t="s">
        <v>41</v>
      </c>
      <c r="C115">
        <v>1755849320</v>
      </c>
      <c r="D115" t="s">
        <v>26</v>
      </c>
      <c r="E115" t="s">
        <v>27</v>
      </c>
      <c r="F115" t="s">
        <v>58</v>
      </c>
      <c r="G115" s="8">
        <v>3.9E-2</v>
      </c>
      <c r="H115" s="25">
        <v>4.5</v>
      </c>
    </row>
    <row r="116" spans="1:8" x14ac:dyDescent="0.3">
      <c r="A116">
        <v>202604</v>
      </c>
      <c r="B116" t="s">
        <v>41</v>
      </c>
      <c r="C116">
        <v>1755849443</v>
      </c>
      <c r="D116" t="s">
        <v>26</v>
      </c>
      <c r="E116" t="s">
        <v>27</v>
      </c>
      <c r="F116" t="s">
        <v>58</v>
      </c>
      <c r="G116" s="8">
        <v>4.1000000000000002E-2</v>
      </c>
      <c r="H116" s="25">
        <v>4.25</v>
      </c>
    </row>
    <row r="117" spans="1:8" x14ac:dyDescent="0.3">
      <c r="A117">
        <v>202604</v>
      </c>
      <c r="B117" t="s">
        <v>41</v>
      </c>
      <c r="C117">
        <v>1755849540</v>
      </c>
      <c r="D117" t="s">
        <v>26</v>
      </c>
      <c r="E117" t="s">
        <v>27</v>
      </c>
      <c r="F117" t="s">
        <v>58</v>
      </c>
      <c r="G117" s="8">
        <v>0.06</v>
      </c>
      <c r="H117" s="25">
        <v>4.25</v>
      </c>
    </row>
    <row r="118" spans="1:8" x14ac:dyDescent="0.3">
      <c r="A118">
        <v>202604</v>
      </c>
      <c r="B118" t="s">
        <v>41</v>
      </c>
      <c r="C118">
        <v>1755862539</v>
      </c>
      <c r="D118" t="s">
        <v>21</v>
      </c>
      <c r="E118" t="s">
        <v>27</v>
      </c>
      <c r="F118" t="s">
        <v>63</v>
      </c>
      <c r="G118" s="8">
        <v>0.28127999999999997</v>
      </c>
      <c r="H118" s="25">
        <v>2.35</v>
      </c>
    </row>
    <row r="119" spans="1:8" x14ac:dyDescent="0.3">
      <c r="A119">
        <v>202604</v>
      </c>
      <c r="B119" t="s">
        <v>41</v>
      </c>
      <c r="C119">
        <v>1755867972</v>
      </c>
      <c r="D119" t="s">
        <v>21</v>
      </c>
      <c r="E119" t="s">
        <v>27</v>
      </c>
      <c r="F119" t="s">
        <v>64</v>
      </c>
      <c r="G119" s="8">
        <v>0.17580000000000001</v>
      </c>
      <c r="H119" s="25">
        <v>4.9000000000000004</v>
      </c>
    </row>
    <row r="120" spans="1:8" x14ac:dyDescent="0.3">
      <c r="A120">
        <v>202604</v>
      </c>
      <c r="B120" t="s">
        <v>41</v>
      </c>
      <c r="C120">
        <v>1755868383</v>
      </c>
      <c r="D120" t="s">
        <v>26</v>
      </c>
      <c r="E120" t="s">
        <v>38</v>
      </c>
      <c r="F120" t="s">
        <v>65</v>
      </c>
      <c r="G120" s="8">
        <v>0.13717810999999999</v>
      </c>
      <c r="H120" s="25">
        <v>2.5499999999999998</v>
      </c>
    </row>
    <row r="121" spans="1:8" x14ac:dyDescent="0.3">
      <c r="A121">
        <v>202604</v>
      </c>
      <c r="B121" t="s">
        <v>41</v>
      </c>
      <c r="C121">
        <v>1755868413</v>
      </c>
      <c r="D121" t="s">
        <v>21</v>
      </c>
      <c r="E121" t="s">
        <v>27</v>
      </c>
      <c r="F121" t="s">
        <v>66</v>
      </c>
      <c r="G121" s="8">
        <v>0.879</v>
      </c>
      <c r="H121" s="25">
        <v>1.3</v>
      </c>
    </row>
    <row r="122" spans="1:8" x14ac:dyDescent="0.3">
      <c r="A122">
        <v>202604</v>
      </c>
      <c r="B122" t="s">
        <v>41</v>
      </c>
      <c r="C122">
        <v>1755870272</v>
      </c>
      <c r="D122" t="s">
        <v>21</v>
      </c>
      <c r="E122" t="s">
        <v>27</v>
      </c>
      <c r="F122" t="s">
        <v>63</v>
      </c>
      <c r="G122" s="8">
        <v>0.24689</v>
      </c>
      <c r="H122" s="25">
        <v>2.35</v>
      </c>
    </row>
    <row r="123" spans="1:8" x14ac:dyDescent="0.3">
      <c r="A123">
        <v>202604</v>
      </c>
      <c r="B123" t="s">
        <v>41</v>
      </c>
      <c r="C123">
        <v>1755871058</v>
      </c>
      <c r="D123" t="s">
        <v>26</v>
      </c>
      <c r="E123" t="s">
        <v>27</v>
      </c>
      <c r="F123" t="s">
        <v>58</v>
      </c>
      <c r="G123" s="8">
        <v>0.03</v>
      </c>
      <c r="H123" s="25">
        <v>4.25</v>
      </c>
    </row>
    <row r="124" spans="1:8" x14ac:dyDescent="0.3">
      <c r="A124">
        <v>202604</v>
      </c>
      <c r="B124" t="s">
        <v>41</v>
      </c>
      <c r="C124">
        <v>1755871287</v>
      </c>
      <c r="D124" t="s">
        <v>26</v>
      </c>
      <c r="E124" t="s">
        <v>27</v>
      </c>
      <c r="F124" t="s">
        <v>58</v>
      </c>
      <c r="G124" s="8">
        <v>3.5000000000000003E-2</v>
      </c>
      <c r="H124" s="25">
        <v>4.25</v>
      </c>
    </row>
    <row r="125" spans="1:8" x14ac:dyDescent="0.3">
      <c r="A125">
        <v>202604</v>
      </c>
      <c r="B125" t="s">
        <v>41</v>
      </c>
      <c r="C125">
        <v>1755871317</v>
      </c>
      <c r="D125" t="s">
        <v>26</v>
      </c>
      <c r="E125" t="s">
        <v>27</v>
      </c>
      <c r="F125" t="s">
        <v>58</v>
      </c>
      <c r="G125" s="8">
        <v>3.6999999999999998E-2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1755879075</v>
      </c>
      <c r="D126" t="s">
        <v>21</v>
      </c>
      <c r="E126" t="s">
        <v>22</v>
      </c>
      <c r="F126" t="s">
        <v>67</v>
      </c>
      <c r="G126" s="8">
        <v>0.10581</v>
      </c>
      <c r="H126" s="25">
        <v>5.65</v>
      </c>
    </row>
    <row r="127" spans="1:8" x14ac:dyDescent="0.3">
      <c r="A127">
        <v>202604</v>
      </c>
      <c r="B127" t="s">
        <v>41</v>
      </c>
      <c r="C127">
        <v>1755879105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1755879120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1755879156</v>
      </c>
      <c r="D129" t="s">
        <v>21</v>
      </c>
      <c r="E129" t="s">
        <v>22</v>
      </c>
      <c r="F129" t="s">
        <v>67</v>
      </c>
      <c r="G129" s="8">
        <v>3.5270000000000003E-2</v>
      </c>
      <c r="H129" s="25">
        <v>5.65</v>
      </c>
    </row>
    <row r="130" spans="1:8" x14ac:dyDescent="0.3">
      <c r="A130">
        <v>202604</v>
      </c>
      <c r="B130" t="s">
        <v>41</v>
      </c>
      <c r="C130">
        <v>1755881680</v>
      </c>
      <c r="D130" t="s">
        <v>26</v>
      </c>
      <c r="E130" t="s">
        <v>27</v>
      </c>
      <c r="F130" t="s">
        <v>58</v>
      </c>
      <c r="G130" s="8">
        <v>6.8000000000000005E-2</v>
      </c>
      <c r="H130" s="25">
        <v>4</v>
      </c>
    </row>
    <row r="131" spans="1:8" x14ac:dyDescent="0.3">
      <c r="A131">
        <v>202604</v>
      </c>
      <c r="B131" t="s">
        <v>41</v>
      </c>
      <c r="C131">
        <v>1755881843</v>
      </c>
      <c r="D131" t="s">
        <v>26</v>
      </c>
      <c r="E131" t="s">
        <v>27</v>
      </c>
      <c r="F131" t="s">
        <v>58</v>
      </c>
      <c r="G131" s="8">
        <v>7.0000000000000007E-2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1755881894</v>
      </c>
      <c r="D132" t="s">
        <v>26</v>
      </c>
      <c r="E132" t="s">
        <v>27</v>
      </c>
      <c r="F132" t="s">
        <v>58</v>
      </c>
      <c r="G132" s="8">
        <v>7.1999999999999995E-2</v>
      </c>
      <c r="H132" s="25">
        <v>3.75</v>
      </c>
    </row>
    <row r="133" spans="1:8" x14ac:dyDescent="0.3">
      <c r="A133">
        <v>202604</v>
      </c>
      <c r="B133" t="s">
        <v>41</v>
      </c>
      <c r="C133">
        <v>1755881924</v>
      </c>
      <c r="D133" t="s">
        <v>26</v>
      </c>
      <c r="E133" t="s">
        <v>27</v>
      </c>
      <c r="F133" t="s">
        <v>58</v>
      </c>
      <c r="G133" s="8">
        <v>0.14000000000000001</v>
      </c>
      <c r="H133" s="25">
        <v>3.75</v>
      </c>
    </row>
    <row r="134" spans="1:8" x14ac:dyDescent="0.3">
      <c r="A134">
        <v>202604</v>
      </c>
      <c r="B134" t="s">
        <v>41</v>
      </c>
      <c r="C134">
        <v>1755895402</v>
      </c>
      <c r="D134" t="s">
        <v>21</v>
      </c>
      <c r="E134" t="s">
        <v>38</v>
      </c>
      <c r="F134" t="s">
        <v>61</v>
      </c>
      <c r="G134" s="8">
        <v>0.49396919162000003</v>
      </c>
      <c r="H134" s="25">
        <v>1.2</v>
      </c>
    </row>
    <row r="135" spans="1:8" x14ac:dyDescent="0.3">
      <c r="A135">
        <v>202604</v>
      </c>
      <c r="B135" t="s">
        <v>42</v>
      </c>
      <c r="C135">
        <v>1751372057</v>
      </c>
      <c r="D135" t="s">
        <v>21</v>
      </c>
      <c r="E135" t="s">
        <v>22</v>
      </c>
      <c r="F135" t="s">
        <v>147</v>
      </c>
      <c r="G135" s="8">
        <v>0.10473</v>
      </c>
      <c r="H135" s="25">
        <v>8</v>
      </c>
    </row>
    <row r="136" spans="1:8" x14ac:dyDescent="0.3">
      <c r="A136">
        <v>202604</v>
      </c>
      <c r="B136" t="s">
        <v>42</v>
      </c>
      <c r="C136">
        <v>1755674538</v>
      </c>
      <c r="D136" t="s">
        <v>26</v>
      </c>
      <c r="E136" t="s">
        <v>27</v>
      </c>
      <c r="F136" t="s">
        <v>149</v>
      </c>
      <c r="G136" s="8">
        <v>0.43172500000000003</v>
      </c>
      <c r="H136" s="25">
        <v>3.19</v>
      </c>
    </row>
    <row r="137" spans="1:8" x14ac:dyDescent="0.3">
      <c r="A137">
        <v>202604</v>
      </c>
      <c r="B137" t="s">
        <v>42</v>
      </c>
      <c r="C137">
        <v>1755732902</v>
      </c>
      <c r="D137" t="s">
        <v>21</v>
      </c>
      <c r="E137" t="s">
        <v>68</v>
      </c>
      <c r="F137" t="s">
        <v>147</v>
      </c>
      <c r="G137" s="8">
        <v>0.85799999999999998</v>
      </c>
      <c r="H137" s="25">
        <v>6.1</v>
      </c>
    </row>
    <row r="138" spans="1:8" x14ac:dyDescent="0.3">
      <c r="A138">
        <v>202604</v>
      </c>
      <c r="B138" t="s">
        <v>42</v>
      </c>
      <c r="C138">
        <v>1755771169</v>
      </c>
      <c r="D138" t="s">
        <v>21</v>
      </c>
      <c r="E138" t="s">
        <v>27</v>
      </c>
      <c r="F138" t="s">
        <v>150</v>
      </c>
      <c r="G138" s="8">
        <v>2.0621999999999998</v>
      </c>
      <c r="H138" s="25">
        <v>1.45</v>
      </c>
    </row>
    <row r="139" spans="1:8" x14ac:dyDescent="0.3">
      <c r="A139">
        <v>202604</v>
      </c>
      <c r="B139" t="s">
        <v>42</v>
      </c>
      <c r="C139">
        <v>1755771894</v>
      </c>
      <c r="D139" t="s">
        <v>21</v>
      </c>
      <c r="E139" t="s">
        <v>22</v>
      </c>
      <c r="F139" t="s">
        <v>150</v>
      </c>
      <c r="G139" s="8">
        <v>0.34370000000000001</v>
      </c>
      <c r="H139" s="25">
        <v>1.45</v>
      </c>
    </row>
    <row r="140" spans="1:8" x14ac:dyDescent="0.3">
      <c r="A140">
        <v>202604</v>
      </c>
      <c r="B140" t="s">
        <v>42</v>
      </c>
      <c r="C140">
        <v>1755771959</v>
      </c>
      <c r="D140" t="s">
        <v>21</v>
      </c>
      <c r="E140" t="s">
        <v>22</v>
      </c>
      <c r="F140" t="s">
        <v>147</v>
      </c>
      <c r="G140" s="8">
        <v>0.29970640000000004</v>
      </c>
      <c r="H140" s="25">
        <v>7.95</v>
      </c>
    </row>
    <row r="141" spans="1:8" x14ac:dyDescent="0.3">
      <c r="A141">
        <v>202604</v>
      </c>
      <c r="B141" t="s">
        <v>42</v>
      </c>
      <c r="C141">
        <v>1755784694</v>
      </c>
      <c r="D141" t="s">
        <v>21</v>
      </c>
      <c r="E141" t="s">
        <v>22</v>
      </c>
      <c r="F141" t="s">
        <v>148</v>
      </c>
      <c r="G141" s="8">
        <v>1.72</v>
      </c>
      <c r="H141" s="25">
        <v>1.98</v>
      </c>
    </row>
    <row r="142" spans="1:8" x14ac:dyDescent="0.3">
      <c r="A142">
        <v>202604</v>
      </c>
      <c r="B142" t="s">
        <v>42</v>
      </c>
      <c r="C142">
        <v>1755818343</v>
      </c>
      <c r="D142" t="s">
        <v>26</v>
      </c>
      <c r="E142" t="s">
        <v>27</v>
      </c>
      <c r="F142" t="s">
        <v>149</v>
      </c>
      <c r="G142" s="8">
        <v>0.21465699999999999</v>
      </c>
      <c r="H142" s="25">
        <v>3.45</v>
      </c>
    </row>
    <row r="143" spans="1:8" x14ac:dyDescent="0.3">
      <c r="A143">
        <v>202604</v>
      </c>
      <c r="B143" t="s">
        <v>42</v>
      </c>
      <c r="C143">
        <v>1755884370</v>
      </c>
      <c r="D143" t="s">
        <v>26</v>
      </c>
      <c r="E143" t="s">
        <v>38</v>
      </c>
      <c r="F143" t="s">
        <v>151</v>
      </c>
      <c r="G143" s="8">
        <v>0.31010367</v>
      </c>
      <c r="H143" s="25">
        <v>6.55</v>
      </c>
    </row>
    <row r="144" spans="1:8" x14ac:dyDescent="0.3">
      <c r="A144">
        <v>202604</v>
      </c>
      <c r="B144" t="s">
        <v>44</v>
      </c>
      <c r="C144">
        <v>1755675828</v>
      </c>
      <c r="D144" t="s">
        <v>21</v>
      </c>
      <c r="E144" t="s">
        <v>27</v>
      </c>
      <c r="F144" t="s">
        <v>152</v>
      </c>
      <c r="G144" s="8">
        <v>0.3382</v>
      </c>
      <c r="H144" s="25">
        <v>3.9</v>
      </c>
    </row>
    <row r="145" spans="1:8" x14ac:dyDescent="0.3">
      <c r="A145">
        <v>202604</v>
      </c>
      <c r="B145" t="s">
        <v>44</v>
      </c>
      <c r="C145">
        <v>1755878460</v>
      </c>
      <c r="D145" t="s">
        <v>21</v>
      </c>
      <c r="E145" t="s">
        <v>68</v>
      </c>
      <c r="F145" t="s">
        <v>153</v>
      </c>
      <c r="G145" s="8">
        <v>0.22745623000000001</v>
      </c>
      <c r="H145" s="25">
        <v>1.5</v>
      </c>
    </row>
    <row r="146" spans="1:8" x14ac:dyDescent="0.3">
      <c r="A146">
        <v>202604</v>
      </c>
      <c r="B146" t="s">
        <v>36</v>
      </c>
      <c r="C146">
        <v>1755820453</v>
      </c>
      <c r="D146" t="s">
        <v>21</v>
      </c>
      <c r="E146" t="s">
        <v>27</v>
      </c>
      <c r="F146" t="s">
        <v>154</v>
      </c>
      <c r="G146" s="8">
        <v>0.350773</v>
      </c>
      <c r="H146" s="25">
        <v>5</v>
      </c>
    </row>
    <row r="147" spans="1:8" x14ac:dyDescent="0.3">
      <c r="A147">
        <v>202604</v>
      </c>
      <c r="B147" t="s">
        <v>36</v>
      </c>
      <c r="C147">
        <v>1755848595</v>
      </c>
      <c r="D147" t="s">
        <v>21</v>
      </c>
      <c r="E147" t="s">
        <v>22</v>
      </c>
      <c r="F147" t="s">
        <v>155</v>
      </c>
      <c r="G147" s="8">
        <v>1.7524999999999999</v>
      </c>
      <c r="H147" s="25">
        <v>3.8</v>
      </c>
    </row>
    <row r="148" spans="1:8" x14ac:dyDescent="0.3">
      <c r="A148">
        <v>202604</v>
      </c>
      <c r="B148" t="s">
        <v>36</v>
      </c>
      <c r="C148">
        <v>1755888635</v>
      </c>
      <c r="D148" t="s">
        <v>21</v>
      </c>
      <c r="E148" t="s">
        <v>22</v>
      </c>
      <c r="F148" t="s">
        <v>156</v>
      </c>
      <c r="G148" s="8">
        <v>2.1101999999999999</v>
      </c>
      <c r="H148" s="25">
        <v>2.52</v>
      </c>
    </row>
    <row r="149" spans="1:8" x14ac:dyDescent="0.3">
      <c r="A149">
        <v>202604</v>
      </c>
      <c r="B149" t="s">
        <v>36</v>
      </c>
      <c r="C149">
        <v>1755891687</v>
      </c>
      <c r="D149" t="s">
        <v>21</v>
      </c>
      <c r="E149" t="s">
        <v>27</v>
      </c>
      <c r="F149" t="s">
        <v>157</v>
      </c>
      <c r="G149" s="8">
        <v>1.4068000000000001</v>
      </c>
      <c r="H149" s="25">
        <v>2.5499999999999998</v>
      </c>
    </row>
    <row r="150" spans="1:8" x14ac:dyDescent="0.3">
      <c r="A150">
        <v>202604</v>
      </c>
      <c r="B150" t="s">
        <v>37</v>
      </c>
      <c r="C150">
        <v>1751388476</v>
      </c>
      <c r="D150" t="s">
        <v>26</v>
      </c>
      <c r="E150" t="s">
        <v>22</v>
      </c>
      <c r="F150" t="s">
        <v>158</v>
      </c>
      <c r="G150" s="8">
        <v>0.22</v>
      </c>
      <c r="H150" s="25">
        <v>3.6</v>
      </c>
    </row>
    <row r="151" spans="1:8" x14ac:dyDescent="0.3">
      <c r="A151">
        <v>202604</v>
      </c>
      <c r="B151" t="s">
        <v>37</v>
      </c>
      <c r="C151">
        <v>1751388610</v>
      </c>
      <c r="D151" t="s">
        <v>26</v>
      </c>
      <c r="E151" t="s">
        <v>22</v>
      </c>
      <c r="F151" t="s">
        <v>158</v>
      </c>
      <c r="G151" s="8">
        <v>0.14899999999999999</v>
      </c>
      <c r="H151" s="25">
        <v>3.6</v>
      </c>
    </row>
    <row r="152" spans="1:8" x14ac:dyDescent="0.3">
      <c r="A152">
        <v>202604</v>
      </c>
      <c r="B152" t="s">
        <v>37</v>
      </c>
      <c r="C152">
        <v>1751388654</v>
      </c>
      <c r="D152" t="s">
        <v>26</v>
      </c>
      <c r="E152" t="s">
        <v>22</v>
      </c>
      <c r="F152" t="s">
        <v>158</v>
      </c>
      <c r="G152" s="8">
        <v>0.25</v>
      </c>
      <c r="H152" s="25">
        <v>3.6</v>
      </c>
    </row>
    <row r="153" spans="1:8" x14ac:dyDescent="0.3">
      <c r="A153">
        <v>202604</v>
      </c>
      <c r="B153" t="s">
        <v>37</v>
      </c>
      <c r="C153">
        <v>1751396118</v>
      </c>
      <c r="D153" t="s">
        <v>21</v>
      </c>
      <c r="E153" t="s">
        <v>22</v>
      </c>
      <c r="F153" t="s">
        <v>159</v>
      </c>
      <c r="G153" s="8">
        <v>0.367759</v>
      </c>
      <c r="H153" s="25">
        <v>5.15</v>
      </c>
    </row>
    <row r="154" spans="1:8" x14ac:dyDescent="0.3">
      <c r="A154">
        <v>202604</v>
      </c>
      <c r="B154" t="s">
        <v>37</v>
      </c>
      <c r="C154">
        <v>1751417239</v>
      </c>
      <c r="D154" t="s">
        <v>26</v>
      </c>
      <c r="E154" t="s">
        <v>22</v>
      </c>
      <c r="F154" t="s">
        <v>160</v>
      </c>
      <c r="G154" s="8">
        <v>0.34</v>
      </c>
      <c r="H154" s="25">
        <v>1.3</v>
      </c>
    </row>
    <row r="155" spans="1:8" x14ac:dyDescent="0.3">
      <c r="A155">
        <v>202604</v>
      </c>
      <c r="B155" t="s">
        <v>37</v>
      </c>
      <c r="C155">
        <v>1755670280</v>
      </c>
      <c r="D155" t="s">
        <v>21</v>
      </c>
      <c r="E155" t="s">
        <v>22</v>
      </c>
      <c r="F155" t="s">
        <v>159</v>
      </c>
      <c r="G155" s="8">
        <v>0.38893</v>
      </c>
      <c r="H155" s="25">
        <v>5.15</v>
      </c>
    </row>
    <row r="156" spans="1:8" x14ac:dyDescent="0.3">
      <c r="A156">
        <v>202604</v>
      </c>
      <c r="B156" t="s">
        <v>37</v>
      </c>
      <c r="C156">
        <v>1755691130</v>
      </c>
      <c r="D156" t="s">
        <v>26</v>
      </c>
      <c r="E156" t="s">
        <v>22</v>
      </c>
      <c r="F156" t="s">
        <v>161</v>
      </c>
      <c r="G156" s="8">
        <v>0.15</v>
      </c>
      <c r="H156" s="25">
        <v>3.65</v>
      </c>
    </row>
    <row r="157" spans="1:8" x14ac:dyDescent="0.3">
      <c r="A157">
        <v>202604</v>
      </c>
      <c r="B157" t="s">
        <v>37</v>
      </c>
      <c r="C157">
        <v>1755697350</v>
      </c>
      <c r="D157" t="s">
        <v>26</v>
      </c>
      <c r="E157" t="s">
        <v>22</v>
      </c>
      <c r="F157" t="s">
        <v>162</v>
      </c>
      <c r="G157" s="8">
        <v>0.161</v>
      </c>
      <c r="H157" s="25">
        <v>4.55</v>
      </c>
    </row>
    <row r="158" spans="1:8" x14ac:dyDescent="0.3">
      <c r="A158">
        <v>202604</v>
      </c>
      <c r="B158" t="s">
        <v>37</v>
      </c>
      <c r="C158">
        <v>1755707436</v>
      </c>
      <c r="D158" t="s">
        <v>21</v>
      </c>
      <c r="E158" t="s">
        <v>22</v>
      </c>
      <c r="F158" t="s">
        <v>163</v>
      </c>
      <c r="G158" s="8">
        <v>1.347628</v>
      </c>
      <c r="H158" s="25">
        <v>1.1000000000000001</v>
      </c>
    </row>
    <row r="159" spans="1:8" x14ac:dyDescent="0.3">
      <c r="A159">
        <v>202604</v>
      </c>
      <c r="B159" t="s">
        <v>37</v>
      </c>
      <c r="C159">
        <v>1755710739</v>
      </c>
      <c r="D159" t="s">
        <v>26</v>
      </c>
      <c r="E159" t="s">
        <v>22</v>
      </c>
      <c r="F159" t="s">
        <v>164</v>
      </c>
      <c r="G159" s="8">
        <v>1.6</v>
      </c>
      <c r="H159" s="25">
        <v>1.7</v>
      </c>
    </row>
    <row r="160" spans="1:8" x14ac:dyDescent="0.3">
      <c r="A160">
        <v>202604</v>
      </c>
      <c r="B160" t="s">
        <v>37</v>
      </c>
      <c r="C160">
        <v>1755755406</v>
      </c>
      <c r="D160" t="s">
        <v>26</v>
      </c>
      <c r="E160" t="s">
        <v>22</v>
      </c>
      <c r="F160" t="s">
        <v>161</v>
      </c>
      <c r="G160" s="8">
        <v>0.18</v>
      </c>
      <c r="H160" s="25">
        <v>3.65</v>
      </c>
    </row>
    <row r="161" spans="1:8" x14ac:dyDescent="0.3">
      <c r="A161">
        <v>202604</v>
      </c>
      <c r="B161" t="s">
        <v>37</v>
      </c>
      <c r="C161">
        <v>1755770073</v>
      </c>
      <c r="D161" t="s">
        <v>26</v>
      </c>
      <c r="E161" t="s">
        <v>22</v>
      </c>
      <c r="F161" t="s">
        <v>165</v>
      </c>
      <c r="G161" s="8">
        <v>0.4</v>
      </c>
      <c r="H161" s="25">
        <v>1</v>
      </c>
    </row>
    <row r="162" spans="1:8" x14ac:dyDescent="0.3">
      <c r="A162">
        <v>202604</v>
      </c>
      <c r="B162" t="s">
        <v>37</v>
      </c>
      <c r="C162">
        <v>1755779097</v>
      </c>
      <c r="D162" t="s">
        <v>21</v>
      </c>
      <c r="E162" t="s">
        <v>27</v>
      </c>
      <c r="F162" t="s">
        <v>166</v>
      </c>
      <c r="G162" s="8">
        <v>0.35432000000000002</v>
      </c>
      <c r="H162" s="25">
        <v>3.5</v>
      </c>
    </row>
    <row r="163" spans="1:8" x14ac:dyDescent="0.3">
      <c r="A163">
        <v>202604</v>
      </c>
      <c r="B163" t="s">
        <v>37</v>
      </c>
      <c r="C163">
        <v>1755779623</v>
      </c>
      <c r="D163" t="s">
        <v>26</v>
      </c>
      <c r="E163" t="s">
        <v>22</v>
      </c>
      <c r="F163" t="s">
        <v>167</v>
      </c>
      <c r="G163" s="8">
        <v>1</v>
      </c>
      <c r="H163" s="25">
        <v>0.7</v>
      </c>
    </row>
    <row r="164" spans="1:8" x14ac:dyDescent="0.3">
      <c r="A164">
        <v>202604</v>
      </c>
      <c r="B164" t="s">
        <v>37</v>
      </c>
      <c r="C164">
        <v>1755781008</v>
      </c>
      <c r="D164" t="s">
        <v>26</v>
      </c>
      <c r="E164" t="s">
        <v>22</v>
      </c>
      <c r="F164" t="s">
        <v>168</v>
      </c>
      <c r="G164" s="8">
        <v>0.15</v>
      </c>
      <c r="H164" s="25">
        <v>8.1999999999999993</v>
      </c>
    </row>
    <row r="165" spans="1:8" x14ac:dyDescent="0.3">
      <c r="A165">
        <v>202604</v>
      </c>
      <c r="B165" t="s">
        <v>37</v>
      </c>
      <c r="C165">
        <v>1755816730</v>
      </c>
      <c r="D165" t="s">
        <v>21</v>
      </c>
      <c r="E165" t="s">
        <v>27</v>
      </c>
      <c r="F165" t="s">
        <v>166</v>
      </c>
      <c r="G165" s="8">
        <v>0.41676000000000002</v>
      </c>
      <c r="H165" s="25">
        <v>3.5</v>
      </c>
    </row>
    <row r="166" spans="1:8" x14ac:dyDescent="0.3">
      <c r="A166">
        <v>202604</v>
      </c>
      <c r="B166" t="s">
        <v>37</v>
      </c>
      <c r="C166">
        <v>1755820615</v>
      </c>
      <c r="D166" t="s">
        <v>21</v>
      </c>
      <c r="E166" t="s">
        <v>27</v>
      </c>
      <c r="F166" t="s">
        <v>169</v>
      </c>
      <c r="G166" s="8">
        <v>6.9459999999999997</v>
      </c>
      <c r="H166" s="25">
        <v>0.2</v>
      </c>
    </row>
    <row r="167" spans="1:8" x14ac:dyDescent="0.3">
      <c r="A167">
        <v>202604</v>
      </c>
      <c r="B167" t="s">
        <v>37</v>
      </c>
      <c r="C167">
        <v>1755849760</v>
      </c>
      <c r="D167" t="s">
        <v>26</v>
      </c>
      <c r="E167" t="s">
        <v>22</v>
      </c>
      <c r="F167" t="s">
        <v>161</v>
      </c>
      <c r="G167" s="8">
        <v>0.2</v>
      </c>
      <c r="H167" s="25">
        <v>3.65</v>
      </c>
    </row>
    <row r="168" spans="1:8" x14ac:dyDescent="0.3">
      <c r="A168">
        <v>202604</v>
      </c>
      <c r="B168" t="s">
        <v>37</v>
      </c>
      <c r="C168">
        <v>1755863357</v>
      </c>
      <c r="D168" t="s">
        <v>26</v>
      </c>
      <c r="E168" t="s">
        <v>22</v>
      </c>
      <c r="F168" t="s">
        <v>170</v>
      </c>
      <c r="G168" s="8">
        <v>0.35</v>
      </c>
      <c r="H168" s="25">
        <v>1.55</v>
      </c>
    </row>
    <row r="169" spans="1:8" x14ac:dyDescent="0.3">
      <c r="A169">
        <v>202604</v>
      </c>
      <c r="B169" t="s">
        <v>37</v>
      </c>
      <c r="C169">
        <v>1755863446</v>
      </c>
      <c r="D169" t="s">
        <v>26</v>
      </c>
      <c r="E169" t="s">
        <v>22</v>
      </c>
      <c r="F169" t="s">
        <v>170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1755891296</v>
      </c>
      <c r="D170" t="s">
        <v>21</v>
      </c>
      <c r="E170" t="s">
        <v>27</v>
      </c>
      <c r="F170" t="s">
        <v>166</v>
      </c>
      <c r="G170" s="8">
        <v>0.42204000000000003</v>
      </c>
      <c r="H170" s="25">
        <v>3.5</v>
      </c>
    </row>
    <row r="171" spans="1:8" x14ac:dyDescent="0.3">
      <c r="A171">
        <v>202604</v>
      </c>
      <c r="B171" t="s">
        <v>46</v>
      </c>
      <c r="C171">
        <v>1751416160</v>
      </c>
      <c r="D171" t="s">
        <v>26</v>
      </c>
      <c r="E171" t="s">
        <v>22</v>
      </c>
      <c r="F171" t="s">
        <v>171</v>
      </c>
      <c r="G171" s="8">
        <v>1</v>
      </c>
      <c r="H171" s="25">
        <v>1.1000000000000001</v>
      </c>
    </row>
    <row r="172" spans="1:8" x14ac:dyDescent="0.3">
      <c r="A172">
        <v>202604</v>
      </c>
      <c r="B172" t="s">
        <v>46</v>
      </c>
      <c r="C172">
        <v>1751416488</v>
      </c>
      <c r="D172" t="s">
        <v>26</v>
      </c>
      <c r="E172" t="s">
        <v>22</v>
      </c>
      <c r="F172" t="s">
        <v>171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1755658125</v>
      </c>
      <c r="D173" t="s">
        <v>26</v>
      </c>
      <c r="E173" t="s">
        <v>22</v>
      </c>
      <c r="F173" t="s">
        <v>171</v>
      </c>
      <c r="G173" s="8">
        <v>0.26700000000000002</v>
      </c>
      <c r="H173" s="25">
        <v>1.05</v>
      </c>
    </row>
    <row r="174" spans="1:8" x14ac:dyDescent="0.3">
      <c r="A174">
        <v>202604</v>
      </c>
      <c r="B174" t="s">
        <v>46</v>
      </c>
      <c r="C174">
        <v>1755714440</v>
      </c>
      <c r="D174" t="s">
        <v>26</v>
      </c>
      <c r="E174" t="s">
        <v>22</v>
      </c>
      <c r="F174" t="s">
        <v>171</v>
      </c>
      <c r="G174" s="8">
        <v>0.5</v>
      </c>
      <c r="H174" s="25">
        <v>1.1000000000000001</v>
      </c>
    </row>
    <row r="175" spans="1:8" x14ac:dyDescent="0.3">
      <c r="A175">
        <v>202604</v>
      </c>
      <c r="B175" t="s">
        <v>46</v>
      </c>
      <c r="C175">
        <v>1755726783</v>
      </c>
      <c r="D175" t="s">
        <v>26</v>
      </c>
      <c r="E175" t="s">
        <v>22</v>
      </c>
      <c r="F175" t="s">
        <v>171</v>
      </c>
      <c r="G175" s="8">
        <v>1.4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1755726929</v>
      </c>
      <c r="D176" t="s">
        <v>26</v>
      </c>
      <c r="E176" t="s">
        <v>22</v>
      </c>
      <c r="F176" t="s">
        <v>171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1755728468</v>
      </c>
      <c r="D177" t="s">
        <v>26</v>
      </c>
      <c r="E177" t="s">
        <v>22</v>
      </c>
      <c r="F177" t="s">
        <v>172</v>
      </c>
      <c r="G177" s="8">
        <v>1</v>
      </c>
      <c r="H177" s="25">
        <v>1.1000000000000001</v>
      </c>
    </row>
    <row r="178" spans="1:8" x14ac:dyDescent="0.3">
      <c r="A178">
        <v>202604</v>
      </c>
      <c r="B178" t="s">
        <v>30</v>
      </c>
      <c r="C178">
        <v>1751370290</v>
      </c>
      <c r="D178" t="s">
        <v>26</v>
      </c>
      <c r="E178" t="s">
        <v>22</v>
      </c>
      <c r="F178" t="s">
        <v>173</v>
      </c>
      <c r="G178" s="8">
        <v>3</v>
      </c>
      <c r="H178" s="25">
        <v>4.1500000000000004</v>
      </c>
    </row>
    <row r="179" spans="1:8" x14ac:dyDescent="0.3">
      <c r="A179">
        <v>202604</v>
      </c>
      <c r="B179" t="s">
        <v>30</v>
      </c>
      <c r="C179">
        <v>1755664079</v>
      </c>
      <c r="D179" t="s">
        <v>21</v>
      </c>
      <c r="E179" t="s">
        <v>22</v>
      </c>
      <c r="F179" t="s">
        <v>174</v>
      </c>
      <c r="G179" s="8">
        <v>2.5350000000000001</v>
      </c>
      <c r="H179" s="25">
        <v>4.7</v>
      </c>
    </row>
    <row r="180" spans="1:8" x14ac:dyDescent="0.3">
      <c r="A180">
        <v>202604</v>
      </c>
      <c r="B180" t="s">
        <v>30</v>
      </c>
      <c r="C180">
        <v>1755752598</v>
      </c>
      <c r="D180" t="s">
        <v>21</v>
      </c>
      <c r="E180" t="s">
        <v>68</v>
      </c>
      <c r="F180" t="s">
        <v>175</v>
      </c>
      <c r="G180" s="8">
        <v>0.94833599999999996</v>
      </c>
      <c r="H180" s="25">
        <v>0.2752</v>
      </c>
    </row>
    <row r="181" spans="1:8" x14ac:dyDescent="0.3">
      <c r="A181">
        <v>202604</v>
      </c>
      <c r="B181" t="s">
        <v>30</v>
      </c>
      <c r="C181">
        <v>1755755510</v>
      </c>
      <c r="D181" t="s">
        <v>26</v>
      </c>
      <c r="E181" t="s">
        <v>22</v>
      </c>
      <c r="F181" t="s">
        <v>176</v>
      </c>
      <c r="G181" s="8">
        <v>3.77</v>
      </c>
      <c r="H181" s="25">
        <v>2.2999999999999998</v>
      </c>
    </row>
    <row r="182" spans="1:8" x14ac:dyDescent="0.3">
      <c r="A182">
        <v>202604</v>
      </c>
      <c r="B182" t="s">
        <v>30</v>
      </c>
      <c r="C182">
        <v>1755763506</v>
      </c>
      <c r="D182" t="s">
        <v>26</v>
      </c>
      <c r="E182" t="s">
        <v>22</v>
      </c>
      <c r="F182" t="s">
        <v>173</v>
      </c>
      <c r="G182" s="8">
        <v>0.7</v>
      </c>
      <c r="H182" s="25">
        <v>4.55</v>
      </c>
    </row>
    <row r="183" spans="1:8" x14ac:dyDescent="0.3">
      <c r="A183">
        <v>202604</v>
      </c>
      <c r="B183" t="s">
        <v>30</v>
      </c>
      <c r="C183">
        <v>1755771665</v>
      </c>
      <c r="D183" t="s">
        <v>21</v>
      </c>
      <c r="E183" t="s">
        <v>27</v>
      </c>
      <c r="F183" t="s">
        <v>177</v>
      </c>
      <c r="G183" s="8">
        <v>2.0759479999999999</v>
      </c>
      <c r="H183" s="25">
        <v>0.6</v>
      </c>
    </row>
    <row r="184" spans="1:8" x14ac:dyDescent="0.3">
      <c r="A184">
        <v>202604</v>
      </c>
      <c r="B184" t="s">
        <v>30</v>
      </c>
      <c r="C184">
        <v>1755774753</v>
      </c>
      <c r="D184" t="s">
        <v>26</v>
      </c>
      <c r="E184" t="s">
        <v>38</v>
      </c>
      <c r="F184" t="s">
        <v>178</v>
      </c>
      <c r="G184" s="8">
        <v>0.20520526</v>
      </c>
      <c r="H184" s="25">
        <v>2.95</v>
      </c>
    </row>
    <row r="185" spans="1:8" x14ac:dyDescent="0.3">
      <c r="A185">
        <v>202604</v>
      </c>
      <c r="B185" t="s">
        <v>30</v>
      </c>
      <c r="C185">
        <v>1755799896</v>
      </c>
      <c r="D185" t="s">
        <v>21</v>
      </c>
      <c r="E185" t="s">
        <v>27</v>
      </c>
      <c r="F185" t="s">
        <v>179</v>
      </c>
      <c r="G185" s="8">
        <v>1.72</v>
      </c>
      <c r="H185" s="25">
        <v>0.6</v>
      </c>
    </row>
    <row r="186" spans="1:8" x14ac:dyDescent="0.3">
      <c r="A186">
        <v>202604</v>
      </c>
      <c r="B186" t="s">
        <v>30</v>
      </c>
      <c r="C186">
        <v>1755809719</v>
      </c>
      <c r="D186" t="s">
        <v>26</v>
      </c>
      <c r="E186" t="s">
        <v>22</v>
      </c>
      <c r="F186" t="s">
        <v>180</v>
      </c>
      <c r="G186" s="8">
        <v>1</v>
      </c>
      <c r="H186" s="25">
        <v>3.55</v>
      </c>
    </row>
    <row r="187" spans="1:8" x14ac:dyDescent="0.3">
      <c r="A187">
        <v>202604</v>
      </c>
      <c r="B187" t="s">
        <v>30</v>
      </c>
      <c r="C187">
        <v>1755813929</v>
      </c>
      <c r="D187" t="s">
        <v>26</v>
      </c>
      <c r="E187" t="s">
        <v>27</v>
      </c>
      <c r="F187" t="s">
        <v>181</v>
      </c>
      <c r="G187" s="8">
        <v>0.69491250999999998</v>
      </c>
      <c r="H187" s="25">
        <v>4.1500000000000004</v>
      </c>
    </row>
    <row r="188" spans="1:8" x14ac:dyDescent="0.3">
      <c r="A188">
        <v>202604</v>
      </c>
      <c r="B188" t="s">
        <v>30</v>
      </c>
      <c r="C188">
        <v>1755814224</v>
      </c>
      <c r="D188" t="s">
        <v>21</v>
      </c>
      <c r="E188" t="s">
        <v>22</v>
      </c>
      <c r="F188" t="s">
        <v>182</v>
      </c>
      <c r="G188" s="8">
        <v>6.9459999999999997</v>
      </c>
      <c r="H188" s="25">
        <v>0.25</v>
      </c>
    </row>
    <row r="189" spans="1:8" x14ac:dyDescent="0.3">
      <c r="A189">
        <v>202604</v>
      </c>
      <c r="B189" t="s">
        <v>30</v>
      </c>
      <c r="C189">
        <v>1755866895</v>
      </c>
      <c r="D189" t="s">
        <v>21</v>
      </c>
      <c r="E189" t="s">
        <v>22</v>
      </c>
      <c r="F189" t="s">
        <v>182</v>
      </c>
      <c r="G189" s="8">
        <v>3.516</v>
      </c>
      <c r="H189" s="25">
        <v>0.25</v>
      </c>
    </row>
    <row r="190" spans="1:8" x14ac:dyDescent="0.3">
      <c r="A190">
        <v>202604</v>
      </c>
      <c r="B190" t="s">
        <v>30</v>
      </c>
      <c r="C190">
        <v>1755883463</v>
      </c>
      <c r="D190" t="s">
        <v>26</v>
      </c>
      <c r="E190" t="s">
        <v>22</v>
      </c>
      <c r="F190" t="s">
        <v>183</v>
      </c>
      <c r="G190" s="8">
        <v>3.34</v>
      </c>
      <c r="H190" s="25">
        <v>3.66</v>
      </c>
    </row>
    <row r="191" spans="1:8" x14ac:dyDescent="0.3">
      <c r="A191">
        <v>202604</v>
      </c>
      <c r="B191" t="s">
        <v>30</v>
      </c>
      <c r="C191">
        <v>1755883757</v>
      </c>
      <c r="D191" t="s">
        <v>21</v>
      </c>
      <c r="E191" t="s">
        <v>27</v>
      </c>
      <c r="F191" t="s">
        <v>184</v>
      </c>
      <c r="G191" s="8">
        <v>3.5169999999999999</v>
      </c>
      <c r="H191" s="25">
        <v>0.48</v>
      </c>
    </row>
    <row r="192" spans="1:8" x14ac:dyDescent="0.3">
      <c r="A192">
        <v>202604</v>
      </c>
      <c r="B192" t="s">
        <v>30</v>
      </c>
      <c r="C192">
        <v>1755883919</v>
      </c>
      <c r="D192" t="s">
        <v>21</v>
      </c>
      <c r="E192" t="s">
        <v>27</v>
      </c>
      <c r="F192" t="s">
        <v>184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43</v>
      </c>
      <c r="C193">
        <v>1751371890</v>
      </c>
      <c r="D193" t="s">
        <v>26</v>
      </c>
      <c r="E193" t="s">
        <v>27</v>
      </c>
      <c r="F193" t="s">
        <v>69</v>
      </c>
      <c r="G193" s="8">
        <v>0.46025899999999997</v>
      </c>
      <c r="H193" s="25">
        <v>1</v>
      </c>
    </row>
    <row r="194" spans="1:8" x14ac:dyDescent="0.3">
      <c r="A194">
        <v>202604</v>
      </c>
      <c r="B194" t="s">
        <v>43</v>
      </c>
      <c r="C194">
        <v>1751389073</v>
      </c>
      <c r="D194" t="s">
        <v>26</v>
      </c>
      <c r="E194" t="s">
        <v>27</v>
      </c>
      <c r="F194" t="s">
        <v>70</v>
      </c>
      <c r="G194" s="8">
        <v>1.1449199999999999</v>
      </c>
      <c r="H194" s="25">
        <v>0.5</v>
      </c>
    </row>
    <row r="195" spans="1:8" x14ac:dyDescent="0.3">
      <c r="A195">
        <v>202604</v>
      </c>
      <c r="B195" t="s">
        <v>43</v>
      </c>
      <c r="C195">
        <v>1751390748</v>
      </c>
      <c r="D195" t="s">
        <v>21</v>
      </c>
      <c r="E195" t="s">
        <v>27</v>
      </c>
      <c r="F195" t="s">
        <v>71</v>
      </c>
      <c r="G195" s="8">
        <v>0.51554999999999995</v>
      </c>
      <c r="H195" s="25">
        <v>1</v>
      </c>
    </row>
    <row r="196" spans="1:8" x14ac:dyDescent="0.3">
      <c r="A196">
        <v>202604</v>
      </c>
      <c r="B196" t="s">
        <v>43</v>
      </c>
      <c r="C196">
        <v>1755659880</v>
      </c>
      <c r="D196" t="s">
        <v>21</v>
      </c>
      <c r="E196" t="s">
        <v>27</v>
      </c>
      <c r="F196" t="s">
        <v>72</v>
      </c>
      <c r="G196" s="8">
        <v>0.59150000000000003</v>
      </c>
      <c r="H196" s="25">
        <v>2.4</v>
      </c>
    </row>
    <row r="197" spans="1:8" x14ac:dyDescent="0.3">
      <c r="A197">
        <v>202604</v>
      </c>
      <c r="B197" t="s">
        <v>43</v>
      </c>
      <c r="C197">
        <v>1755659946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1755706200</v>
      </c>
      <c r="D198" t="s">
        <v>21</v>
      </c>
      <c r="E198" t="s">
        <v>27</v>
      </c>
      <c r="F198" t="s">
        <v>73</v>
      </c>
      <c r="G198" s="8">
        <v>0.13896143999999999</v>
      </c>
      <c r="H198" s="25">
        <v>4.6500000000000004</v>
      </c>
    </row>
    <row r="199" spans="1:8" x14ac:dyDescent="0.3">
      <c r="A199">
        <v>202604</v>
      </c>
      <c r="B199" t="s">
        <v>43</v>
      </c>
      <c r="C199">
        <v>1755717075</v>
      </c>
      <c r="D199" t="s">
        <v>21</v>
      </c>
      <c r="E199" t="s">
        <v>27</v>
      </c>
      <c r="F199" t="s">
        <v>74</v>
      </c>
      <c r="G199" s="8">
        <v>0.68620000000000003</v>
      </c>
      <c r="H199" s="25">
        <v>1.1499999999999999</v>
      </c>
    </row>
    <row r="200" spans="1:8" x14ac:dyDescent="0.3">
      <c r="A200">
        <v>202604</v>
      </c>
      <c r="B200" t="s">
        <v>43</v>
      </c>
      <c r="C200">
        <v>1755727216</v>
      </c>
      <c r="D200" t="s">
        <v>21</v>
      </c>
      <c r="E200" t="s">
        <v>27</v>
      </c>
      <c r="F200" t="s">
        <v>75</v>
      </c>
      <c r="G200" s="8">
        <v>1.0296000000000001</v>
      </c>
      <c r="H200" s="25">
        <v>2.95</v>
      </c>
    </row>
    <row r="201" spans="1:8" x14ac:dyDescent="0.3">
      <c r="A201">
        <v>202604</v>
      </c>
      <c r="B201" t="s">
        <v>43</v>
      </c>
      <c r="C201">
        <v>1755727283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1755727290</v>
      </c>
      <c r="D202" t="s">
        <v>21</v>
      </c>
      <c r="E202" t="s">
        <v>27</v>
      </c>
      <c r="F202" t="s">
        <v>75</v>
      </c>
      <c r="G202" s="8">
        <v>0.68640000000000001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1755741870</v>
      </c>
      <c r="D203" t="s">
        <v>21</v>
      </c>
      <c r="E203" t="s">
        <v>27</v>
      </c>
      <c r="F203" t="s">
        <v>73</v>
      </c>
      <c r="G203" s="8">
        <v>0.21995395740000001</v>
      </c>
      <c r="H203" s="25">
        <v>4.6500000000000004</v>
      </c>
    </row>
    <row r="204" spans="1:8" x14ac:dyDescent="0.3">
      <c r="A204">
        <v>202604</v>
      </c>
      <c r="B204" t="s">
        <v>43</v>
      </c>
      <c r="C204">
        <v>1755742746</v>
      </c>
      <c r="D204" t="s">
        <v>21</v>
      </c>
      <c r="E204" t="s">
        <v>27</v>
      </c>
      <c r="F204" t="s">
        <v>76</v>
      </c>
      <c r="G204" s="8">
        <v>0.51570000000000005</v>
      </c>
      <c r="H204" s="25">
        <v>3.05</v>
      </c>
    </row>
    <row r="205" spans="1:8" x14ac:dyDescent="0.3">
      <c r="A205">
        <v>202604</v>
      </c>
      <c r="B205" t="s">
        <v>43</v>
      </c>
      <c r="C205">
        <v>1755774575</v>
      </c>
      <c r="D205" t="s">
        <v>26</v>
      </c>
      <c r="E205" t="s">
        <v>27</v>
      </c>
      <c r="F205" t="s">
        <v>77</v>
      </c>
      <c r="G205" s="8">
        <v>0.3</v>
      </c>
      <c r="H205" s="25">
        <v>2.2000000000000002</v>
      </c>
    </row>
    <row r="206" spans="1:8" x14ac:dyDescent="0.3">
      <c r="A206">
        <v>202604</v>
      </c>
      <c r="B206" t="s">
        <v>43</v>
      </c>
      <c r="C206">
        <v>1755774613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1755774630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1755781075</v>
      </c>
      <c r="D208" t="s">
        <v>21</v>
      </c>
      <c r="E208" t="s">
        <v>68</v>
      </c>
      <c r="F208" t="s">
        <v>78</v>
      </c>
      <c r="G208" s="8">
        <v>2.4079999999999999</v>
      </c>
      <c r="H208" s="25">
        <v>5.5</v>
      </c>
    </row>
    <row r="209" spans="1:8" x14ac:dyDescent="0.3">
      <c r="A209">
        <v>202604</v>
      </c>
      <c r="B209" t="s">
        <v>43</v>
      </c>
      <c r="C209">
        <v>1755817126</v>
      </c>
      <c r="D209" t="s">
        <v>26</v>
      </c>
      <c r="E209" t="s">
        <v>22</v>
      </c>
      <c r="F209" t="s">
        <v>79</v>
      </c>
      <c r="G209" s="8">
        <v>0.68</v>
      </c>
      <c r="H209" s="25">
        <v>3.3</v>
      </c>
    </row>
    <row r="210" spans="1:8" x14ac:dyDescent="0.3">
      <c r="A210">
        <v>202604</v>
      </c>
      <c r="B210" t="s">
        <v>43</v>
      </c>
      <c r="C210">
        <v>1755870949</v>
      </c>
      <c r="D210" t="s">
        <v>21</v>
      </c>
      <c r="E210" t="s">
        <v>27</v>
      </c>
      <c r="F210" t="s">
        <v>80</v>
      </c>
      <c r="G210" s="8">
        <v>1.7635000000000001</v>
      </c>
      <c r="H210" s="25">
        <v>1.1499999999999999</v>
      </c>
    </row>
    <row r="211" spans="1:8" x14ac:dyDescent="0.3">
      <c r="A211">
        <v>202604</v>
      </c>
      <c r="B211" t="s">
        <v>43</v>
      </c>
      <c r="C211">
        <v>1755873140</v>
      </c>
      <c r="D211" t="s">
        <v>21</v>
      </c>
      <c r="E211" t="s">
        <v>27</v>
      </c>
      <c r="F211" t="s">
        <v>81</v>
      </c>
      <c r="G211" s="8">
        <v>3.4564599999999999</v>
      </c>
      <c r="H211" s="25">
        <v>2.35</v>
      </c>
    </row>
    <row r="212" spans="1:8" x14ac:dyDescent="0.3">
      <c r="A212">
        <v>202604</v>
      </c>
      <c r="B212" t="s">
        <v>43</v>
      </c>
      <c r="C212">
        <v>1755883200</v>
      </c>
      <c r="D212" t="s">
        <v>21</v>
      </c>
      <c r="E212" t="s">
        <v>27</v>
      </c>
      <c r="F212" t="s">
        <v>82</v>
      </c>
      <c r="G212" s="8">
        <v>0.52754999999999996</v>
      </c>
      <c r="H212" s="25">
        <v>3.8</v>
      </c>
    </row>
    <row r="213" spans="1:8" x14ac:dyDescent="0.3">
      <c r="A213">
        <v>202604</v>
      </c>
      <c r="B213" t="s">
        <v>43</v>
      </c>
      <c r="C213">
        <v>1755884168</v>
      </c>
      <c r="D213" t="s">
        <v>21</v>
      </c>
      <c r="E213" t="s">
        <v>22</v>
      </c>
      <c r="F213" t="s">
        <v>83</v>
      </c>
      <c r="G213" s="8">
        <v>3.5169999999999999</v>
      </c>
      <c r="H213" s="25">
        <v>0.4</v>
      </c>
    </row>
    <row r="214" spans="1:8" x14ac:dyDescent="0.3">
      <c r="A214">
        <v>202604</v>
      </c>
      <c r="B214" t="s">
        <v>43</v>
      </c>
      <c r="C214">
        <v>1755884450</v>
      </c>
      <c r="D214" t="s">
        <v>26</v>
      </c>
      <c r="E214" t="s">
        <v>38</v>
      </c>
      <c r="F214" t="s">
        <v>84</v>
      </c>
      <c r="G214" s="8">
        <v>0.10133753</v>
      </c>
      <c r="H214" s="25">
        <v>3.55</v>
      </c>
    </row>
    <row r="215" spans="1:8" x14ac:dyDescent="0.3">
      <c r="A215">
        <v>202604</v>
      </c>
      <c r="B215" t="s">
        <v>97</v>
      </c>
      <c r="C215">
        <v>1751367990</v>
      </c>
      <c r="D215" t="s">
        <v>26</v>
      </c>
      <c r="E215" t="s">
        <v>22</v>
      </c>
      <c r="F215" t="s">
        <v>185</v>
      </c>
      <c r="G215" s="8">
        <v>5</v>
      </c>
      <c r="H215" s="25">
        <v>0.8</v>
      </c>
    </row>
    <row r="216" spans="1:8" x14ac:dyDescent="0.3">
      <c r="A216">
        <v>202604</v>
      </c>
      <c r="B216" t="s">
        <v>97</v>
      </c>
      <c r="C216">
        <v>1755697562</v>
      </c>
      <c r="D216" t="s">
        <v>21</v>
      </c>
      <c r="E216" t="s">
        <v>27</v>
      </c>
      <c r="F216" t="s">
        <v>186</v>
      </c>
      <c r="G216" s="8">
        <v>5.9759556516800005</v>
      </c>
      <c r="H216" s="25">
        <v>0.35</v>
      </c>
    </row>
    <row r="217" spans="1:8" x14ac:dyDescent="0.3">
      <c r="A217">
        <v>202604</v>
      </c>
      <c r="B217" t="s">
        <v>97</v>
      </c>
      <c r="C217">
        <v>1755767323</v>
      </c>
      <c r="D217" t="s">
        <v>26</v>
      </c>
      <c r="E217" t="s">
        <v>27</v>
      </c>
      <c r="F217" t="s">
        <v>187</v>
      </c>
      <c r="G217" s="8">
        <v>10</v>
      </c>
      <c r="H217" s="25">
        <v>0.5</v>
      </c>
    </row>
    <row r="218" spans="1:8" x14ac:dyDescent="0.3">
      <c r="A218">
        <v>202604</v>
      </c>
      <c r="B218" t="s">
        <v>97</v>
      </c>
      <c r="C218">
        <v>1755802099</v>
      </c>
      <c r="D218" t="s">
        <v>26</v>
      </c>
      <c r="E218" t="s">
        <v>27</v>
      </c>
      <c r="F218" t="s">
        <v>187</v>
      </c>
      <c r="G218" s="8">
        <v>10</v>
      </c>
      <c r="H218" s="25">
        <v>0.5</v>
      </c>
    </row>
    <row r="219" spans="1:8" x14ac:dyDescent="0.3">
      <c r="A219">
        <v>202604</v>
      </c>
      <c r="B219" t="s">
        <v>97</v>
      </c>
      <c r="C219">
        <v>1755813970</v>
      </c>
      <c r="D219" t="s">
        <v>21</v>
      </c>
      <c r="E219" t="s">
        <v>27</v>
      </c>
      <c r="F219" t="s">
        <v>188</v>
      </c>
      <c r="G219" s="8">
        <v>0.41446004048000001</v>
      </c>
      <c r="H219" s="25">
        <v>1.35</v>
      </c>
    </row>
    <row r="220" spans="1:8" x14ac:dyDescent="0.3">
      <c r="A220">
        <v>202604</v>
      </c>
      <c r="B220" t="s">
        <v>97</v>
      </c>
      <c r="C220">
        <v>1755818874</v>
      </c>
      <c r="D220" t="s">
        <v>21</v>
      </c>
      <c r="E220" t="s">
        <v>22</v>
      </c>
      <c r="F220" t="s">
        <v>189</v>
      </c>
      <c r="G220" s="8">
        <v>1.7364999999999999</v>
      </c>
      <c r="H220" s="25">
        <v>3.83</v>
      </c>
    </row>
    <row r="221" spans="1:8" x14ac:dyDescent="0.3">
      <c r="A221">
        <v>202604</v>
      </c>
      <c r="B221" t="s">
        <v>97</v>
      </c>
      <c r="C221">
        <v>1755818998</v>
      </c>
      <c r="D221" t="s">
        <v>21</v>
      </c>
      <c r="E221" t="s">
        <v>22</v>
      </c>
      <c r="F221" t="s">
        <v>190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97</v>
      </c>
      <c r="C222">
        <v>1755819072</v>
      </c>
      <c r="D222" t="s">
        <v>21</v>
      </c>
      <c r="E222" t="s">
        <v>22</v>
      </c>
      <c r="F222" t="s">
        <v>189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97</v>
      </c>
      <c r="C223">
        <v>1755819986</v>
      </c>
      <c r="D223" t="s">
        <v>21</v>
      </c>
      <c r="E223" t="s">
        <v>22</v>
      </c>
      <c r="F223" t="s">
        <v>190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97</v>
      </c>
      <c r="C224">
        <v>1755873107</v>
      </c>
      <c r="D224" t="s">
        <v>21</v>
      </c>
      <c r="E224" t="s">
        <v>27</v>
      </c>
      <c r="F224" t="s">
        <v>188</v>
      </c>
      <c r="G224" s="8">
        <v>0.27240657528000001</v>
      </c>
      <c r="H224" s="25">
        <v>1.35</v>
      </c>
    </row>
    <row r="225" spans="1:8" x14ac:dyDescent="0.3">
      <c r="A225">
        <v>202604</v>
      </c>
      <c r="B225" t="s">
        <v>45</v>
      </c>
      <c r="C225">
        <v>1751390969</v>
      </c>
      <c r="D225" t="s">
        <v>26</v>
      </c>
      <c r="E225" t="s">
        <v>22</v>
      </c>
      <c r="F225" t="s">
        <v>85</v>
      </c>
      <c r="G225" s="8">
        <v>0.34899999999999998</v>
      </c>
      <c r="H225" s="25">
        <v>3.3</v>
      </c>
    </row>
    <row r="226" spans="1:8" x14ac:dyDescent="0.3">
      <c r="A226">
        <v>202604</v>
      </c>
      <c r="B226" t="s">
        <v>45</v>
      </c>
      <c r="C226">
        <v>1755662793</v>
      </c>
      <c r="D226" t="s">
        <v>21</v>
      </c>
      <c r="E226" t="s">
        <v>27</v>
      </c>
      <c r="F226" t="s">
        <v>86</v>
      </c>
      <c r="G226" s="8">
        <v>1.8251999999999999</v>
      </c>
      <c r="H226" s="25">
        <v>0.55000000000000004</v>
      </c>
    </row>
    <row r="227" spans="1:8" x14ac:dyDescent="0.3">
      <c r="A227">
        <v>202604</v>
      </c>
      <c r="B227" t="s">
        <v>45</v>
      </c>
      <c r="C227">
        <v>1755697090</v>
      </c>
      <c r="D227" t="s">
        <v>26</v>
      </c>
      <c r="E227" t="s">
        <v>22</v>
      </c>
      <c r="F227" t="s">
        <v>87</v>
      </c>
      <c r="G227" s="8">
        <v>2</v>
      </c>
      <c r="H227" s="25">
        <v>1.08</v>
      </c>
    </row>
    <row r="228" spans="1:8" x14ac:dyDescent="0.3">
      <c r="A228">
        <v>202604</v>
      </c>
      <c r="B228" t="s">
        <v>45</v>
      </c>
      <c r="C228">
        <v>1755819706</v>
      </c>
      <c r="D228" t="s">
        <v>21</v>
      </c>
      <c r="E228" t="s">
        <v>27</v>
      </c>
      <c r="F228" t="s">
        <v>88</v>
      </c>
      <c r="G228" s="8">
        <v>1.7364999999999999</v>
      </c>
      <c r="H228" s="25">
        <v>0.5</v>
      </c>
    </row>
    <row r="229" spans="1:8" x14ac:dyDescent="0.3">
      <c r="A229">
        <v>202604</v>
      </c>
      <c r="B229" t="s">
        <v>45</v>
      </c>
      <c r="C229">
        <v>1755852037</v>
      </c>
      <c r="D229" t="s">
        <v>21</v>
      </c>
      <c r="E229" t="s">
        <v>38</v>
      </c>
      <c r="F229" t="s">
        <v>89</v>
      </c>
      <c r="G229" s="8">
        <v>5.9861851538000002</v>
      </c>
      <c r="H229" s="25">
        <v>2.7</v>
      </c>
    </row>
    <row r="230" spans="1:8" x14ac:dyDescent="0.3">
      <c r="A230">
        <v>202604</v>
      </c>
      <c r="B230" t="s">
        <v>45</v>
      </c>
      <c r="C230">
        <v>1755867565</v>
      </c>
      <c r="D230" t="s">
        <v>26</v>
      </c>
      <c r="E230" t="s">
        <v>38</v>
      </c>
      <c r="F230" t="s">
        <v>90</v>
      </c>
      <c r="G230" s="8">
        <v>0.43018698</v>
      </c>
      <c r="H230" s="25">
        <v>2.35</v>
      </c>
    </row>
    <row r="231" spans="1:8" x14ac:dyDescent="0.3">
      <c r="A231">
        <v>202604</v>
      </c>
      <c r="B231" t="s">
        <v>45</v>
      </c>
      <c r="C231">
        <v>1755868308</v>
      </c>
      <c r="D231" t="s">
        <v>26</v>
      </c>
      <c r="E231" t="s">
        <v>22</v>
      </c>
      <c r="F231" t="s">
        <v>91</v>
      </c>
      <c r="G231" s="8">
        <v>0.1</v>
      </c>
      <c r="H231" s="25">
        <v>0.85</v>
      </c>
    </row>
    <row r="232" spans="1:8" x14ac:dyDescent="0.3">
      <c r="A232">
        <v>202604</v>
      </c>
      <c r="B232" t="s">
        <v>45</v>
      </c>
      <c r="C232">
        <v>1755871066</v>
      </c>
      <c r="D232" t="s">
        <v>26</v>
      </c>
      <c r="E232" t="s">
        <v>27</v>
      </c>
      <c r="F232" t="s">
        <v>92</v>
      </c>
      <c r="G232" s="8">
        <v>1.7</v>
      </c>
      <c r="H232" s="25">
        <v>2.1800000000000002</v>
      </c>
    </row>
    <row r="233" spans="1:8" x14ac:dyDescent="0.3">
      <c r="A233">
        <v>202604</v>
      </c>
      <c r="B233" t="s">
        <v>45</v>
      </c>
      <c r="C233">
        <v>1755895267</v>
      </c>
      <c r="D233" t="s">
        <v>21</v>
      </c>
      <c r="E233" t="s">
        <v>27</v>
      </c>
      <c r="F233" t="s">
        <v>88</v>
      </c>
      <c r="G233" s="8">
        <v>1.7585</v>
      </c>
      <c r="H233" s="25">
        <v>0.5</v>
      </c>
    </row>
    <row r="234" spans="1:8" x14ac:dyDescent="0.3">
      <c r="A234">
        <v>202604</v>
      </c>
      <c r="B234" t="s">
        <v>45</v>
      </c>
      <c r="C234">
        <v>1755895585</v>
      </c>
      <c r="D234" t="s">
        <v>26</v>
      </c>
      <c r="E234" t="s">
        <v>22</v>
      </c>
      <c r="F234" t="s">
        <v>93</v>
      </c>
      <c r="G234" s="8">
        <v>1.01</v>
      </c>
      <c r="H234" s="25">
        <v>1.25</v>
      </c>
    </row>
    <row r="235" spans="1:8" x14ac:dyDescent="0.3">
      <c r="A235">
        <v>202604</v>
      </c>
      <c r="B235" t="s">
        <v>47</v>
      </c>
      <c r="C235">
        <v>1755774710</v>
      </c>
      <c r="D235" t="s">
        <v>21</v>
      </c>
      <c r="E235" t="s">
        <v>68</v>
      </c>
      <c r="F235" t="s">
        <v>191</v>
      </c>
      <c r="G235" s="8">
        <v>1.741411042</v>
      </c>
      <c r="H235" s="25">
        <v>2.15</v>
      </c>
    </row>
    <row r="236" spans="1:8" x14ac:dyDescent="0.3">
      <c r="A236">
        <v>202604</v>
      </c>
      <c r="B236" t="s">
        <v>47</v>
      </c>
      <c r="C236">
        <v>1755867700</v>
      </c>
      <c r="D236" t="s">
        <v>26</v>
      </c>
      <c r="E236" t="s">
        <v>38</v>
      </c>
      <c r="F236" t="s">
        <v>192</v>
      </c>
      <c r="G236" s="8">
        <v>5.5785600000000004</v>
      </c>
      <c r="H236" s="25">
        <v>0.5</v>
      </c>
    </row>
    <row r="237" spans="1:8" x14ac:dyDescent="0.3">
      <c r="A237">
        <v>202604</v>
      </c>
      <c r="B237" t="s">
        <v>48</v>
      </c>
      <c r="C237">
        <v>1755722036</v>
      </c>
      <c r="D237" t="s">
        <v>26</v>
      </c>
      <c r="E237" t="s">
        <v>27</v>
      </c>
      <c r="F237" t="s">
        <v>193</v>
      </c>
      <c r="G237" s="8">
        <v>0.67</v>
      </c>
      <c r="H237" s="25">
        <v>4.1500000000000004</v>
      </c>
    </row>
    <row r="238" spans="1:8" x14ac:dyDescent="0.3">
      <c r="A238">
        <v>202605</v>
      </c>
      <c r="B238" t="s">
        <v>20</v>
      </c>
      <c r="C238">
        <v>1760142786</v>
      </c>
      <c r="D238" t="s">
        <v>21</v>
      </c>
      <c r="E238" t="s">
        <v>22</v>
      </c>
      <c r="F238" t="s">
        <v>101</v>
      </c>
      <c r="G238" s="8">
        <v>5.1464999999999997E-2</v>
      </c>
      <c r="H238" s="25">
        <v>3.34</v>
      </c>
    </row>
    <row r="239" spans="1:8" x14ac:dyDescent="0.3">
      <c r="A239">
        <v>202605</v>
      </c>
      <c r="B239" t="s">
        <v>20</v>
      </c>
      <c r="C239">
        <v>1760203490</v>
      </c>
      <c r="D239" t="s">
        <v>21</v>
      </c>
      <c r="E239" t="s">
        <v>22</v>
      </c>
      <c r="F239" t="s">
        <v>101</v>
      </c>
      <c r="G239" s="8">
        <v>5.1494999999999999E-2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1760232890</v>
      </c>
      <c r="D240" t="s">
        <v>26</v>
      </c>
      <c r="E240" t="s">
        <v>27</v>
      </c>
      <c r="F240" t="s">
        <v>236</v>
      </c>
      <c r="G240" s="8">
        <v>3.5</v>
      </c>
      <c r="H240" s="25">
        <v>0.7</v>
      </c>
    </row>
    <row r="241" spans="1:8" x14ac:dyDescent="0.3">
      <c r="A241">
        <v>202605</v>
      </c>
      <c r="B241" t="s">
        <v>20</v>
      </c>
      <c r="C241">
        <v>1760278394</v>
      </c>
      <c r="D241" t="s">
        <v>21</v>
      </c>
      <c r="E241" t="s">
        <v>22</v>
      </c>
      <c r="F241" t="s">
        <v>101</v>
      </c>
      <c r="G241" s="8">
        <v>5.1240000000000001E-2</v>
      </c>
      <c r="H241" s="25">
        <v>3.34</v>
      </c>
    </row>
    <row r="242" spans="1:8" x14ac:dyDescent="0.3">
      <c r="A242">
        <v>202605</v>
      </c>
      <c r="B242" t="s">
        <v>29</v>
      </c>
      <c r="C242">
        <v>1755924844</v>
      </c>
      <c r="D242" t="s">
        <v>26</v>
      </c>
      <c r="E242" t="s">
        <v>38</v>
      </c>
      <c r="F242" t="s">
        <v>106</v>
      </c>
      <c r="G242" s="8">
        <v>0.21680532999999999</v>
      </c>
      <c r="H242" s="25">
        <v>1.51</v>
      </c>
    </row>
    <row r="243" spans="1:8" x14ac:dyDescent="0.3">
      <c r="A243">
        <v>202605</v>
      </c>
      <c r="B243" t="s">
        <v>29</v>
      </c>
      <c r="C243">
        <v>1755931050</v>
      </c>
      <c r="D243" t="s">
        <v>21</v>
      </c>
      <c r="E243" t="s">
        <v>27</v>
      </c>
      <c r="F243" t="s">
        <v>114</v>
      </c>
      <c r="G243" s="8">
        <v>1.0485</v>
      </c>
      <c r="H243" s="25">
        <v>0.1</v>
      </c>
    </row>
    <row r="244" spans="1:8" x14ac:dyDescent="0.3">
      <c r="A244">
        <v>202605</v>
      </c>
      <c r="B244" t="s">
        <v>29</v>
      </c>
      <c r="C244">
        <v>1755949405</v>
      </c>
      <c r="D244" t="s">
        <v>21</v>
      </c>
      <c r="E244" t="s">
        <v>22</v>
      </c>
      <c r="F244" t="s">
        <v>194</v>
      </c>
      <c r="G244" s="8">
        <v>0.58803000000000005</v>
      </c>
      <c r="H244" s="25">
        <v>1.95</v>
      </c>
    </row>
    <row r="245" spans="1:8" x14ac:dyDescent="0.3">
      <c r="A245">
        <v>202605</v>
      </c>
      <c r="B245" t="s">
        <v>29</v>
      </c>
      <c r="C245">
        <v>1760131377</v>
      </c>
      <c r="D245" t="s">
        <v>21</v>
      </c>
      <c r="E245" t="s">
        <v>27</v>
      </c>
      <c r="F245" t="s">
        <v>195</v>
      </c>
      <c r="G245" s="8">
        <v>1.7170000000000001</v>
      </c>
      <c r="H245" s="25">
        <v>1</v>
      </c>
    </row>
    <row r="246" spans="1:8" x14ac:dyDescent="0.3">
      <c r="A246">
        <v>202605</v>
      </c>
      <c r="B246" t="s">
        <v>29</v>
      </c>
      <c r="C246">
        <v>1760168084</v>
      </c>
      <c r="D246" t="s">
        <v>21</v>
      </c>
      <c r="E246" t="s">
        <v>38</v>
      </c>
      <c r="F246" t="s">
        <v>106</v>
      </c>
      <c r="G246" s="8">
        <v>0.19017510792</v>
      </c>
      <c r="H246" s="25">
        <v>1.56</v>
      </c>
    </row>
    <row r="247" spans="1:8" x14ac:dyDescent="0.3">
      <c r="A247">
        <v>202605</v>
      </c>
      <c r="B247" t="s">
        <v>29</v>
      </c>
      <c r="C247">
        <v>1760173614</v>
      </c>
      <c r="D247" t="s">
        <v>21</v>
      </c>
      <c r="E247" t="s">
        <v>38</v>
      </c>
      <c r="F247" t="s">
        <v>106</v>
      </c>
      <c r="G247" s="8">
        <v>0.37504854800000004</v>
      </c>
      <c r="H247" s="25">
        <v>1.76</v>
      </c>
    </row>
    <row r="248" spans="1:8" x14ac:dyDescent="0.3">
      <c r="A248">
        <v>202605</v>
      </c>
      <c r="B248" t="s">
        <v>29</v>
      </c>
      <c r="C248">
        <v>1760177083</v>
      </c>
      <c r="D248" t="s">
        <v>21</v>
      </c>
      <c r="E248" t="s">
        <v>22</v>
      </c>
      <c r="F248" t="s">
        <v>110</v>
      </c>
      <c r="G248" s="8">
        <v>0.78203999999999996</v>
      </c>
      <c r="H248" s="25">
        <v>0.6</v>
      </c>
    </row>
    <row r="249" spans="1:8" x14ac:dyDescent="0.3">
      <c r="A249">
        <v>202605</v>
      </c>
      <c r="B249" t="s">
        <v>29</v>
      </c>
      <c r="C249">
        <v>1760179752</v>
      </c>
      <c r="D249" t="s">
        <v>26</v>
      </c>
      <c r="E249" t="s">
        <v>27</v>
      </c>
      <c r="F249" t="s">
        <v>108</v>
      </c>
      <c r="G249" s="8">
        <v>0.7</v>
      </c>
      <c r="H249" s="25"/>
    </row>
    <row r="250" spans="1:8" x14ac:dyDescent="0.3">
      <c r="A250">
        <v>202605</v>
      </c>
      <c r="B250" t="s">
        <v>29</v>
      </c>
      <c r="C250">
        <v>1760269409</v>
      </c>
      <c r="D250" t="s">
        <v>21</v>
      </c>
      <c r="E250" t="s">
        <v>22</v>
      </c>
      <c r="F250" t="s">
        <v>250</v>
      </c>
      <c r="G250" s="8">
        <v>1.7070000000000001</v>
      </c>
      <c r="H250" s="25"/>
    </row>
    <row r="251" spans="1:8" x14ac:dyDescent="0.3">
      <c r="A251">
        <v>202605</v>
      </c>
      <c r="B251" t="s">
        <v>29</v>
      </c>
      <c r="C251">
        <v>1760270580</v>
      </c>
      <c r="D251" t="s">
        <v>21</v>
      </c>
      <c r="E251" t="s">
        <v>27</v>
      </c>
      <c r="F251" t="s">
        <v>109</v>
      </c>
      <c r="G251" s="8">
        <v>0.42804732000000001</v>
      </c>
      <c r="H251" s="25"/>
    </row>
    <row r="252" spans="1:8" x14ac:dyDescent="0.3">
      <c r="A252">
        <v>202605</v>
      </c>
      <c r="B252" t="s">
        <v>29</v>
      </c>
      <c r="C252">
        <v>1760270695</v>
      </c>
      <c r="D252" t="s">
        <v>21</v>
      </c>
      <c r="E252" t="s">
        <v>27</v>
      </c>
      <c r="F252" t="s">
        <v>250</v>
      </c>
      <c r="G252" s="8">
        <v>0.85350000000000004</v>
      </c>
      <c r="H252" s="25"/>
    </row>
    <row r="253" spans="1:8" x14ac:dyDescent="0.3">
      <c r="A253">
        <v>202605</v>
      </c>
      <c r="B253" t="s">
        <v>29</v>
      </c>
      <c r="C253">
        <v>1760311677</v>
      </c>
      <c r="D253" t="s">
        <v>21</v>
      </c>
      <c r="E253" t="s">
        <v>38</v>
      </c>
      <c r="F253" t="s">
        <v>106</v>
      </c>
      <c r="G253" s="8">
        <v>0.13701498738999998</v>
      </c>
      <c r="H253" s="25">
        <v>1.86</v>
      </c>
    </row>
    <row r="254" spans="1:8" x14ac:dyDescent="0.3">
      <c r="A254">
        <v>202605</v>
      </c>
      <c r="B254" t="s">
        <v>29</v>
      </c>
      <c r="C254">
        <v>1760317420</v>
      </c>
      <c r="D254" t="s">
        <v>21</v>
      </c>
      <c r="E254" t="s">
        <v>22</v>
      </c>
      <c r="F254" t="s">
        <v>111</v>
      </c>
      <c r="G254" s="8">
        <v>0.34129999999999999</v>
      </c>
      <c r="H254" s="25">
        <v>3.57</v>
      </c>
    </row>
    <row r="255" spans="1:8" x14ac:dyDescent="0.3">
      <c r="A255">
        <v>202605</v>
      </c>
      <c r="B255" t="s">
        <v>95</v>
      </c>
      <c r="C255">
        <v>1755927088</v>
      </c>
      <c r="D255" t="s">
        <v>21</v>
      </c>
      <c r="E255" t="s">
        <v>27</v>
      </c>
      <c r="F255" t="s">
        <v>119</v>
      </c>
      <c r="G255" s="8">
        <v>0.11034413999999999</v>
      </c>
      <c r="H255" s="25">
        <v>3.3</v>
      </c>
    </row>
    <row r="256" spans="1:8" x14ac:dyDescent="0.3">
      <c r="A256">
        <v>202605</v>
      </c>
      <c r="B256" t="s">
        <v>95</v>
      </c>
      <c r="C256">
        <v>1755950012</v>
      </c>
      <c r="D256" t="s">
        <v>21</v>
      </c>
      <c r="E256" t="s">
        <v>27</v>
      </c>
      <c r="F256" t="s">
        <v>119</v>
      </c>
      <c r="G256" s="8">
        <v>0.10163704223999999</v>
      </c>
      <c r="H256" s="25">
        <v>3.3</v>
      </c>
    </row>
    <row r="257" spans="1:8" x14ac:dyDescent="0.3">
      <c r="A257">
        <v>202605</v>
      </c>
      <c r="B257" t="s">
        <v>95</v>
      </c>
      <c r="C257">
        <v>1760142573</v>
      </c>
      <c r="D257" t="s">
        <v>21</v>
      </c>
      <c r="E257" t="s">
        <v>27</v>
      </c>
      <c r="F257" t="s">
        <v>199</v>
      </c>
      <c r="G257" s="8">
        <v>1.7155</v>
      </c>
      <c r="H257" s="25">
        <v>1.5</v>
      </c>
    </row>
    <row r="258" spans="1:8" x14ac:dyDescent="0.3">
      <c r="A258">
        <v>202605</v>
      </c>
      <c r="B258" t="s">
        <v>95</v>
      </c>
      <c r="C258">
        <v>1760154300</v>
      </c>
      <c r="D258" t="s">
        <v>21</v>
      </c>
      <c r="E258" t="s">
        <v>27</v>
      </c>
      <c r="F258" t="s">
        <v>200</v>
      </c>
      <c r="G258" s="8">
        <v>0.34239999999999998</v>
      </c>
      <c r="H258" s="25">
        <v>3.25</v>
      </c>
    </row>
    <row r="259" spans="1:8" x14ac:dyDescent="0.3">
      <c r="A259">
        <v>202605</v>
      </c>
      <c r="B259" t="s">
        <v>95</v>
      </c>
      <c r="C259">
        <v>1760167819</v>
      </c>
      <c r="D259" t="s">
        <v>21</v>
      </c>
      <c r="E259" t="s">
        <v>27</v>
      </c>
      <c r="F259" t="s">
        <v>119</v>
      </c>
      <c r="G259" s="8">
        <v>8.5932895999999995E-2</v>
      </c>
      <c r="H259" s="25">
        <v>2.94</v>
      </c>
    </row>
    <row r="260" spans="1:8" x14ac:dyDescent="0.3">
      <c r="A260">
        <v>202605</v>
      </c>
      <c r="B260" t="s">
        <v>95</v>
      </c>
      <c r="C260">
        <v>1760171980</v>
      </c>
      <c r="D260" t="s">
        <v>26</v>
      </c>
      <c r="E260" t="s">
        <v>22</v>
      </c>
      <c r="F260" t="s">
        <v>201</v>
      </c>
      <c r="G260" s="8">
        <v>0.85</v>
      </c>
      <c r="H260" s="25">
        <v>2.95</v>
      </c>
    </row>
    <row r="261" spans="1:8" x14ac:dyDescent="0.3">
      <c r="A261">
        <v>202605</v>
      </c>
      <c r="B261" t="s">
        <v>95</v>
      </c>
      <c r="C261">
        <v>1760171999</v>
      </c>
      <c r="D261" t="s">
        <v>21</v>
      </c>
      <c r="E261" t="s">
        <v>22</v>
      </c>
      <c r="F261" t="s">
        <v>202</v>
      </c>
      <c r="G261" s="8">
        <v>1.708</v>
      </c>
      <c r="H261" s="25">
        <v>0.7</v>
      </c>
    </row>
    <row r="262" spans="1:8" x14ac:dyDescent="0.3">
      <c r="A262">
        <v>202605</v>
      </c>
      <c r="B262" t="s">
        <v>95</v>
      </c>
      <c r="C262">
        <v>1760177377</v>
      </c>
      <c r="D262" t="s">
        <v>21</v>
      </c>
      <c r="E262" t="s">
        <v>27</v>
      </c>
      <c r="F262" t="s">
        <v>119</v>
      </c>
      <c r="G262" s="8">
        <v>6.3553886899999995E-2</v>
      </c>
      <c r="H262" s="25">
        <v>2.94</v>
      </c>
    </row>
    <row r="263" spans="1:8" x14ac:dyDescent="0.3">
      <c r="A263">
        <v>202605</v>
      </c>
      <c r="B263" t="s">
        <v>95</v>
      </c>
      <c r="C263">
        <v>1760203750</v>
      </c>
      <c r="D263" t="s">
        <v>21</v>
      </c>
      <c r="E263" t="s">
        <v>27</v>
      </c>
      <c r="F263" t="s">
        <v>119</v>
      </c>
      <c r="G263" s="8">
        <v>0.29647388000000002</v>
      </c>
      <c r="H263" s="25">
        <v>2.94</v>
      </c>
    </row>
    <row r="264" spans="1:8" x14ac:dyDescent="0.3">
      <c r="A264">
        <v>202605</v>
      </c>
      <c r="B264" t="s">
        <v>95</v>
      </c>
      <c r="C264">
        <v>1760204404</v>
      </c>
      <c r="D264" t="s">
        <v>21</v>
      </c>
      <c r="E264" t="s">
        <v>27</v>
      </c>
      <c r="F264" t="s">
        <v>230</v>
      </c>
      <c r="G264" s="8">
        <v>0.68659999999999999</v>
      </c>
      <c r="H264" s="25">
        <v>4.8899999999999997</v>
      </c>
    </row>
    <row r="265" spans="1:8" x14ac:dyDescent="0.3">
      <c r="A265">
        <v>202605</v>
      </c>
      <c r="B265" t="s">
        <v>95</v>
      </c>
      <c r="C265">
        <v>1760213802</v>
      </c>
      <c r="D265" t="s">
        <v>21</v>
      </c>
      <c r="E265" t="s">
        <v>27</v>
      </c>
      <c r="F265" t="s">
        <v>119</v>
      </c>
      <c r="G265" s="8">
        <v>0.1376283724</v>
      </c>
      <c r="H265" s="25">
        <v>2.94</v>
      </c>
    </row>
    <row r="266" spans="1:8" x14ac:dyDescent="0.3">
      <c r="A266">
        <v>202605</v>
      </c>
      <c r="B266" t="s">
        <v>95</v>
      </c>
      <c r="C266">
        <v>1760274305</v>
      </c>
      <c r="D266" t="s">
        <v>21</v>
      </c>
      <c r="E266" t="s">
        <v>27</v>
      </c>
      <c r="F266" t="s">
        <v>116</v>
      </c>
      <c r="G266" s="8">
        <v>1.708</v>
      </c>
      <c r="H266" s="25">
        <v>3.35</v>
      </c>
    </row>
    <row r="267" spans="1:8" x14ac:dyDescent="0.3">
      <c r="A267">
        <v>202605</v>
      </c>
      <c r="B267" t="s">
        <v>95</v>
      </c>
      <c r="C267">
        <v>1760278882</v>
      </c>
      <c r="D267" t="s">
        <v>21</v>
      </c>
      <c r="E267" t="s">
        <v>27</v>
      </c>
      <c r="F267" t="s">
        <v>119</v>
      </c>
      <c r="G267" s="8">
        <v>0.342993728</v>
      </c>
      <c r="H267" s="25">
        <v>2.94</v>
      </c>
    </row>
    <row r="268" spans="1:8" x14ac:dyDescent="0.3">
      <c r="A268">
        <v>202605</v>
      </c>
      <c r="B268" t="s">
        <v>33</v>
      </c>
      <c r="C268">
        <v>1755910680</v>
      </c>
      <c r="D268" t="s">
        <v>21</v>
      </c>
      <c r="E268" t="s">
        <v>22</v>
      </c>
      <c r="F268" t="s">
        <v>204</v>
      </c>
      <c r="G268" s="8">
        <v>0.70340000000000003</v>
      </c>
      <c r="H268" s="25">
        <v>2.12</v>
      </c>
    </row>
    <row r="269" spans="1:8" x14ac:dyDescent="0.3">
      <c r="A269">
        <v>202605</v>
      </c>
      <c r="B269" t="s">
        <v>33</v>
      </c>
      <c r="C269">
        <v>1755947712</v>
      </c>
      <c r="D269" t="s">
        <v>21</v>
      </c>
      <c r="E269" t="s">
        <v>27</v>
      </c>
      <c r="F269" t="s">
        <v>205</v>
      </c>
      <c r="G269" s="8">
        <v>0.69179999999999997</v>
      </c>
      <c r="H269" s="25">
        <v>0.35</v>
      </c>
    </row>
    <row r="270" spans="1:8" x14ac:dyDescent="0.3">
      <c r="A270">
        <v>202605</v>
      </c>
      <c r="B270" t="s">
        <v>33</v>
      </c>
      <c r="C270">
        <v>1755948050</v>
      </c>
      <c r="D270" t="s">
        <v>21</v>
      </c>
      <c r="E270" t="s">
        <v>27</v>
      </c>
      <c r="F270" t="s">
        <v>205</v>
      </c>
      <c r="G270" s="8">
        <v>0.69179999999999997</v>
      </c>
      <c r="H270" s="25">
        <v>0.35</v>
      </c>
    </row>
    <row r="271" spans="1:8" x14ac:dyDescent="0.3">
      <c r="A271">
        <v>202605</v>
      </c>
      <c r="B271" t="s">
        <v>33</v>
      </c>
      <c r="C271">
        <v>1760148946</v>
      </c>
      <c r="D271" t="s">
        <v>26</v>
      </c>
      <c r="E271" t="s">
        <v>22</v>
      </c>
      <c r="F271" t="s">
        <v>127</v>
      </c>
      <c r="G271" s="8">
        <v>3.43</v>
      </c>
      <c r="H271" s="25">
        <v>2.15</v>
      </c>
    </row>
    <row r="272" spans="1:8" x14ac:dyDescent="0.3">
      <c r="A272">
        <v>202605</v>
      </c>
      <c r="B272" t="s">
        <v>33</v>
      </c>
      <c r="C272">
        <v>1760159654</v>
      </c>
      <c r="D272" t="s">
        <v>26</v>
      </c>
      <c r="E272" t="s">
        <v>38</v>
      </c>
      <c r="F272" t="s">
        <v>125</v>
      </c>
      <c r="G272" s="8">
        <v>0.48216331000000001</v>
      </c>
      <c r="H272" s="25">
        <v>4.43</v>
      </c>
    </row>
    <row r="273" spans="1:8" x14ac:dyDescent="0.3">
      <c r="A273">
        <v>202605</v>
      </c>
      <c r="B273" t="s">
        <v>33</v>
      </c>
      <c r="C273">
        <v>1760159750</v>
      </c>
      <c r="D273" t="s">
        <v>26</v>
      </c>
      <c r="E273" t="s">
        <v>22</v>
      </c>
      <c r="F273" t="s">
        <v>125</v>
      </c>
      <c r="G273" s="8">
        <v>0.82699999999999996</v>
      </c>
      <c r="H273" s="25">
        <v>4.25</v>
      </c>
    </row>
    <row r="274" spans="1:8" x14ac:dyDescent="0.3">
      <c r="A274">
        <v>202605</v>
      </c>
      <c r="B274" t="s">
        <v>33</v>
      </c>
      <c r="C274">
        <v>1760235660</v>
      </c>
      <c r="D274" t="s">
        <v>21</v>
      </c>
      <c r="E274" t="s">
        <v>27</v>
      </c>
      <c r="F274" t="s">
        <v>129</v>
      </c>
      <c r="G274" s="8">
        <v>0.34150000000000003</v>
      </c>
      <c r="H274" s="25">
        <v>5.55</v>
      </c>
    </row>
    <row r="275" spans="1:8" x14ac:dyDescent="0.3">
      <c r="A275">
        <v>202605</v>
      </c>
      <c r="B275" t="s">
        <v>33</v>
      </c>
      <c r="C275">
        <v>1760240486</v>
      </c>
      <c r="D275" t="s">
        <v>21</v>
      </c>
      <c r="E275" t="s">
        <v>27</v>
      </c>
      <c r="F275" t="s">
        <v>237</v>
      </c>
      <c r="G275" s="8">
        <v>0.88516799999999995</v>
      </c>
      <c r="H275" s="25"/>
    </row>
    <row r="276" spans="1:8" x14ac:dyDescent="0.3">
      <c r="A276">
        <v>202605</v>
      </c>
      <c r="B276" t="s">
        <v>33</v>
      </c>
      <c r="C276">
        <v>1760270865</v>
      </c>
      <c r="D276" t="s">
        <v>26</v>
      </c>
      <c r="E276" t="s">
        <v>38</v>
      </c>
      <c r="F276" t="s">
        <v>127</v>
      </c>
      <c r="G276" s="8">
        <v>4.5772864100000001</v>
      </c>
      <c r="H276" s="25"/>
    </row>
    <row r="277" spans="1:8" x14ac:dyDescent="0.3">
      <c r="A277">
        <v>202605</v>
      </c>
      <c r="B277" t="s">
        <v>33</v>
      </c>
      <c r="C277">
        <v>1760282316</v>
      </c>
      <c r="D277" t="s">
        <v>26</v>
      </c>
      <c r="E277" t="s">
        <v>38</v>
      </c>
      <c r="F277" t="s">
        <v>127</v>
      </c>
      <c r="G277" s="8">
        <v>0.36822120000000003</v>
      </c>
      <c r="H277" s="25">
        <v>0.85</v>
      </c>
    </row>
    <row r="278" spans="1:8" x14ac:dyDescent="0.3">
      <c r="A278">
        <v>202605</v>
      </c>
      <c r="B278" t="s">
        <v>33</v>
      </c>
      <c r="C278">
        <v>1760288420</v>
      </c>
      <c r="D278" t="s">
        <v>26</v>
      </c>
      <c r="E278" t="s">
        <v>27</v>
      </c>
      <c r="F278" t="s">
        <v>128</v>
      </c>
      <c r="G278" s="8">
        <v>0.22</v>
      </c>
      <c r="H278" s="25">
        <v>2.7</v>
      </c>
    </row>
    <row r="279" spans="1:8" x14ac:dyDescent="0.3">
      <c r="A279">
        <v>202605</v>
      </c>
      <c r="B279" t="s">
        <v>33</v>
      </c>
      <c r="C279">
        <v>1760312932</v>
      </c>
      <c r="D279" t="s">
        <v>26</v>
      </c>
      <c r="E279" t="s">
        <v>22</v>
      </c>
      <c r="F279" t="s">
        <v>125</v>
      </c>
      <c r="G279" s="8">
        <v>0.51200000000000001</v>
      </c>
      <c r="H279" s="25">
        <v>3.33</v>
      </c>
    </row>
    <row r="280" spans="1:8" x14ac:dyDescent="0.3">
      <c r="A280">
        <v>202605</v>
      </c>
      <c r="B280" t="s">
        <v>33</v>
      </c>
      <c r="C280">
        <v>1760317380</v>
      </c>
      <c r="D280" t="s">
        <v>26</v>
      </c>
      <c r="E280" t="s">
        <v>27</v>
      </c>
      <c r="F280" t="s">
        <v>128</v>
      </c>
      <c r="G280" s="8">
        <v>0.35899999999999999</v>
      </c>
      <c r="H280" s="25">
        <v>2.7</v>
      </c>
    </row>
    <row r="281" spans="1:8" x14ac:dyDescent="0.3">
      <c r="A281">
        <v>202605</v>
      </c>
      <c r="B281" t="s">
        <v>255</v>
      </c>
      <c r="C281">
        <v>1755928335</v>
      </c>
      <c r="D281" t="s">
        <v>26</v>
      </c>
      <c r="E281" t="s">
        <v>38</v>
      </c>
      <c r="F281" t="s">
        <v>206</v>
      </c>
      <c r="G281" s="8">
        <v>0.56417202</v>
      </c>
      <c r="H281" s="25">
        <v>3.55</v>
      </c>
    </row>
    <row r="282" spans="1:8" x14ac:dyDescent="0.3">
      <c r="A282">
        <v>202605</v>
      </c>
      <c r="B282" t="s">
        <v>255</v>
      </c>
      <c r="C282">
        <v>1760159719</v>
      </c>
      <c r="D282" t="s">
        <v>21</v>
      </c>
      <c r="E282" t="s">
        <v>38</v>
      </c>
      <c r="F282" t="s">
        <v>207</v>
      </c>
      <c r="G282" s="8">
        <v>0.12056701792000001</v>
      </c>
      <c r="H282" s="25">
        <v>4.7</v>
      </c>
    </row>
    <row r="283" spans="1:8" x14ac:dyDescent="0.3">
      <c r="A283">
        <v>202605</v>
      </c>
      <c r="B283" t="s">
        <v>255</v>
      </c>
      <c r="C283">
        <v>1760167789</v>
      </c>
      <c r="D283" t="s">
        <v>21</v>
      </c>
      <c r="E283" t="s">
        <v>38</v>
      </c>
      <c r="F283" t="s">
        <v>207</v>
      </c>
      <c r="G283" s="8">
        <v>5.635416192E-2</v>
      </c>
      <c r="H283" s="25">
        <v>4.5999999999999996</v>
      </c>
    </row>
    <row r="284" spans="1:8" x14ac:dyDescent="0.3">
      <c r="A284">
        <v>202605</v>
      </c>
      <c r="B284" t="s">
        <v>255</v>
      </c>
      <c r="C284">
        <v>1760235210</v>
      </c>
      <c r="D284" t="s">
        <v>21</v>
      </c>
      <c r="E284" t="s">
        <v>38</v>
      </c>
      <c r="F284" t="s">
        <v>207</v>
      </c>
      <c r="G284" s="8">
        <v>3.1880254400000002E-2</v>
      </c>
      <c r="H284" s="25">
        <v>4.7</v>
      </c>
    </row>
    <row r="285" spans="1:8" x14ac:dyDescent="0.3">
      <c r="A285">
        <v>202605</v>
      </c>
      <c r="B285" t="s">
        <v>255</v>
      </c>
      <c r="C285">
        <v>1760240516</v>
      </c>
      <c r="D285" t="s">
        <v>21</v>
      </c>
      <c r="E285" t="s">
        <v>38</v>
      </c>
      <c r="F285" t="s">
        <v>207</v>
      </c>
      <c r="G285" s="8">
        <v>3.6630314500000004E-2</v>
      </c>
      <c r="H285" s="25">
        <v>4.7</v>
      </c>
    </row>
    <row r="286" spans="1:8" x14ac:dyDescent="0.3">
      <c r="A286">
        <v>202605</v>
      </c>
      <c r="B286" t="s">
        <v>35</v>
      </c>
      <c r="C286">
        <v>1755927576</v>
      </c>
      <c r="D286" t="s">
        <v>21</v>
      </c>
      <c r="E286" t="s">
        <v>22</v>
      </c>
      <c r="F286" t="s">
        <v>208</v>
      </c>
      <c r="G286" s="8">
        <v>0.69899999999999995</v>
      </c>
      <c r="H286" s="25">
        <v>0.9</v>
      </c>
    </row>
    <row r="287" spans="1:8" x14ac:dyDescent="0.3">
      <c r="A287">
        <v>202605</v>
      </c>
      <c r="B287" t="s">
        <v>35</v>
      </c>
      <c r="C287">
        <v>1755927622</v>
      </c>
      <c r="D287" t="s">
        <v>21</v>
      </c>
      <c r="E287" t="s">
        <v>22</v>
      </c>
      <c r="F287" t="s">
        <v>208</v>
      </c>
      <c r="G287" s="8">
        <v>0.69899999999999995</v>
      </c>
      <c r="H287" s="25">
        <v>0.9</v>
      </c>
    </row>
    <row r="288" spans="1:8" x14ac:dyDescent="0.3">
      <c r="A288">
        <v>202605</v>
      </c>
      <c r="B288" t="s">
        <v>35</v>
      </c>
      <c r="C288">
        <v>1760143820</v>
      </c>
      <c r="D288" t="s">
        <v>21</v>
      </c>
      <c r="E288" t="s">
        <v>27</v>
      </c>
      <c r="F288" t="s">
        <v>136</v>
      </c>
      <c r="G288" s="8">
        <v>0.34310000000000002</v>
      </c>
      <c r="H288" s="25">
        <v>4.04</v>
      </c>
    </row>
    <row r="289" spans="1:8" x14ac:dyDescent="0.3">
      <c r="A289">
        <v>202605</v>
      </c>
      <c r="B289" t="s">
        <v>96</v>
      </c>
      <c r="C289">
        <v>1755913140</v>
      </c>
      <c r="D289" t="s">
        <v>26</v>
      </c>
      <c r="E289" t="s">
        <v>22</v>
      </c>
      <c r="F289" t="s">
        <v>141</v>
      </c>
      <c r="G289" s="8">
        <v>4</v>
      </c>
      <c r="H289" s="25">
        <v>0.49</v>
      </c>
    </row>
    <row r="290" spans="1:8" x14ac:dyDescent="0.3">
      <c r="A290">
        <v>202605</v>
      </c>
      <c r="B290" t="s">
        <v>96</v>
      </c>
      <c r="C290">
        <v>1755935919</v>
      </c>
      <c r="D290" t="s">
        <v>21</v>
      </c>
      <c r="E290" t="s">
        <v>27</v>
      </c>
      <c r="F290" t="s">
        <v>196</v>
      </c>
      <c r="G290" s="8">
        <v>0.33263793647999995</v>
      </c>
      <c r="H290" s="25">
        <v>2.94</v>
      </c>
    </row>
    <row r="291" spans="1:8" x14ac:dyDescent="0.3">
      <c r="A291">
        <v>202605</v>
      </c>
      <c r="B291" t="s">
        <v>96</v>
      </c>
      <c r="C291">
        <v>1760113476</v>
      </c>
      <c r="D291" t="s">
        <v>21</v>
      </c>
      <c r="E291" t="s">
        <v>27</v>
      </c>
      <c r="F291" t="s">
        <v>121</v>
      </c>
      <c r="G291" s="8">
        <v>0.34460000000000002</v>
      </c>
      <c r="H291" s="25">
        <v>4.6900000000000004</v>
      </c>
    </row>
    <row r="292" spans="1:8" x14ac:dyDescent="0.3">
      <c r="A292">
        <v>202605</v>
      </c>
      <c r="B292" t="s">
        <v>96</v>
      </c>
      <c r="C292">
        <v>1760117072</v>
      </c>
      <c r="D292" t="s">
        <v>21</v>
      </c>
      <c r="E292" t="s">
        <v>22</v>
      </c>
      <c r="F292" t="s">
        <v>197</v>
      </c>
      <c r="G292" s="8">
        <v>0.55135999999999996</v>
      </c>
      <c r="H292" s="25">
        <v>3.7</v>
      </c>
    </row>
    <row r="293" spans="1:8" x14ac:dyDescent="0.3">
      <c r="A293">
        <v>202605</v>
      </c>
      <c r="B293" t="s">
        <v>96</v>
      </c>
      <c r="C293">
        <v>1760117080</v>
      </c>
      <c r="D293" t="s">
        <v>21</v>
      </c>
      <c r="E293" t="s">
        <v>27</v>
      </c>
      <c r="F293" t="s">
        <v>121</v>
      </c>
      <c r="G293" s="8">
        <v>0.34460000000000002</v>
      </c>
      <c r="H293" s="25">
        <v>4.6900000000000004</v>
      </c>
    </row>
    <row r="294" spans="1:8" x14ac:dyDescent="0.3">
      <c r="A294">
        <v>202605</v>
      </c>
      <c r="B294" t="s">
        <v>96</v>
      </c>
      <c r="C294">
        <v>1760120138</v>
      </c>
      <c r="D294" t="s">
        <v>21</v>
      </c>
      <c r="E294" t="s">
        <v>22</v>
      </c>
      <c r="F294" t="s">
        <v>197</v>
      </c>
      <c r="G294" s="8">
        <v>0.83393200000000001</v>
      </c>
      <c r="H294" s="25">
        <v>3.7</v>
      </c>
    </row>
    <row r="295" spans="1:8" x14ac:dyDescent="0.3">
      <c r="A295">
        <v>202605</v>
      </c>
      <c r="B295" t="s">
        <v>96</v>
      </c>
      <c r="C295">
        <v>1760120367</v>
      </c>
      <c r="D295" t="s">
        <v>21</v>
      </c>
      <c r="E295" t="s">
        <v>27</v>
      </c>
      <c r="F295" t="s">
        <v>198</v>
      </c>
      <c r="G295" s="8">
        <v>2.5809893875000003</v>
      </c>
      <c r="H295" s="25"/>
    </row>
    <row r="296" spans="1:8" x14ac:dyDescent="0.3">
      <c r="A296">
        <v>202605</v>
      </c>
      <c r="B296" t="s">
        <v>96</v>
      </c>
      <c r="C296">
        <v>1760167584</v>
      </c>
      <c r="D296" t="s">
        <v>26</v>
      </c>
      <c r="E296" t="s">
        <v>27</v>
      </c>
      <c r="F296" t="s">
        <v>209</v>
      </c>
      <c r="G296" s="8">
        <v>1.4</v>
      </c>
      <c r="H296" s="25">
        <v>0.9</v>
      </c>
    </row>
    <row r="297" spans="1:8" x14ac:dyDescent="0.3">
      <c r="A297">
        <v>202605</v>
      </c>
      <c r="B297" t="s">
        <v>96</v>
      </c>
      <c r="C297">
        <v>1760183350</v>
      </c>
      <c r="D297" t="s">
        <v>21</v>
      </c>
      <c r="E297" t="s">
        <v>27</v>
      </c>
      <c r="F297" t="s">
        <v>203</v>
      </c>
      <c r="G297" s="8">
        <v>0.11263091</v>
      </c>
      <c r="H297" s="25"/>
    </row>
    <row r="298" spans="1:8" x14ac:dyDescent="0.3">
      <c r="A298">
        <v>202605</v>
      </c>
      <c r="B298" t="s">
        <v>96</v>
      </c>
      <c r="C298">
        <v>1760183440</v>
      </c>
      <c r="D298" t="s">
        <v>26</v>
      </c>
      <c r="E298" t="s">
        <v>27</v>
      </c>
      <c r="F298" t="s">
        <v>210</v>
      </c>
      <c r="G298" s="8">
        <v>0.6</v>
      </c>
      <c r="H298" s="25"/>
    </row>
    <row r="299" spans="1:8" x14ac:dyDescent="0.3">
      <c r="A299">
        <v>202605</v>
      </c>
      <c r="B299" t="s">
        <v>96</v>
      </c>
      <c r="C299">
        <v>1760239470</v>
      </c>
      <c r="D299" t="s">
        <v>21</v>
      </c>
      <c r="E299" t="s">
        <v>27</v>
      </c>
      <c r="F299" t="s">
        <v>209</v>
      </c>
      <c r="G299" s="8">
        <v>1.499185</v>
      </c>
      <c r="H299" s="25">
        <v>1</v>
      </c>
    </row>
    <row r="300" spans="1:8" x14ac:dyDescent="0.3">
      <c r="A300">
        <v>202605</v>
      </c>
      <c r="B300" t="s">
        <v>96</v>
      </c>
      <c r="C300">
        <v>1760273767</v>
      </c>
      <c r="D300" t="s">
        <v>26</v>
      </c>
      <c r="E300" t="s">
        <v>27</v>
      </c>
      <c r="F300" t="s">
        <v>140</v>
      </c>
      <c r="G300" s="8">
        <v>0.94</v>
      </c>
      <c r="H300" s="25">
        <v>1.1499999999999999</v>
      </c>
    </row>
    <row r="301" spans="1:8" x14ac:dyDescent="0.3">
      <c r="A301">
        <v>202605</v>
      </c>
      <c r="B301" t="s">
        <v>28</v>
      </c>
      <c r="C301">
        <v>1755912470</v>
      </c>
      <c r="D301" t="s">
        <v>26</v>
      </c>
      <c r="E301" t="s">
        <v>22</v>
      </c>
      <c r="F301" t="s">
        <v>146</v>
      </c>
      <c r="G301" s="8">
        <v>4</v>
      </c>
      <c r="H301" s="25">
        <v>0.5</v>
      </c>
    </row>
    <row r="302" spans="1:8" x14ac:dyDescent="0.3">
      <c r="A302">
        <v>202605</v>
      </c>
      <c r="B302" t="s">
        <v>28</v>
      </c>
      <c r="C302">
        <v>1755912650</v>
      </c>
      <c r="D302" t="s">
        <v>26</v>
      </c>
      <c r="E302" t="s">
        <v>22</v>
      </c>
      <c r="F302" t="s">
        <v>146</v>
      </c>
      <c r="G302" s="8">
        <v>5</v>
      </c>
      <c r="H302" s="25">
        <v>0.5</v>
      </c>
    </row>
    <row r="303" spans="1:8" x14ac:dyDescent="0.3">
      <c r="A303">
        <v>202605</v>
      </c>
      <c r="B303" t="s">
        <v>28</v>
      </c>
      <c r="C303">
        <v>1755936818</v>
      </c>
      <c r="D303" t="s">
        <v>26</v>
      </c>
      <c r="E303" t="s">
        <v>22</v>
      </c>
      <c r="F303" t="s">
        <v>211</v>
      </c>
      <c r="G303" s="8">
        <v>12.2</v>
      </c>
      <c r="H303" s="25">
        <v>2.95</v>
      </c>
    </row>
    <row r="304" spans="1:8" x14ac:dyDescent="0.3">
      <c r="A304">
        <v>202605</v>
      </c>
      <c r="B304" t="s">
        <v>28</v>
      </c>
      <c r="C304">
        <v>1755952449</v>
      </c>
      <c r="D304" t="s">
        <v>21</v>
      </c>
      <c r="E304" t="s">
        <v>22</v>
      </c>
      <c r="F304" t="s">
        <v>212</v>
      </c>
      <c r="G304" s="8">
        <v>0.86475000000000002</v>
      </c>
      <c r="H304" s="25">
        <v>1.8</v>
      </c>
    </row>
    <row r="305" spans="1:8" x14ac:dyDescent="0.3">
      <c r="A305">
        <v>202605</v>
      </c>
      <c r="B305" t="s">
        <v>28</v>
      </c>
      <c r="C305">
        <v>1755952473</v>
      </c>
      <c r="D305" t="s">
        <v>21</v>
      </c>
      <c r="E305" t="s">
        <v>22</v>
      </c>
      <c r="F305" t="s">
        <v>212</v>
      </c>
      <c r="G305" s="8">
        <v>0.69179999999999997</v>
      </c>
      <c r="H305" s="25">
        <v>1.8</v>
      </c>
    </row>
    <row r="306" spans="1:8" x14ac:dyDescent="0.3">
      <c r="A306">
        <v>202605</v>
      </c>
      <c r="B306" t="s">
        <v>28</v>
      </c>
      <c r="C306">
        <v>1755954760</v>
      </c>
      <c r="D306" t="s">
        <v>21</v>
      </c>
      <c r="E306" t="s">
        <v>27</v>
      </c>
      <c r="F306" t="s">
        <v>144</v>
      </c>
      <c r="G306" s="8">
        <v>6.9180000000000001</v>
      </c>
      <c r="H306" s="25">
        <v>1.1499999999999999</v>
      </c>
    </row>
    <row r="307" spans="1:8" x14ac:dyDescent="0.3">
      <c r="A307">
        <v>202605</v>
      </c>
      <c r="B307" t="s">
        <v>28</v>
      </c>
      <c r="C307">
        <v>1760130656</v>
      </c>
      <c r="D307" t="s">
        <v>21</v>
      </c>
      <c r="E307" t="s">
        <v>27</v>
      </c>
      <c r="F307" t="s">
        <v>145</v>
      </c>
      <c r="G307" s="8">
        <v>0.14800539999999998</v>
      </c>
      <c r="H307" s="25">
        <v>2.8</v>
      </c>
    </row>
    <row r="308" spans="1:8" x14ac:dyDescent="0.3">
      <c r="A308">
        <v>202605</v>
      </c>
      <c r="B308" t="s">
        <v>28</v>
      </c>
      <c r="C308">
        <v>1760171638</v>
      </c>
      <c r="D308" t="s">
        <v>21</v>
      </c>
      <c r="E308" t="s">
        <v>27</v>
      </c>
      <c r="F308" t="s">
        <v>144</v>
      </c>
      <c r="G308" s="8">
        <v>3.4159999999999999</v>
      </c>
      <c r="H308" s="25">
        <v>1.1499999999999999</v>
      </c>
    </row>
    <row r="309" spans="1:8" x14ac:dyDescent="0.3">
      <c r="A309">
        <v>202605</v>
      </c>
      <c r="B309" t="s">
        <v>28</v>
      </c>
      <c r="C309">
        <v>1760214094</v>
      </c>
      <c r="D309" t="s">
        <v>26</v>
      </c>
      <c r="E309" t="s">
        <v>22</v>
      </c>
      <c r="F309" t="s">
        <v>146</v>
      </c>
      <c r="G309" s="8">
        <v>3</v>
      </c>
      <c r="H309" s="25">
        <v>0.5</v>
      </c>
    </row>
    <row r="310" spans="1:8" x14ac:dyDescent="0.3">
      <c r="A310">
        <v>202605</v>
      </c>
      <c r="B310" t="s">
        <v>28</v>
      </c>
      <c r="C310">
        <v>1760226068</v>
      </c>
      <c r="D310" t="s">
        <v>21</v>
      </c>
      <c r="E310" t="s">
        <v>27</v>
      </c>
      <c r="F310" t="s">
        <v>238</v>
      </c>
      <c r="G310" s="8">
        <v>0.88685999999999998</v>
      </c>
      <c r="H310" s="25">
        <v>3.15</v>
      </c>
    </row>
    <row r="311" spans="1:8" x14ac:dyDescent="0.3">
      <c r="A311">
        <v>202605</v>
      </c>
      <c r="B311" t="s">
        <v>28</v>
      </c>
      <c r="C311">
        <v>1760251895</v>
      </c>
      <c r="D311" t="s">
        <v>21</v>
      </c>
      <c r="E311" t="s">
        <v>27</v>
      </c>
      <c r="F311" t="s">
        <v>145</v>
      </c>
      <c r="G311" s="8">
        <v>0.15653345339999999</v>
      </c>
      <c r="H311" s="25">
        <v>2.75</v>
      </c>
    </row>
    <row r="312" spans="1:8" x14ac:dyDescent="0.3">
      <c r="A312">
        <v>202605</v>
      </c>
      <c r="B312" t="s">
        <v>40</v>
      </c>
      <c r="C312">
        <v>1755937938</v>
      </c>
      <c r="D312" t="s">
        <v>21</v>
      </c>
      <c r="E312" t="s">
        <v>27</v>
      </c>
      <c r="F312" t="s">
        <v>53</v>
      </c>
      <c r="G312" s="8">
        <v>2.4276</v>
      </c>
      <c r="H312" s="25">
        <v>0.6</v>
      </c>
    </row>
    <row r="313" spans="1:8" x14ac:dyDescent="0.3">
      <c r="A313">
        <v>202605</v>
      </c>
      <c r="B313" t="s">
        <v>40</v>
      </c>
      <c r="C313">
        <v>1755939850</v>
      </c>
      <c r="D313" t="s">
        <v>21</v>
      </c>
      <c r="E313" t="s">
        <v>22</v>
      </c>
      <c r="F313" t="s">
        <v>56</v>
      </c>
      <c r="G313" s="8">
        <v>1.0404</v>
      </c>
      <c r="H313" s="25">
        <v>1.1000000000000001</v>
      </c>
    </row>
    <row r="314" spans="1:8" x14ac:dyDescent="0.3">
      <c r="A314">
        <v>202605</v>
      </c>
      <c r="B314" t="s">
        <v>40</v>
      </c>
      <c r="C314">
        <v>1755939914</v>
      </c>
      <c r="D314" t="s">
        <v>21</v>
      </c>
      <c r="E314" t="s">
        <v>22</v>
      </c>
      <c r="F314" t="s">
        <v>56</v>
      </c>
      <c r="G314" s="8">
        <v>0.67625999999999997</v>
      </c>
      <c r="H314" s="25">
        <v>1.1000000000000001</v>
      </c>
    </row>
    <row r="315" spans="1:8" x14ac:dyDescent="0.3">
      <c r="A315">
        <v>202605</v>
      </c>
      <c r="B315" t="s">
        <v>40</v>
      </c>
      <c r="C315">
        <v>1760136590</v>
      </c>
      <c r="D315" t="s">
        <v>26</v>
      </c>
      <c r="E315" t="s">
        <v>38</v>
      </c>
      <c r="F315" t="s">
        <v>51</v>
      </c>
      <c r="G315" s="8">
        <v>0.18259047</v>
      </c>
      <c r="H315" s="25">
        <v>2.0699999999999998</v>
      </c>
    </row>
    <row r="316" spans="1:8" x14ac:dyDescent="0.3">
      <c r="A316">
        <v>202605</v>
      </c>
      <c r="B316" t="s">
        <v>40</v>
      </c>
      <c r="C316">
        <v>1760148610</v>
      </c>
      <c r="D316" t="s">
        <v>21</v>
      </c>
      <c r="E316" t="s">
        <v>38</v>
      </c>
      <c r="F316" t="s">
        <v>51</v>
      </c>
      <c r="G316" s="8">
        <v>0.39890260744</v>
      </c>
      <c r="H316" s="25">
        <v>3.1</v>
      </c>
    </row>
    <row r="317" spans="1:8" x14ac:dyDescent="0.3">
      <c r="A317">
        <v>202605</v>
      </c>
      <c r="B317" t="s">
        <v>40</v>
      </c>
      <c r="C317">
        <v>1760166324</v>
      </c>
      <c r="D317" t="s">
        <v>26</v>
      </c>
      <c r="E317" t="s">
        <v>22</v>
      </c>
      <c r="F317" t="s">
        <v>55</v>
      </c>
      <c r="G317" s="8">
        <v>0.245</v>
      </c>
      <c r="H317" s="25">
        <v>1.8</v>
      </c>
    </row>
    <row r="318" spans="1:8" x14ac:dyDescent="0.3">
      <c r="A318">
        <v>202605</v>
      </c>
      <c r="B318" t="s">
        <v>40</v>
      </c>
      <c r="C318">
        <v>1760208094</v>
      </c>
      <c r="D318" t="s">
        <v>26</v>
      </c>
      <c r="E318" t="s">
        <v>27</v>
      </c>
      <c r="F318" t="s">
        <v>231</v>
      </c>
      <c r="G318" s="8">
        <v>0.158</v>
      </c>
      <c r="H318" s="25">
        <v>4.9000000000000004</v>
      </c>
    </row>
    <row r="319" spans="1:8" x14ac:dyDescent="0.3">
      <c r="A319">
        <v>202605</v>
      </c>
      <c r="B319" t="s">
        <v>40</v>
      </c>
      <c r="C319">
        <v>1760217425</v>
      </c>
      <c r="D319" t="s">
        <v>21</v>
      </c>
      <c r="E319" t="s">
        <v>27</v>
      </c>
      <c r="F319" t="s">
        <v>232</v>
      </c>
      <c r="G319" s="8">
        <v>1.5768800000000001</v>
      </c>
      <c r="H319" s="25">
        <v>1.1000000000000001</v>
      </c>
    </row>
    <row r="320" spans="1:8" x14ac:dyDescent="0.3">
      <c r="A320">
        <v>202605</v>
      </c>
      <c r="B320" t="s">
        <v>40</v>
      </c>
      <c r="C320">
        <v>1760251526</v>
      </c>
      <c r="D320" t="s">
        <v>21</v>
      </c>
      <c r="E320" t="s">
        <v>27</v>
      </c>
      <c r="F320" t="s">
        <v>53</v>
      </c>
      <c r="G320" s="8">
        <v>1.0250999999999999</v>
      </c>
      <c r="H320" s="25">
        <v>0.6</v>
      </c>
    </row>
    <row r="321" spans="1:8" x14ac:dyDescent="0.3">
      <c r="A321">
        <v>202605</v>
      </c>
      <c r="B321" t="s">
        <v>40</v>
      </c>
      <c r="C321">
        <v>1760251933</v>
      </c>
      <c r="D321" t="s">
        <v>21</v>
      </c>
      <c r="E321" t="s">
        <v>22</v>
      </c>
      <c r="F321" t="s">
        <v>239</v>
      </c>
      <c r="G321" s="8">
        <v>0.3417</v>
      </c>
      <c r="H321" s="25">
        <v>1.2</v>
      </c>
    </row>
    <row r="322" spans="1:8" x14ac:dyDescent="0.3">
      <c r="A322">
        <v>202605</v>
      </c>
      <c r="B322" t="s">
        <v>40</v>
      </c>
      <c r="C322">
        <v>1760251940</v>
      </c>
      <c r="D322" t="s">
        <v>21</v>
      </c>
      <c r="E322" t="s">
        <v>22</v>
      </c>
      <c r="F322" t="s">
        <v>239</v>
      </c>
      <c r="G322" s="8">
        <v>0.3417</v>
      </c>
      <c r="H322" s="25">
        <v>1.2</v>
      </c>
    </row>
    <row r="323" spans="1:8" x14ac:dyDescent="0.3">
      <c r="A323">
        <v>202605</v>
      </c>
      <c r="B323" t="s">
        <v>40</v>
      </c>
      <c r="C323">
        <v>1760251950</v>
      </c>
      <c r="D323" t="s">
        <v>21</v>
      </c>
      <c r="E323" t="s">
        <v>22</v>
      </c>
      <c r="F323" t="s">
        <v>239</v>
      </c>
      <c r="G323" s="8">
        <v>0.3417</v>
      </c>
      <c r="H323" s="25">
        <v>1.2</v>
      </c>
    </row>
    <row r="324" spans="1:8" x14ac:dyDescent="0.3">
      <c r="A324">
        <v>202605</v>
      </c>
      <c r="B324" t="s">
        <v>40</v>
      </c>
      <c r="C324">
        <v>1760251968</v>
      </c>
      <c r="D324" t="s">
        <v>21</v>
      </c>
      <c r="E324" t="s">
        <v>22</v>
      </c>
      <c r="F324" t="s">
        <v>239</v>
      </c>
      <c r="G324" s="8">
        <v>0.167433</v>
      </c>
      <c r="H324" s="25">
        <v>1.2</v>
      </c>
    </row>
    <row r="325" spans="1:8" x14ac:dyDescent="0.3">
      <c r="A325">
        <v>202605</v>
      </c>
      <c r="B325" t="s">
        <v>40</v>
      </c>
      <c r="C325">
        <v>1760286613</v>
      </c>
      <c r="D325" t="s">
        <v>26</v>
      </c>
      <c r="E325" t="s">
        <v>27</v>
      </c>
      <c r="F325" t="s">
        <v>231</v>
      </c>
      <c r="G325" s="8">
        <v>0.2</v>
      </c>
      <c r="H325" s="25">
        <v>4.9000000000000004</v>
      </c>
    </row>
    <row r="326" spans="1:8" x14ac:dyDescent="0.3">
      <c r="A326">
        <v>202605</v>
      </c>
      <c r="B326" t="s">
        <v>40</v>
      </c>
      <c r="C326">
        <v>1760292486</v>
      </c>
      <c r="D326" t="s">
        <v>26</v>
      </c>
      <c r="E326" t="s">
        <v>22</v>
      </c>
      <c r="F326" t="s">
        <v>254</v>
      </c>
      <c r="G326" s="8">
        <v>1.3</v>
      </c>
      <c r="H326" s="25">
        <v>0.6</v>
      </c>
    </row>
    <row r="327" spans="1:8" x14ac:dyDescent="0.3">
      <c r="A327">
        <v>202605</v>
      </c>
      <c r="B327" t="s">
        <v>41</v>
      </c>
      <c r="C327">
        <v>1755943873</v>
      </c>
      <c r="D327" t="s">
        <v>21</v>
      </c>
      <c r="E327" t="s">
        <v>22</v>
      </c>
      <c r="F327" t="s">
        <v>67</v>
      </c>
      <c r="G327" s="8">
        <v>0.10403999999999999</v>
      </c>
      <c r="H327" s="25">
        <v>5.9</v>
      </c>
    </row>
    <row r="328" spans="1:8" x14ac:dyDescent="0.3">
      <c r="A328">
        <v>202605</v>
      </c>
      <c r="B328" t="s">
        <v>41</v>
      </c>
      <c r="C328">
        <v>1755949758</v>
      </c>
      <c r="D328" t="s">
        <v>26</v>
      </c>
      <c r="E328" t="s">
        <v>27</v>
      </c>
      <c r="F328" t="s">
        <v>62</v>
      </c>
      <c r="G328" s="8">
        <v>8.3000000000000004E-2</v>
      </c>
      <c r="H328" s="25">
        <v>4.9000000000000004</v>
      </c>
    </row>
    <row r="329" spans="1:8" x14ac:dyDescent="0.3">
      <c r="A329">
        <v>202605</v>
      </c>
      <c r="B329" t="s">
        <v>41</v>
      </c>
      <c r="C329">
        <v>1755953313</v>
      </c>
      <c r="D329" t="s">
        <v>21</v>
      </c>
      <c r="E329" t="s">
        <v>27</v>
      </c>
      <c r="F329" t="s">
        <v>64</v>
      </c>
      <c r="G329" s="8">
        <v>0.17294999999999999</v>
      </c>
      <c r="H329" s="25">
        <v>4.95</v>
      </c>
    </row>
    <row r="330" spans="1:8" x14ac:dyDescent="0.3">
      <c r="A330">
        <v>202605</v>
      </c>
      <c r="B330" t="s">
        <v>41</v>
      </c>
      <c r="C330">
        <v>1755954786</v>
      </c>
      <c r="D330" t="s">
        <v>26</v>
      </c>
      <c r="E330" t="s">
        <v>22</v>
      </c>
      <c r="F330" t="s">
        <v>94</v>
      </c>
      <c r="G330" s="8">
        <v>0.39</v>
      </c>
      <c r="H330" s="25">
        <v>1.2</v>
      </c>
    </row>
    <row r="331" spans="1:8" x14ac:dyDescent="0.3">
      <c r="A331">
        <v>202605</v>
      </c>
      <c r="B331" t="s">
        <v>41</v>
      </c>
      <c r="C331">
        <v>1760114960</v>
      </c>
      <c r="D331" t="s">
        <v>21</v>
      </c>
      <c r="E331" t="s">
        <v>27</v>
      </c>
      <c r="F331" t="s">
        <v>59</v>
      </c>
      <c r="G331" s="8">
        <v>0.68920000000000003</v>
      </c>
      <c r="H331" s="25">
        <v>1.93</v>
      </c>
    </row>
    <row r="332" spans="1:8" x14ac:dyDescent="0.3">
      <c r="A332">
        <v>202605</v>
      </c>
      <c r="B332" t="s">
        <v>41</v>
      </c>
      <c r="C332">
        <v>1760130249</v>
      </c>
      <c r="D332" t="s">
        <v>26</v>
      </c>
      <c r="E332" t="s">
        <v>27</v>
      </c>
      <c r="F332" t="s">
        <v>58</v>
      </c>
      <c r="G332" s="8">
        <v>3.5000000000000003E-2</v>
      </c>
      <c r="H332" s="25">
        <v>4.25</v>
      </c>
    </row>
    <row r="333" spans="1:8" x14ac:dyDescent="0.3">
      <c r="A333">
        <v>202605</v>
      </c>
      <c r="B333" t="s">
        <v>41</v>
      </c>
      <c r="C333">
        <v>1760130354</v>
      </c>
      <c r="D333" t="s">
        <v>26</v>
      </c>
      <c r="E333" t="s">
        <v>27</v>
      </c>
      <c r="F333" t="s">
        <v>58</v>
      </c>
      <c r="G333" s="8">
        <v>0.04</v>
      </c>
      <c r="H333" s="25"/>
    </row>
    <row r="334" spans="1:8" x14ac:dyDescent="0.3">
      <c r="A334">
        <v>202605</v>
      </c>
      <c r="B334" t="s">
        <v>41</v>
      </c>
      <c r="C334">
        <v>1760130389</v>
      </c>
      <c r="D334" t="s">
        <v>26</v>
      </c>
      <c r="E334" t="s">
        <v>27</v>
      </c>
      <c r="F334" t="s">
        <v>58</v>
      </c>
      <c r="G334" s="8">
        <v>5.5E-2</v>
      </c>
      <c r="H334" s="25">
        <v>4.25</v>
      </c>
    </row>
    <row r="335" spans="1:8" x14ac:dyDescent="0.3">
      <c r="A335">
        <v>202605</v>
      </c>
      <c r="B335" t="s">
        <v>41</v>
      </c>
      <c r="C335">
        <v>1760142920</v>
      </c>
      <c r="D335" t="s">
        <v>21</v>
      </c>
      <c r="E335" t="s">
        <v>27</v>
      </c>
      <c r="F335" t="s">
        <v>63</v>
      </c>
      <c r="G335" s="8">
        <v>0.19899800000000001</v>
      </c>
      <c r="H335" s="25">
        <v>2.35</v>
      </c>
    </row>
    <row r="336" spans="1:8" x14ac:dyDescent="0.3">
      <c r="A336">
        <v>202605</v>
      </c>
      <c r="B336" t="s">
        <v>41</v>
      </c>
      <c r="C336">
        <v>1760144100</v>
      </c>
      <c r="D336" t="s">
        <v>21</v>
      </c>
      <c r="E336" t="s">
        <v>27</v>
      </c>
      <c r="F336" t="s">
        <v>64</v>
      </c>
      <c r="G336" s="8">
        <v>0.17155000000000001</v>
      </c>
      <c r="H336" s="25">
        <v>4.95</v>
      </c>
    </row>
    <row r="337" spans="1:8" x14ac:dyDescent="0.3">
      <c r="A337">
        <v>202605</v>
      </c>
      <c r="B337" t="s">
        <v>41</v>
      </c>
      <c r="C337">
        <v>1760154090</v>
      </c>
      <c r="D337" t="s">
        <v>26</v>
      </c>
      <c r="E337" t="s">
        <v>27</v>
      </c>
      <c r="F337" t="s">
        <v>58</v>
      </c>
      <c r="G337" s="8">
        <v>2.9000000000000001E-2</v>
      </c>
      <c r="H337" s="25">
        <v>4.25</v>
      </c>
    </row>
    <row r="338" spans="1:8" x14ac:dyDescent="0.3">
      <c r="A338">
        <v>202605</v>
      </c>
      <c r="B338" t="s">
        <v>41</v>
      </c>
      <c r="C338">
        <v>1760154156</v>
      </c>
      <c r="D338" t="s">
        <v>26</v>
      </c>
      <c r="E338" t="s">
        <v>27</v>
      </c>
      <c r="F338" t="s">
        <v>58</v>
      </c>
      <c r="G338" s="8">
        <v>3.5000000000000003E-2</v>
      </c>
      <c r="H338" s="25">
        <v>4.25</v>
      </c>
    </row>
    <row r="339" spans="1:8" x14ac:dyDescent="0.3">
      <c r="A339">
        <v>202605</v>
      </c>
      <c r="B339" t="s">
        <v>41</v>
      </c>
      <c r="C339">
        <v>1760154164</v>
      </c>
      <c r="D339" t="s">
        <v>26</v>
      </c>
      <c r="E339" t="s">
        <v>27</v>
      </c>
      <c r="F339" t="s">
        <v>58</v>
      </c>
      <c r="G339" s="8">
        <v>0.05</v>
      </c>
      <c r="H339" s="25">
        <v>4.25</v>
      </c>
    </row>
    <row r="340" spans="1:8" x14ac:dyDescent="0.3">
      <c r="A340">
        <v>202605</v>
      </c>
      <c r="B340" t="s">
        <v>41</v>
      </c>
      <c r="C340">
        <v>1760164844</v>
      </c>
      <c r="D340" t="s">
        <v>26</v>
      </c>
      <c r="E340" t="s">
        <v>27</v>
      </c>
      <c r="F340" t="s">
        <v>58</v>
      </c>
      <c r="G340" s="8">
        <v>2.5000000000000001E-2</v>
      </c>
      <c r="H340" s="25">
        <v>4.25</v>
      </c>
    </row>
    <row r="341" spans="1:8" x14ac:dyDescent="0.3">
      <c r="A341">
        <v>202605</v>
      </c>
      <c r="B341" t="s">
        <v>41</v>
      </c>
      <c r="C341">
        <v>1760164879</v>
      </c>
      <c r="D341" t="s">
        <v>26</v>
      </c>
      <c r="E341" t="s">
        <v>27</v>
      </c>
      <c r="F341" t="s">
        <v>58</v>
      </c>
      <c r="G341" s="8">
        <v>2.7E-2</v>
      </c>
      <c r="H341" s="25">
        <v>4.25</v>
      </c>
    </row>
    <row r="342" spans="1:8" x14ac:dyDescent="0.3">
      <c r="A342">
        <v>202605</v>
      </c>
      <c r="B342" t="s">
        <v>41</v>
      </c>
      <c r="C342">
        <v>1760164984</v>
      </c>
      <c r="D342" t="s">
        <v>26</v>
      </c>
      <c r="E342" t="s">
        <v>27</v>
      </c>
      <c r="F342" t="s">
        <v>58</v>
      </c>
      <c r="G342" s="8">
        <v>0.04</v>
      </c>
      <c r="H342" s="25">
        <v>4.25</v>
      </c>
    </row>
    <row r="343" spans="1:8" x14ac:dyDescent="0.3">
      <c r="A343">
        <v>202605</v>
      </c>
      <c r="B343" t="s">
        <v>41</v>
      </c>
      <c r="C343">
        <v>1760165875</v>
      </c>
      <c r="D343" t="s">
        <v>21</v>
      </c>
      <c r="E343" t="s">
        <v>22</v>
      </c>
      <c r="F343" t="s">
        <v>67</v>
      </c>
      <c r="G343" s="8">
        <v>0.10248</v>
      </c>
      <c r="H343" s="25">
        <v>5.75</v>
      </c>
    </row>
    <row r="344" spans="1:8" x14ac:dyDescent="0.3">
      <c r="A344">
        <v>202605</v>
      </c>
      <c r="B344" t="s">
        <v>41</v>
      </c>
      <c r="C344">
        <v>1760167703</v>
      </c>
      <c r="D344" t="s">
        <v>21</v>
      </c>
      <c r="E344" t="s">
        <v>27</v>
      </c>
      <c r="F344" t="s">
        <v>98</v>
      </c>
      <c r="G344" s="8">
        <v>0.30743999999999999</v>
      </c>
      <c r="H344" s="25">
        <v>2.15</v>
      </c>
    </row>
    <row r="345" spans="1:8" x14ac:dyDescent="0.3">
      <c r="A345">
        <v>202605</v>
      </c>
      <c r="B345" t="s">
        <v>41</v>
      </c>
      <c r="C345">
        <v>1760170550</v>
      </c>
      <c r="D345" t="s">
        <v>21</v>
      </c>
      <c r="E345" t="s">
        <v>27</v>
      </c>
      <c r="F345" t="s">
        <v>64</v>
      </c>
      <c r="G345" s="8">
        <v>0.17080000000000001</v>
      </c>
      <c r="H345" s="25">
        <v>4.95</v>
      </c>
    </row>
    <row r="346" spans="1:8" x14ac:dyDescent="0.3">
      <c r="A346">
        <v>202605</v>
      </c>
      <c r="B346" t="s">
        <v>41</v>
      </c>
      <c r="C346">
        <v>1760177120</v>
      </c>
      <c r="D346" t="s">
        <v>21</v>
      </c>
      <c r="E346" t="s">
        <v>27</v>
      </c>
      <c r="F346" t="s">
        <v>59</v>
      </c>
      <c r="G346" s="8">
        <v>1.3720000000000001</v>
      </c>
      <c r="H346" s="25">
        <v>1.93</v>
      </c>
    </row>
    <row r="347" spans="1:8" x14ac:dyDescent="0.3">
      <c r="A347">
        <v>202605</v>
      </c>
      <c r="B347" t="s">
        <v>41</v>
      </c>
      <c r="C347">
        <v>1760247340</v>
      </c>
      <c r="D347" t="s">
        <v>21</v>
      </c>
      <c r="E347" t="s">
        <v>22</v>
      </c>
      <c r="F347" t="s">
        <v>67</v>
      </c>
      <c r="G347" s="8">
        <v>2.0501999999999999E-2</v>
      </c>
      <c r="H347" s="25">
        <v>6.25</v>
      </c>
    </row>
    <row r="348" spans="1:8" x14ac:dyDescent="0.3">
      <c r="A348">
        <v>202605</v>
      </c>
      <c r="B348" t="s">
        <v>41</v>
      </c>
      <c r="C348">
        <v>1760247420</v>
      </c>
      <c r="D348" t="s">
        <v>21</v>
      </c>
      <c r="E348" t="s">
        <v>22</v>
      </c>
      <c r="F348" t="s">
        <v>67</v>
      </c>
      <c r="G348" s="8">
        <v>0.10251</v>
      </c>
      <c r="H348" s="25">
        <v>6.25</v>
      </c>
    </row>
    <row r="349" spans="1:8" x14ac:dyDescent="0.3">
      <c r="A349">
        <v>202605</v>
      </c>
      <c r="B349" t="s">
        <v>41</v>
      </c>
      <c r="C349">
        <v>1760281182</v>
      </c>
      <c r="D349" t="s">
        <v>21</v>
      </c>
      <c r="E349" t="s">
        <v>22</v>
      </c>
      <c r="F349" t="s">
        <v>57</v>
      </c>
      <c r="G349" s="8">
        <v>0.90524000000000004</v>
      </c>
      <c r="H349" s="25">
        <v>5.45</v>
      </c>
    </row>
    <row r="350" spans="1:8" x14ac:dyDescent="0.3">
      <c r="A350">
        <v>202605</v>
      </c>
      <c r="B350" t="s">
        <v>41</v>
      </c>
      <c r="C350">
        <v>1760282669</v>
      </c>
      <c r="D350" t="s">
        <v>21</v>
      </c>
      <c r="E350" t="s">
        <v>68</v>
      </c>
      <c r="F350" t="s">
        <v>252</v>
      </c>
      <c r="G350" s="8">
        <v>0.6385358000000001</v>
      </c>
      <c r="H350" s="25"/>
    </row>
    <row r="351" spans="1:8" x14ac:dyDescent="0.3">
      <c r="A351">
        <v>202605</v>
      </c>
      <c r="B351" t="s">
        <v>41</v>
      </c>
      <c r="C351">
        <v>1760282707</v>
      </c>
      <c r="D351" t="s">
        <v>21</v>
      </c>
      <c r="E351" t="s">
        <v>68</v>
      </c>
      <c r="F351" t="s">
        <v>252</v>
      </c>
      <c r="G351" s="8">
        <v>1.0099404000000001</v>
      </c>
      <c r="H351" s="25"/>
    </row>
    <row r="352" spans="1:8" x14ac:dyDescent="0.3">
      <c r="A352">
        <v>202605</v>
      </c>
      <c r="B352" t="s">
        <v>41</v>
      </c>
      <c r="C352">
        <v>1760286036</v>
      </c>
      <c r="D352" t="s">
        <v>26</v>
      </c>
      <c r="E352" t="s">
        <v>27</v>
      </c>
      <c r="F352" t="s">
        <v>58</v>
      </c>
      <c r="G352" s="8">
        <v>4.1000000000000002E-2</v>
      </c>
      <c r="H352" s="25">
        <v>4.25</v>
      </c>
    </row>
    <row r="353" spans="1:8" x14ac:dyDescent="0.3">
      <c r="A353">
        <v>202605</v>
      </c>
      <c r="B353" t="s">
        <v>41</v>
      </c>
      <c r="C353">
        <v>1760286206</v>
      </c>
      <c r="D353" t="s">
        <v>26</v>
      </c>
      <c r="E353" t="s">
        <v>27</v>
      </c>
      <c r="F353" t="s">
        <v>58</v>
      </c>
      <c r="G353" s="8">
        <v>4.4999999999999998E-2</v>
      </c>
      <c r="H353" s="25">
        <v>4.25</v>
      </c>
    </row>
    <row r="354" spans="1:8" x14ac:dyDescent="0.3">
      <c r="A354">
        <v>202605</v>
      </c>
      <c r="B354" t="s">
        <v>41</v>
      </c>
      <c r="C354">
        <v>1760286230</v>
      </c>
      <c r="D354" t="s">
        <v>26</v>
      </c>
      <c r="E354" t="s">
        <v>27</v>
      </c>
      <c r="F354" t="s">
        <v>58</v>
      </c>
      <c r="G354" s="8">
        <v>7.4999999999999997E-2</v>
      </c>
      <c r="H354" s="25">
        <v>4.25</v>
      </c>
    </row>
    <row r="355" spans="1:8" x14ac:dyDescent="0.3">
      <c r="A355">
        <v>202605</v>
      </c>
      <c r="B355" t="s">
        <v>42</v>
      </c>
      <c r="C355">
        <v>1760161055</v>
      </c>
      <c r="D355" t="s">
        <v>21</v>
      </c>
      <c r="E355" t="s">
        <v>22</v>
      </c>
      <c r="F355" t="s">
        <v>148</v>
      </c>
      <c r="G355" s="8">
        <v>2.7391999999999999</v>
      </c>
      <c r="H355" s="25">
        <v>1.77</v>
      </c>
    </row>
    <row r="356" spans="1:8" x14ac:dyDescent="0.3">
      <c r="A356">
        <v>202605</v>
      </c>
      <c r="B356" t="s">
        <v>42</v>
      </c>
      <c r="C356">
        <v>1760292877</v>
      </c>
      <c r="D356" t="s">
        <v>26</v>
      </c>
      <c r="E356" t="s">
        <v>38</v>
      </c>
      <c r="F356" t="s">
        <v>151</v>
      </c>
      <c r="G356" s="8">
        <v>0.27646425000000002</v>
      </c>
      <c r="H356" s="25">
        <v>6.6</v>
      </c>
    </row>
    <row r="357" spans="1:8" x14ac:dyDescent="0.3">
      <c r="A357">
        <v>202605</v>
      </c>
      <c r="B357" t="s">
        <v>42</v>
      </c>
      <c r="C357">
        <v>1760293016</v>
      </c>
      <c r="D357" t="s">
        <v>26</v>
      </c>
      <c r="E357" t="s">
        <v>38</v>
      </c>
      <c r="F357" t="s">
        <v>151</v>
      </c>
      <c r="G357" s="8">
        <v>0.39344145000000003</v>
      </c>
      <c r="H357" s="25">
        <v>6.55</v>
      </c>
    </row>
    <row r="358" spans="1:8" x14ac:dyDescent="0.3">
      <c r="A358">
        <v>202605</v>
      </c>
      <c r="B358" t="s">
        <v>44</v>
      </c>
      <c r="C358">
        <v>1760170127</v>
      </c>
      <c r="D358" t="s">
        <v>21</v>
      </c>
      <c r="E358" t="s">
        <v>22</v>
      </c>
      <c r="F358" t="s">
        <v>152</v>
      </c>
      <c r="G358" s="8">
        <v>0.68320000000000003</v>
      </c>
      <c r="H358" s="25">
        <v>3.9</v>
      </c>
    </row>
    <row r="359" spans="1:8" x14ac:dyDescent="0.3">
      <c r="A359">
        <v>202605</v>
      </c>
      <c r="B359" t="s">
        <v>44</v>
      </c>
      <c r="C359">
        <v>1760182974</v>
      </c>
      <c r="D359" t="s">
        <v>21</v>
      </c>
      <c r="E359" t="s">
        <v>68</v>
      </c>
      <c r="F359" t="s">
        <v>213</v>
      </c>
      <c r="G359" s="8">
        <v>7.7175000000000002</v>
      </c>
      <c r="H359" s="25"/>
    </row>
    <row r="360" spans="1:8" x14ac:dyDescent="0.3">
      <c r="A360">
        <v>202605</v>
      </c>
      <c r="B360" t="s">
        <v>44</v>
      </c>
      <c r="C360">
        <v>1760183393</v>
      </c>
      <c r="D360" t="s">
        <v>21</v>
      </c>
      <c r="E360" t="s">
        <v>68</v>
      </c>
      <c r="F360" t="s">
        <v>213</v>
      </c>
      <c r="G360" s="8">
        <v>7.7175000000000002</v>
      </c>
      <c r="H360" s="25"/>
    </row>
    <row r="361" spans="1:8" x14ac:dyDescent="0.3">
      <c r="A361">
        <v>202605</v>
      </c>
      <c r="B361" t="s">
        <v>44</v>
      </c>
      <c r="C361">
        <v>1760223867</v>
      </c>
      <c r="D361" t="s">
        <v>21</v>
      </c>
      <c r="E361" t="s">
        <v>27</v>
      </c>
      <c r="F361" t="s">
        <v>240</v>
      </c>
      <c r="G361" s="8">
        <v>0.51165000000000005</v>
      </c>
      <c r="H361" s="25">
        <v>4.9000000000000004</v>
      </c>
    </row>
    <row r="362" spans="1:8" x14ac:dyDescent="0.3">
      <c r="A362">
        <v>202605</v>
      </c>
      <c r="B362" t="s">
        <v>44</v>
      </c>
      <c r="C362">
        <v>1760240443</v>
      </c>
      <c r="D362" t="s">
        <v>21</v>
      </c>
      <c r="E362" t="s">
        <v>27</v>
      </c>
      <c r="F362" t="s">
        <v>241</v>
      </c>
      <c r="G362" s="8">
        <v>3.415</v>
      </c>
      <c r="H362" s="25">
        <v>0.55000000000000004</v>
      </c>
    </row>
    <row r="363" spans="1:8" x14ac:dyDescent="0.3">
      <c r="A363">
        <v>202605</v>
      </c>
      <c r="B363" t="s">
        <v>44</v>
      </c>
      <c r="C363">
        <v>1760292109</v>
      </c>
      <c r="D363" t="s">
        <v>21</v>
      </c>
      <c r="E363" t="s">
        <v>22</v>
      </c>
      <c r="F363" t="s">
        <v>213</v>
      </c>
      <c r="G363" s="8">
        <v>8.5449999999999999</v>
      </c>
      <c r="H363" s="25">
        <v>0.95</v>
      </c>
    </row>
    <row r="364" spans="1:8" x14ac:dyDescent="0.3">
      <c r="A364">
        <v>202605</v>
      </c>
      <c r="B364" t="s">
        <v>36</v>
      </c>
      <c r="C364">
        <v>1755948913</v>
      </c>
      <c r="D364" t="s">
        <v>26</v>
      </c>
      <c r="E364" t="s">
        <v>22</v>
      </c>
      <c r="F364" t="s">
        <v>214</v>
      </c>
      <c r="G364" s="8">
        <v>1</v>
      </c>
      <c r="H364" s="25">
        <v>0.8</v>
      </c>
    </row>
    <row r="365" spans="1:8" x14ac:dyDescent="0.3">
      <c r="A365">
        <v>202605</v>
      </c>
      <c r="B365" t="s">
        <v>36</v>
      </c>
      <c r="C365">
        <v>1760135496</v>
      </c>
      <c r="D365" t="s">
        <v>21</v>
      </c>
      <c r="E365" t="s">
        <v>27</v>
      </c>
      <c r="F365" t="s">
        <v>215</v>
      </c>
      <c r="G365" s="8">
        <v>6.8680000000000003</v>
      </c>
      <c r="H365" s="25">
        <v>0.4</v>
      </c>
    </row>
    <row r="366" spans="1:8" x14ac:dyDescent="0.3">
      <c r="A366">
        <v>202605</v>
      </c>
      <c r="B366" t="s">
        <v>36</v>
      </c>
      <c r="C366">
        <v>1760142565</v>
      </c>
      <c r="D366" t="s">
        <v>26</v>
      </c>
      <c r="E366" t="s">
        <v>22</v>
      </c>
      <c r="F366" t="s">
        <v>216</v>
      </c>
      <c r="G366" s="8">
        <v>0.3458</v>
      </c>
      <c r="H366" s="25">
        <v>9.75</v>
      </c>
    </row>
    <row r="367" spans="1:8" x14ac:dyDescent="0.3">
      <c r="A367">
        <v>202605</v>
      </c>
      <c r="B367" t="s">
        <v>36</v>
      </c>
      <c r="C367">
        <v>1760148288</v>
      </c>
      <c r="D367" t="s">
        <v>21</v>
      </c>
      <c r="E367" t="s">
        <v>27</v>
      </c>
      <c r="F367" t="s">
        <v>157</v>
      </c>
      <c r="G367" s="8">
        <v>1.7155</v>
      </c>
      <c r="H367" s="25">
        <v>2.4500000000000002</v>
      </c>
    </row>
    <row r="368" spans="1:8" x14ac:dyDescent="0.3">
      <c r="A368">
        <v>202605</v>
      </c>
      <c r="B368" t="s">
        <v>36</v>
      </c>
      <c r="C368">
        <v>1760171573</v>
      </c>
      <c r="D368" t="s">
        <v>21</v>
      </c>
      <c r="E368" t="s">
        <v>68</v>
      </c>
      <c r="F368" t="s">
        <v>217</v>
      </c>
      <c r="G368" s="8">
        <v>1.708</v>
      </c>
      <c r="H368" s="25"/>
    </row>
    <row r="369" spans="1:8" x14ac:dyDescent="0.3">
      <c r="A369">
        <v>202605</v>
      </c>
      <c r="B369" t="s">
        <v>36</v>
      </c>
      <c r="C369">
        <v>1760266167</v>
      </c>
      <c r="D369" t="s">
        <v>21</v>
      </c>
      <c r="E369" t="s">
        <v>22</v>
      </c>
      <c r="F369" t="s">
        <v>156</v>
      </c>
      <c r="G369" s="8">
        <v>3.0726</v>
      </c>
      <c r="H369" s="25"/>
    </row>
    <row r="370" spans="1:8" x14ac:dyDescent="0.3">
      <c r="A370">
        <v>202605</v>
      </c>
      <c r="B370" t="s">
        <v>36</v>
      </c>
      <c r="C370">
        <v>1760274542</v>
      </c>
      <c r="D370" t="s">
        <v>21</v>
      </c>
      <c r="E370" t="s">
        <v>27</v>
      </c>
      <c r="F370" t="s">
        <v>157</v>
      </c>
      <c r="G370" s="8">
        <v>1.0247999999999999</v>
      </c>
      <c r="H370" s="25">
        <v>2.4500000000000002</v>
      </c>
    </row>
    <row r="371" spans="1:8" x14ac:dyDescent="0.3">
      <c r="A371">
        <v>202605</v>
      </c>
      <c r="B371" t="s">
        <v>37</v>
      </c>
      <c r="C371">
        <v>1755949553</v>
      </c>
      <c r="D371" t="s">
        <v>26</v>
      </c>
      <c r="E371" t="s">
        <v>22</v>
      </c>
      <c r="F371" t="s">
        <v>218</v>
      </c>
      <c r="G371" s="8">
        <v>1.0366291000000001</v>
      </c>
      <c r="H371" s="25">
        <v>5.2</v>
      </c>
    </row>
    <row r="372" spans="1:8" x14ac:dyDescent="0.3">
      <c r="A372">
        <v>202605</v>
      </c>
      <c r="B372" t="s">
        <v>37</v>
      </c>
      <c r="C372">
        <v>1755952546</v>
      </c>
      <c r="D372" t="s">
        <v>21</v>
      </c>
      <c r="E372" t="s">
        <v>27</v>
      </c>
      <c r="F372" t="s">
        <v>166</v>
      </c>
      <c r="G372" s="8">
        <v>0.41508</v>
      </c>
      <c r="H372" s="25">
        <v>3.5</v>
      </c>
    </row>
    <row r="373" spans="1:8" x14ac:dyDescent="0.3">
      <c r="A373">
        <v>202605</v>
      </c>
      <c r="B373" t="s">
        <v>37</v>
      </c>
      <c r="C373">
        <v>1760113182</v>
      </c>
      <c r="D373" t="s">
        <v>26</v>
      </c>
      <c r="E373" t="s">
        <v>22</v>
      </c>
      <c r="F373" t="s">
        <v>170</v>
      </c>
      <c r="G373" s="8">
        <v>0.35</v>
      </c>
      <c r="H373" s="25">
        <v>1.55</v>
      </c>
    </row>
    <row r="374" spans="1:8" x14ac:dyDescent="0.3">
      <c r="A374">
        <v>202605</v>
      </c>
      <c r="B374" t="s">
        <v>37</v>
      </c>
      <c r="C374">
        <v>1760113298</v>
      </c>
      <c r="D374" t="s">
        <v>26</v>
      </c>
      <c r="E374" t="s">
        <v>22</v>
      </c>
      <c r="F374" t="s">
        <v>170</v>
      </c>
      <c r="G374" s="8">
        <v>0.35</v>
      </c>
      <c r="H374" s="25">
        <v>1.55</v>
      </c>
    </row>
    <row r="375" spans="1:8" x14ac:dyDescent="0.3">
      <c r="A375">
        <v>202605</v>
      </c>
      <c r="B375" t="s">
        <v>37</v>
      </c>
      <c r="C375">
        <v>1760165506</v>
      </c>
      <c r="D375" t="s">
        <v>21</v>
      </c>
      <c r="E375" t="s">
        <v>68</v>
      </c>
      <c r="F375" t="s">
        <v>219</v>
      </c>
      <c r="G375" s="8">
        <v>2.0495999999999999</v>
      </c>
      <c r="H375" s="25"/>
    </row>
    <row r="376" spans="1:8" x14ac:dyDescent="0.3">
      <c r="A376">
        <v>202605</v>
      </c>
      <c r="B376" t="s">
        <v>37</v>
      </c>
      <c r="C376">
        <v>1760195766</v>
      </c>
      <c r="D376" t="s">
        <v>21</v>
      </c>
      <c r="E376" t="s">
        <v>22</v>
      </c>
      <c r="F376" t="s">
        <v>170</v>
      </c>
      <c r="G376" s="8">
        <v>0.34329999999999999</v>
      </c>
      <c r="H376" s="25">
        <v>1.8</v>
      </c>
    </row>
    <row r="377" spans="1:8" x14ac:dyDescent="0.3">
      <c r="A377">
        <v>202605</v>
      </c>
      <c r="B377" t="s">
        <v>37</v>
      </c>
      <c r="C377">
        <v>1760195847</v>
      </c>
      <c r="D377" t="s">
        <v>21</v>
      </c>
      <c r="E377" t="s">
        <v>22</v>
      </c>
      <c r="F377" t="s">
        <v>170</v>
      </c>
      <c r="G377" s="8">
        <v>0.34329999999999999</v>
      </c>
      <c r="H377" s="25">
        <v>1.8</v>
      </c>
    </row>
    <row r="378" spans="1:8" x14ac:dyDescent="0.3">
      <c r="A378">
        <v>202605</v>
      </c>
      <c r="B378" t="s">
        <v>37</v>
      </c>
      <c r="C378">
        <v>1760196096</v>
      </c>
      <c r="D378" t="s">
        <v>21</v>
      </c>
      <c r="E378" t="s">
        <v>22</v>
      </c>
      <c r="F378" t="s">
        <v>170</v>
      </c>
      <c r="G378" s="8">
        <v>0.34329999999999999</v>
      </c>
      <c r="H378" s="25">
        <v>1.8</v>
      </c>
    </row>
    <row r="379" spans="1:8" x14ac:dyDescent="0.3">
      <c r="A379">
        <v>202605</v>
      </c>
      <c r="B379" t="s">
        <v>37</v>
      </c>
      <c r="C379">
        <v>1760196185</v>
      </c>
      <c r="D379" t="s">
        <v>21</v>
      </c>
      <c r="E379" t="s">
        <v>22</v>
      </c>
      <c r="F379" t="s">
        <v>170</v>
      </c>
      <c r="G379" s="8">
        <v>0.34329999999999999</v>
      </c>
      <c r="H379" s="25">
        <v>1.8</v>
      </c>
    </row>
    <row r="380" spans="1:8" x14ac:dyDescent="0.3">
      <c r="A380">
        <v>202605</v>
      </c>
      <c r="B380" t="s">
        <v>37</v>
      </c>
      <c r="C380">
        <v>1760217816</v>
      </c>
      <c r="D380" t="s">
        <v>26</v>
      </c>
      <c r="E380" t="s">
        <v>22</v>
      </c>
      <c r="F380" t="s">
        <v>170</v>
      </c>
      <c r="G380" s="8">
        <v>0.35</v>
      </c>
      <c r="H380" s="25">
        <v>1.5</v>
      </c>
    </row>
    <row r="381" spans="1:8" x14ac:dyDescent="0.3">
      <c r="A381">
        <v>202605</v>
      </c>
      <c r="B381" t="s">
        <v>37</v>
      </c>
      <c r="C381">
        <v>1760223750</v>
      </c>
      <c r="D381" t="s">
        <v>26</v>
      </c>
      <c r="E381" t="s">
        <v>22</v>
      </c>
      <c r="F381" t="s">
        <v>170</v>
      </c>
      <c r="G381" s="8">
        <v>0.35</v>
      </c>
      <c r="H381" s="25">
        <v>1.5</v>
      </c>
    </row>
    <row r="382" spans="1:8" x14ac:dyDescent="0.3">
      <c r="A382">
        <v>202605</v>
      </c>
      <c r="B382" t="s">
        <v>37</v>
      </c>
      <c r="C382">
        <v>1760225916</v>
      </c>
      <c r="D382" t="s">
        <v>26</v>
      </c>
      <c r="E382" t="s">
        <v>22</v>
      </c>
      <c r="F382" t="s">
        <v>242</v>
      </c>
      <c r="G382" s="8">
        <v>0.91</v>
      </c>
      <c r="H382" s="25">
        <v>1.1200000000000001</v>
      </c>
    </row>
    <row r="383" spans="1:8" x14ac:dyDescent="0.3">
      <c r="A383">
        <v>202605</v>
      </c>
      <c r="B383" t="s">
        <v>37</v>
      </c>
      <c r="C383">
        <v>1760226040</v>
      </c>
      <c r="D383" t="s">
        <v>26</v>
      </c>
      <c r="E383" t="s">
        <v>22</v>
      </c>
      <c r="F383" t="s">
        <v>242</v>
      </c>
      <c r="G383" s="8">
        <v>0.91400000000000003</v>
      </c>
      <c r="H383" s="25">
        <v>1.1200000000000001</v>
      </c>
    </row>
    <row r="384" spans="1:8" x14ac:dyDescent="0.3">
      <c r="A384">
        <v>202605</v>
      </c>
      <c r="B384" t="s">
        <v>37</v>
      </c>
      <c r="C384">
        <v>1760226050</v>
      </c>
      <c r="D384" t="s">
        <v>26</v>
      </c>
      <c r="E384" t="s">
        <v>22</v>
      </c>
      <c r="F384" t="s">
        <v>242</v>
      </c>
      <c r="G384" s="8">
        <v>0.91800000000000004</v>
      </c>
      <c r="H384" s="25">
        <v>1.1200000000000001</v>
      </c>
    </row>
    <row r="385" spans="1:8" x14ac:dyDescent="0.3">
      <c r="A385">
        <v>202605</v>
      </c>
      <c r="B385" t="s">
        <v>37</v>
      </c>
      <c r="C385">
        <v>1760292354</v>
      </c>
      <c r="D385" t="s">
        <v>26</v>
      </c>
      <c r="E385" t="s">
        <v>22</v>
      </c>
      <c r="F385" t="s">
        <v>167</v>
      </c>
      <c r="G385" s="8">
        <v>1.3896999999999999</v>
      </c>
      <c r="H385" s="25">
        <v>0.75</v>
      </c>
    </row>
    <row r="386" spans="1:8" x14ac:dyDescent="0.3">
      <c r="A386">
        <v>202605</v>
      </c>
      <c r="B386" t="s">
        <v>46</v>
      </c>
      <c r="C386">
        <v>1755931492</v>
      </c>
      <c r="D386" t="s">
        <v>26</v>
      </c>
      <c r="E386" t="s">
        <v>22</v>
      </c>
      <c r="F386" t="s">
        <v>220</v>
      </c>
      <c r="G386" s="8">
        <v>0.42691699999999999</v>
      </c>
      <c r="H386" s="25">
        <v>1</v>
      </c>
    </row>
    <row r="387" spans="1:8" x14ac:dyDescent="0.3">
      <c r="A387">
        <v>202605</v>
      </c>
      <c r="B387" t="s">
        <v>46</v>
      </c>
      <c r="C387">
        <v>1755932715</v>
      </c>
      <c r="D387" t="s">
        <v>21</v>
      </c>
      <c r="E387" t="s">
        <v>27</v>
      </c>
      <c r="F387" t="s">
        <v>220</v>
      </c>
      <c r="G387" s="8">
        <v>0.66220114500000005</v>
      </c>
      <c r="H387" s="25">
        <v>1</v>
      </c>
    </row>
    <row r="388" spans="1:8" x14ac:dyDescent="0.3">
      <c r="A388">
        <v>202605</v>
      </c>
      <c r="B388" t="s">
        <v>30</v>
      </c>
      <c r="C388">
        <v>1755926870</v>
      </c>
      <c r="D388" t="s">
        <v>21</v>
      </c>
      <c r="E388" t="s">
        <v>27</v>
      </c>
      <c r="F388" t="s">
        <v>221</v>
      </c>
      <c r="G388" s="8">
        <v>1.0485</v>
      </c>
      <c r="H388" s="25">
        <v>3.85</v>
      </c>
    </row>
    <row r="389" spans="1:8" x14ac:dyDescent="0.3">
      <c r="A389">
        <v>202605</v>
      </c>
      <c r="B389" t="s">
        <v>30</v>
      </c>
      <c r="C389">
        <v>1755927339</v>
      </c>
      <c r="D389" t="s">
        <v>21</v>
      </c>
      <c r="E389" t="s">
        <v>27</v>
      </c>
      <c r="F389" t="s">
        <v>221</v>
      </c>
      <c r="G389" s="8">
        <v>0.85841484869999995</v>
      </c>
      <c r="H389" s="25">
        <v>3.85</v>
      </c>
    </row>
    <row r="390" spans="1:8" x14ac:dyDescent="0.3">
      <c r="A390">
        <v>202605</v>
      </c>
      <c r="B390" t="s">
        <v>30</v>
      </c>
      <c r="C390">
        <v>1755927370</v>
      </c>
      <c r="D390" t="s">
        <v>21</v>
      </c>
      <c r="E390" t="s">
        <v>27</v>
      </c>
      <c r="F390" t="s">
        <v>221</v>
      </c>
      <c r="G390" s="8">
        <v>0.18873000000000001</v>
      </c>
      <c r="H390" s="25">
        <v>3.85</v>
      </c>
    </row>
    <row r="391" spans="1:8" x14ac:dyDescent="0.3">
      <c r="A391">
        <v>202605</v>
      </c>
      <c r="B391" t="s">
        <v>30</v>
      </c>
      <c r="C391">
        <v>1755946147</v>
      </c>
      <c r="D391" t="s">
        <v>21</v>
      </c>
      <c r="E391" t="s">
        <v>68</v>
      </c>
      <c r="F391" t="s">
        <v>175</v>
      </c>
      <c r="G391" s="8">
        <v>1.4112720000000001</v>
      </c>
      <c r="H391" s="25"/>
    </row>
    <row r="392" spans="1:8" x14ac:dyDescent="0.3">
      <c r="A392">
        <v>202605</v>
      </c>
      <c r="B392" t="s">
        <v>30</v>
      </c>
      <c r="C392">
        <v>1760144045</v>
      </c>
      <c r="D392" t="s">
        <v>21</v>
      </c>
      <c r="E392" t="s">
        <v>27</v>
      </c>
      <c r="F392" t="s">
        <v>222</v>
      </c>
      <c r="G392" s="8">
        <v>5.8327</v>
      </c>
      <c r="H392" s="25">
        <v>0.24</v>
      </c>
    </row>
    <row r="393" spans="1:8" x14ac:dyDescent="0.3">
      <c r="A393">
        <v>202605</v>
      </c>
      <c r="B393" t="s">
        <v>30</v>
      </c>
      <c r="C393">
        <v>1760166804</v>
      </c>
      <c r="D393" t="s">
        <v>26</v>
      </c>
      <c r="E393" t="s">
        <v>22</v>
      </c>
      <c r="F393" t="s">
        <v>223</v>
      </c>
      <c r="G393" s="8">
        <v>3</v>
      </c>
      <c r="H393" s="25">
        <v>0.5</v>
      </c>
    </row>
    <row r="394" spans="1:8" x14ac:dyDescent="0.3">
      <c r="A394">
        <v>202605</v>
      </c>
      <c r="B394" t="s">
        <v>30</v>
      </c>
      <c r="C394">
        <v>1760166944</v>
      </c>
      <c r="D394" t="s">
        <v>26</v>
      </c>
      <c r="E394" t="s">
        <v>22</v>
      </c>
      <c r="F394" t="s">
        <v>223</v>
      </c>
      <c r="G394" s="8">
        <v>3</v>
      </c>
      <c r="H394" s="25">
        <v>0.5</v>
      </c>
    </row>
    <row r="395" spans="1:8" x14ac:dyDescent="0.3">
      <c r="A395">
        <v>202605</v>
      </c>
      <c r="B395" t="s">
        <v>30</v>
      </c>
      <c r="C395">
        <v>1760218693</v>
      </c>
      <c r="D395" t="s">
        <v>21</v>
      </c>
      <c r="E395" t="s">
        <v>22</v>
      </c>
      <c r="F395" t="s">
        <v>182</v>
      </c>
      <c r="G395" s="8">
        <v>2.7423999999999999</v>
      </c>
      <c r="H395" s="25">
        <v>0.25</v>
      </c>
    </row>
    <row r="396" spans="1:8" x14ac:dyDescent="0.3">
      <c r="A396">
        <v>202605</v>
      </c>
      <c r="B396" t="s">
        <v>30</v>
      </c>
      <c r="C396">
        <v>1760240400</v>
      </c>
      <c r="D396" t="s">
        <v>21</v>
      </c>
      <c r="E396" t="s">
        <v>27</v>
      </c>
      <c r="F396" t="s">
        <v>177</v>
      </c>
      <c r="G396" s="8">
        <v>5.3717949999999997</v>
      </c>
      <c r="H396" s="25"/>
    </row>
    <row r="397" spans="1:8" x14ac:dyDescent="0.3">
      <c r="A397">
        <v>202605</v>
      </c>
      <c r="B397" t="s">
        <v>30</v>
      </c>
      <c r="C397">
        <v>1760246948</v>
      </c>
      <c r="D397" t="s">
        <v>26</v>
      </c>
      <c r="E397" t="s">
        <v>22</v>
      </c>
      <c r="F397" t="s">
        <v>243</v>
      </c>
      <c r="G397" s="8">
        <v>2.016</v>
      </c>
      <c r="H397" s="25">
        <v>4.5999999999999996</v>
      </c>
    </row>
    <row r="398" spans="1:8" x14ac:dyDescent="0.3">
      <c r="A398">
        <v>202605</v>
      </c>
      <c r="B398" t="s">
        <v>30</v>
      </c>
      <c r="C398">
        <v>1760251470</v>
      </c>
      <c r="D398" t="s">
        <v>21</v>
      </c>
      <c r="E398" t="s">
        <v>27</v>
      </c>
      <c r="F398" t="s">
        <v>244</v>
      </c>
      <c r="G398" s="8">
        <v>1.7084999999999999</v>
      </c>
      <c r="H398" s="25">
        <v>3.15</v>
      </c>
    </row>
    <row r="399" spans="1:8" x14ac:dyDescent="0.3">
      <c r="A399">
        <v>202605</v>
      </c>
      <c r="B399" t="s">
        <v>30</v>
      </c>
      <c r="C399">
        <v>1760269433</v>
      </c>
      <c r="D399" t="s">
        <v>26</v>
      </c>
      <c r="E399" t="s">
        <v>22</v>
      </c>
      <c r="F399" t="s">
        <v>251</v>
      </c>
      <c r="G399" s="8">
        <v>0.13500000000000001</v>
      </c>
      <c r="H399" s="25"/>
    </row>
    <row r="400" spans="1:8" x14ac:dyDescent="0.3">
      <c r="A400">
        <v>202605</v>
      </c>
      <c r="B400" t="s">
        <v>30</v>
      </c>
      <c r="C400">
        <v>1760270660</v>
      </c>
      <c r="D400" t="s">
        <v>26</v>
      </c>
      <c r="E400" t="s">
        <v>22</v>
      </c>
      <c r="F400" t="s">
        <v>251</v>
      </c>
      <c r="G400" s="8">
        <v>0.42936000000000002</v>
      </c>
      <c r="H400" s="25"/>
    </row>
    <row r="401" spans="1:8" x14ac:dyDescent="0.3">
      <c r="A401">
        <v>202605</v>
      </c>
      <c r="B401" t="s">
        <v>30</v>
      </c>
      <c r="C401">
        <v>1760270717</v>
      </c>
      <c r="D401" t="s">
        <v>26</v>
      </c>
      <c r="E401" t="s">
        <v>22</v>
      </c>
      <c r="F401" t="s">
        <v>251</v>
      </c>
      <c r="G401" s="8">
        <v>0.33479999999999999</v>
      </c>
      <c r="H401" s="25"/>
    </row>
    <row r="402" spans="1:8" x14ac:dyDescent="0.3">
      <c r="A402">
        <v>202605</v>
      </c>
      <c r="B402" t="s">
        <v>30</v>
      </c>
      <c r="C402">
        <v>1760270733</v>
      </c>
      <c r="D402" t="s">
        <v>26</v>
      </c>
      <c r="E402" t="s">
        <v>22</v>
      </c>
      <c r="F402" t="s">
        <v>251</v>
      </c>
      <c r="G402" s="8">
        <v>0.29656500000000002</v>
      </c>
      <c r="H402" s="25"/>
    </row>
    <row r="403" spans="1:8" x14ac:dyDescent="0.3">
      <c r="A403">
        <v>202605</v>
      </c>
      <c r="B403" t="s">
        <v>30</v>
      </c>
      <c r="C403">
        <v>1760270740</v>
      </c>
      <c r="D403" t="s">
        <v>26</v>
      </c>
      <c r="E403" t="s">
        <v>22</v>
      </c>
      <c r="F403" t="s">
        <v>251</v>
      </c>
      <c r="G403" s="8">
        <v>0.46890399999999999</v>
      </c>
      <c r="H403" s="25"/>
    </row>
    <row r="404" spans="1:8" x14ac:dyDescent="0.3">
      <c r="A404">
        <v>202605</v>
      </c>
      <c r="B404" t="s">
        <v>30</v>
      </c>
      <c r="C404">
        <v>1760270750</v>
      </c>
      <c r="D404" t="s">
        <v>26</v>
      </c>
      <c r="E404" t="s">
        <v>22</v>
      </c>
      <c r="F404" t="s">
        <v>251</v>
      </c>
      <c r="G404" s="8">
        <v>0.31874999999999998</v>
      </c>
      <c r="H404" s="25"/>
    </row>
    <row r="405" spans="1:8" x14ac:dyDescent="0.3">
      <c r="A405">
        <v>202605</v>
      </c>
      <c r="B405" t="s">
        <v>30</v>
      </c>
      <c r="C405">
        <v>1760270768</v>
      </c>
      <c r="D405" t="s">
        <v>26</v>
      </c>
      <c r="E405" t="s">
        <v>22</v>
      </c>
      <c r="F405" t="s">
        <v>251</v>
      </c>
      <c r="G405" s="8">
        <v>0.33300000000000002</v>
      </c>
      <c r="H405" s="25"/>
    </row>
    <row r="406" spans="1:8" x14ac:dyDescent="0.3">
      <c r="A406">
        <v>202605</v>
      </c>
      <c r="B406" t="s">
        <v>30</v>
      </c>
      <c r="C406">
        <v>1760270784</v>
      </c>
      <c r="D406" t="s">
        <v>26</v>
      </c>
      <c r="E406" t="s">
        <v>22</v>
      </c>
      <c r="F406" t="s">
        <v>251</v>
      </c>
      <c r="G406" s="8">
        <v>0.39091500000000001</v>
      </c>
      <c r="H406" s="25"/>
    </row>
    <row r="407" spans="1:8" x14ac:dyDescent="0.3">
      <c r="A407">
        <v>202605</v>
      </c>
      <c r="B407" t="s">
        <v>30</v>
      </c>
      <c r="C407">
        <v>1760270806</v>
      </c>
      <c r="D407" t="s">
        <v>26</v>
      </c>
      <c r="E407" t="s">
        <v>22</v>
      </c>
      <c r="F407" t="s">
        <v>251</v>
      </c>
      <c r="G407" s="8">
        <v>0.33300000000000002</v>
      </c>
      <c r="H407" s="25"/>
    </row>
    <row r="408" spans="1:8" x14ac:dyDescent="0.3">
      <c r="A408">
        <v>202605</v>
      </c>
      <c r="B408" t="s">
        <v>30</v>
      </c>
      <c r="C408">
        <v>1760270822</v>
      </c>
      <c r="D408" t="s">
        <v>26</v>
      </c>
      <c r="E408" t="s">
        <v>22</v>
      </c>
      <c r="F408" t="s">
        <v>251</v>
      </c>
      <c r="G408" s="8">
        <v>0.35181000000000001</v>
      </c>
      <c r="H408" s="25"/>
    </row>
    <row r="409" spans="1:8" x14ac:dyDescent="0.3">
      <c r="A409">
        <v>202605</v>
      </c>
      <c r="B409" t="s">
        <v>30</v>
      </c>
      <c r="C409">
        <v>1760273074</v>
      </c>
      <c r="D409" t="s">
        <v>21</v>
      </c>
      <c r="E409" t="s">
        <v>68</v>
      </c>
      <c r="F409" t="s">
        <v>175</v>
      </c>
      <c r="G409" s="8">
        <v>0.94281599999999999</v>
      </c>
      <c r="H409" s="25"/>
    </row>
    <row r="410" spans="1:8" x14ac:dyDescent="0.3">
      <c r="A410">
        <v>202605</v>
      </c>
      <c r="B410" t="s">
        <v>43</v>
      </c>
      <c r="C410">
        <v>1760142107</v>
      </c>
      <c r="D410" t="s">
        <v>21</v>
      </c>
      <c r="E410" t="s">
        <v>27</v>
      </c>
      <c r="F410" t="s">
        <v>82</v>
      </c>
      <c r="G410" s="8">
        <v>0.96067999999999998</v>
      </c>
      <c r="H410" s="25">
        <v>3.9</v>
      </c>
    </row>
    <row r="411" spans="1:8" x14ac:dyDescent="0.3">
      <c r="A411">
        <v>202605</v>
      </c>
      <c r="B411" t="s">
        <v>43</v>
      </c>
      <c r="C411">
        <v>1760159735</v>
      </c>
      <c r="D411" t="s">
        <v>21</v>
      </c>
      <c r="E411" t="s">
        <v>27</v>
      </c>
      <c r="F411" t="s">
        <v>82</v>
      </c>
      <c r="G411" s="8">
        <v>0.34239999999999998</v>
      </c>
      <c r="H411" s="25">
        <v>3.9</v>
      </c>
    </row>
    <row r="412" spans="1:8" x14ac:dyDescent="0.3">
      <c r="A412">
        <v>202605</v>
      </c>
      <c r="B412" t="s">
        <v>43</v>
      </c>
      <c r="C412">
        <v>1760167680</v>
      </c>
      <c r="D412" t="s">
        <v>26</v>
      </c>
      <c r="E412" t="s">
        <v>27</v>
      </c>
      <c r="F412" t="s">
        <v>77</v>
      </c>
      <c r="G412" s="8">
        <v>1.19</v>
      </c>
      <c r="H412" s="25">
        <v>2.2000000000000002</v>
      </c>
    </row>
    <row r="413" spans="1:8" x14ac:dyDescent="0.3">
      <c r="A413">
        <v>202605</v>
      </c>
      <c r="B413" t="s">
        <v>43</v>
      </c>
      <c r="C413">
        <v>1760175780</v>
      </c>
      <c r="D413" t="s">
        <v>21</v>
      </c>
      <c r="E413" t="s">
        <v>27</v>
      </c>
      <c r="F413" t="s">
        <v>99</v>
      </c>
      <c r="G413" s="8">
        <v>1.7150000000000001</v>
      </c>
      <c r="H413" s="25">
        <v>1.1000000000000001</v>
      </c>
    </row>
    <row r="414" spans="1:8" x14ac:dyDescent="0.3">
      <c r="A414">
        <v>202605</v>
      </c>
      <c r="B414" t="s">
        <v>43</v>
      </c>
      <c r="C414">
        <v>1760203190</v>
      </c>
      <c r="D414" t="s">
        <v>26</v>
      </c>
      <c r="E414" t="s">
        <v>22</v>
      </c>
      <c r="F414" t="s">
        <v>233</v>
      </c>
      <c r="G414" s="8">
        <v>3.43</v>
      </c>
      <c r="H414" s="25">
        <v>2.2799999999999998</v>
      </c>
    </row>
    <row r="415" spans="1:8" x14ac:dyDescent="0.3">
      <c r="A415">
        <v>202605</v>
      </c>
      <c r="B415" t="s">
        <v>43</v>
      </c>
      <c r="C415">
        <v>1760217735</v>
      </c>
      <c r="D415" t="s">
        <v>26</v>
      </c>
      <c r="E415" t="s">
        <v>38</v>
      </c>
      <c r="F415" t="s">
        <v>234</v>
      </c>
      <c r="G415" s="8">
        <v>0.59659619999999991</v>
      </c>
      <c r="H415" s="25">
        <v>2.9</v>
      </c>
    </row>
    <row r="416" spans="1:8" x14ac:dyDescent="0.3">
      <c r="A416">
        <v>202605</v>
      </c>
      <c r="B416" t="s">
        <v>43</v>
      </c>
      <c r="C416">
        <v>1760224987</v>
      </c>
      <c r="D416" t="s">
        <v>21</v>
      </c>
      <c r="E416" t="s">
        <v>27</v>
      </c>
      <c r="F416" t="s">
        <v>82</v>
      </c>
      <c r="G416" s="8">
        <v>0.20466000000000001</v>
      </c>
      <c r="H416" s="25">
        <v>3.9</v>
      </c>
    </row>
    <row r="417" spans="1:8" x14ac:dyDescent="0.3">
      <c r="A417">
        <v>202605</v>
      </c>
      <c r="B417" t="s">
        <v>43</v>
      </c>
      <c r="C417">
        <v>1760228450</v>
      </c>
      <c r="D417" t="s">
        <v>21</v>
      </c>
      <c r="E417" t="s">
        <v>27</v>
      </c>
      <c r="F417" t="s">
        <v>245</v>
      </c>
      <c r="G417" s="8">
        <v>1.016478</v>
      </c>
      <c r="H417" s="25">
        <v>0.8</v>
      </c>
    </row>
    <row r="418" spans="1:8" x14ac:dyDescent="0.3">
      <c r="A418">
        <v>202605</v>
      </c>
      <c r="B418" t="s">
        <v>43</v>
      </c>
      <c r="C418">
        <v>1760235610</v>
      </c>
      <c r="D418" t="s">
        <v>21</v>
      </c>
      <c r="E418" t="s">
        <v>27</v>
      </c>
      <c r="F418" t="s">
        <v>245</v>
      </c>
      <c r="G418" s="8">
        <v>0.61128499999999997</v>
      </c>
      <c r="H418" s="25">
        <v>0.8</v>
      </c>
    </row>
    <row r="419" spans="1:8" x14ac:dyDescent="0.3">
      <c r="A419">
        <v>202605</v>
      </c>
      <c r="B419" t="s">
        <v>43</v>
      </c>
      <c r="C419">
        <v>1760261645</v>
      </c>
      <c r="D419" t="s">
        <v>26</v>
      </c>
      <c r="E419" t="s">
        <v>27</v>
      </c>
      <c r="F419" t="s">
        <v>70</v>
      </c>
      <c r="G419" s="8">
        <v>1.794</v>
      </c>
      <c r="H419" s="25"/>
    </row>
    <row r="420" spans="1:8" x14ac:dyDescent="0.3">
      <c r="A420">
        <v>202605</v>
      </c>
      <c r="B420" t="s">
        <v>43</v>
      </c>
      <c r="C420">
        <v>1760281697</v>
      </c>
      <c r="D420" t="s">
        <v>21</v>
      </c>
      <c r="E420" t="s">
        <v>27</v>
      </c>
      <c r="F420" t="s">
        <v>253</v>
      </c>
      <c r="G420" s="8">
        <v>0.1750549696</v>
      </c>
      <c r="H420" s="25">
        <v>2.25</v>
      </c>
    </row>
    <row r="421" spans="1:8" x14ac:dyDescent="0.3">
      <c r="A421">
        <v>202605</v>
      </c>
      <c r="B421" t="s">
        <v>43</v>
      </c>
      <c r="C421">
        <v>1760286567</v>
      </c>
      <c r="D421" t="s">
        <v>21</v>
      </c>
      <c r="E421" t="s">
        <v>27</v>
      </c>
      <c r="F421" t="s">
        <v>82</v>
      </c>
      <c r="G421" s="8">
        <v>0.47852</v>
      </c>
      <c r="H421" s="25">
        <v>3.9</v>
      </c>
    </row>
    <row r="422" spans="1:8" x14ac:dyDescent="0.3">
      <c r="A422">
        <v>202605</v>
      </c>
      <c r="B422" t="s">
        <v>43</v>
      </c>
      <c r="C422">
        <v>1760291110</v>
      </c>
      <c r="D422" t="s">
        <v>26</v>
      </c>
      <c r="E422" t="s">
        <v>27</v>
      </c>
      <c r="F422" t="s">
        <v>77</v>
      </c>
      <c r="G422" s="8">
        <v>0.377</v>
      </c>
      <c r="H422" s="25">
        <v>2.2000000000000002</v>
      </c>
    </row>
    <row r="423" spans="1:8" x14ac:dyDescent="0.3">
      <c r="A423">
        <v>202605</v>
      </c>
      <c r="B423" t="s">
        <v>43</v>
      </c>
      <c r="C423">
        <v>1760292605</v>
      </c>
      <c r="D423" t="s">
        <v>26</v>
      </c>
      <c r="E423" t="s">
        <v>38</v>
      </c>
      <c r="F423" t="s">
        <v>234</v>
      </c>
      <c r="G423" s="8">
        <v>0.49043750000000003</v>
      </c>
      <c r="H423" s="25">
        <v>3.65</v>
      </c>
    </row>
    <row r="424" spans="1:8" x14ac:dyDescent="0.3">
      <c r="A424">
        <v>202605</v>
      </c>
      <c r="B424" t="s">
        <v>43</v>
      </c>
      <c r="C424">
        <v>1760319030</v>
      </c>
      <c r="D424" t="s">
        <v>21</v>
      </c>
      <c r="E424" t="s">
        <v>27</v>
      </c>
      <c r="F424" t="s">
        <v>75</v>
      </c>
      <c r="G424" s="8">
        <v>0.85324999999999995</v>
      </c>
      <c r="H424" s="25">
        <v>2.5</v>
      </c>
    </row>
    <row r="425" spans="1:8" x14ac:dyDescent="0.3">
      <c r="A425">
        <v>202605</v>
      </c>
      <c r="B425" t="s">
        <v>43</v>
      </c>
      <c r="C425">
        <v>1760319040</v>
      </c>
      <c r="D425" t="s">
        <v>21</v>
      </c>
      <c r="E425" t="s">
        <v>27</v>
      </c>
      <c r="F425" t="s">
        <v>75</v>
      </c>
      <c r="G425" s="8">
        <v>0.85324999999999995</v>
      </c>
      <c r="H425" s="25">
        <v>2.5</v>
      </c>
    </row>
    <row r="426" spans="1:8" x14ac:dyDescent="0.3">
      <c r="A426">
        <v>202605</v>
      </c>
      <c r="B426" t="s">
        <v>43</v>
      </c>
      <c r="C426">
        <v>1760319066</v>
      </c>
      <c r="D426" t="s">
        <v>21</v>
      </c>
      <c r="E426" t="s">
        <v>27</v>
      </c>
      <c r="F426" t="s">
        <v>75</v>
      </c>
      <c r="G426" s="8">
        <v>0.85324999999999995</v>
      </c>
      <c r="H426" s="25">
        <v>2.5</v>
      </c>
    </row>
    <row r="427" spans="1:8" x14ac:dyDescent="0.3">
      <c r="A427">
        <v>202605</v>
      </c>
      <c r="B427" t="s">
        <v>43</v>
      </c>
      <c r="C427">
        <v>1760319074</v>
      </c>
      <c r="D427" t="s">
        <v>21</v>
      </c>
      <c r="E427" t="s">
        <v>27</v>
      </c>
      <c r="F427" t="s">
        <v>75</v>
      </c>
      <c r="G427" s="8">
        <v>0.85324999999999995</v>
      </c>
      <c r="H427" s="25">
        <v>2.5</v>
      </c>
    </row>
    <row r="428" spans="1:8" x14ac:dyDescent="0.3">
      <c r="A428">
        <v>202605</v>
      </c>
      <c r="B428" t="s">
        <v>97</v>
      </c>
      <c r="C428">
        <v>1755938012</v>
      </c>
      <c r="D428" t="s">
        <v>21</v>
      </c>
      <c r="E428" t="s">
        <v>27</v>
      </c>
      <c r="F428" t="s">
        <v>224</v>
      </c>
      <c r="G428" s="8">
        <v>2.6999975279999999</v>
      </c>
      <c r="H428" s="25">
        <v>0.35</v>
      </c>
    </row>
    <row r="429" spans="1:8" x14ac:dyDescent="0.3">
      <c r="A429">
        <v>202605</v>
      </c>
      <c r="B429" t="s">
        <v>97</v>
      </c>
      <c r="C429">
        <v>1755942877</v>
      </c>
      <c r="D429" t="s">
        <v>21</v>
      </c>
      <c r="E429" t="s">
        <v>27</v>
      </c>
      <c r="F429" t="s">
        <v>224</v>
      </c>
      <c r="G429" s="8">
        <v>0.7783440479999999</v>
      </c>
      <c r="H429" s="25">
        <v>0.35</v>
      </c>
    </row>
    <row r="430" spans="1:8" x14ac:dyDescent="0.3">
      <c r="A430">
        <v>202605</v>
      </c>
      <c r="B430" t="s">
        <v>97</v>
      </c>
      <c r="C430">
        <v>1760217719</v>
      </c>
      <c r="D430" t="s">
        <v>21</v>
      </c>
      <c r="E430" t="s">
        <v>27</v>
      </c>
      <c r="F430" t="s">
        <v>235</v>
      </c>
      <c r="G430" s="8">
        <v>27.423999999999999</v>
      </c>
      <c r="H430" s="25">
        <v>0.8</v>
      </c>
    </row>
    <row r="431" spans="1:8" x14ac:dyDescent="0.3">
      <c r="A431">
        <v>202605</v>
      </c>
      <c r="B431" t="s">
        <v>97</v>
      </c>
      <c r="C431">
        <v>1760218642</v>
      </c>
      <c r="D431" t="s">
        <v>21</v>
      </c>
      <c r="E431" t="s">
        <v>27</v>
      </c>
      <c r="F431" t="s">
        <v>186</v>
      </c>
      <c r="G431" s="8">
        <v>8.57</v>
      </c>
      <c r="H431" s="25">
        <v>0.4</v>
      </c>
    </row>
    <row r="432" spans="1:8" x14ac:dyDescent="0.3">
      <c r="A432">
        <v>202605</v>
      </c>
      <c r="B432" t="s">
        <v>97</v>
      </c>
      <c r="C432">
        <v>1760231118</v>
      </c>
      <c r="D432" t="s">
        <v>21</v>
      </c>
      <c r="E432" t="s">
        <v>27</v>
      </c>
      <c r="F432" t="s">
        <v>235</v>
      </c>
      <c r="G432" s="8">
        <v>6.83</v>
      </c>
      <c r="H432" s="25">
        <v>0.8</v>
      </c>
    </row>
    <row r="433" spans="1:8" x14ac:dyDescent="0.3">
      <c r="A433">
        <v>202605</v>
      </c>
      <c r="B433" t="s">
        <v>97</v>
      </c>
      <c r="C433">
        <v>1760236179</v>
      </c>
      <c r="D433" t="s">
        <v>21</v>
      </c>
      <c r="E433" t="s">
        <v>22</v>
      </c>
      <c r="F433" t="s">
        <v>246</v>
      </c>
      <c r="G433" s="8">
        <v>3.415</v>
      </c>
      <c r="H433" s="25">
        <v>1.85</v>
      </c>
    </row>
    <row r="434" spans="1:8" x14ac:dyDescent="0.3">
      <c r="A434">
        <v>202605</v>
      </c>
      <c r="B434" t="s">
        <v>97</v>
      </c>
      <c r="C434">
        <v>1760236209</v>
      </c>
      <c r="D434" t="s">
        <v>21</v>
      </c>
      <c r="E434" t="s">
        <v>22</v>
      </c>
      <c r="F434" t="s">
        <v>246</v>
      </c>
      <c r="G434" s="8">
        <v>3.415</v>
      </c>
      <c r="H434" s="25">
        <v>1.85</v>
      </c>
    </row>
    <row r="435" spans="1:8" x14ac:dyDescent="0.3">
      <c r="A435">
        <v>202605</v>
      </c>
      <c r="B435" t="s">
        <v>256</v>
      </c>
      <c r="C435">
        <v>1755954840</v>
      </c>
      <c r="D435" t="s">
        <v>21</v>
      </c>
      <c r="E435" t="s">
        <v>38</v>
      </c>
      <c r="F435" t="s">
        <v>225</v>
      </c>
      <c r="G435" s="8">
        <v>1.125790353E-2</v>
      </c>
      <c r="H435" s="25">
        <v>15.2</v>
      </c>
    </row>
    <row r="436" spans="1:8" x14ac:dyDescent="0.3">
      <c r="A436">
        <v>202605</v>
      </c>
      <c r="B436" t="s">
        <v>256</v>
      </c>
      <c r="C436">
        <v>1760176834</v>
      </c>
      <c r="D436" t="s">
        <v>26</v>
      </c>
      <c r="E436" t="s">
        <v>38</v>
      </c>
      <c r="F436" t="s">
        <v>226</v>
      </c>
      <c r="G436" s="8">
        <v>0.12449544999999999</v>
      </c>
      <c r="H436" s="25">
        <v>13.2</v>
      </c>
    </row>
    <row r="437" spans="1:8" x14ac:dyDescent="0.3">
      <c r="A437">
        <v>202605</v>
      </c>
      <c r="B437" t="s">
        <v>256</v>
      </c>
      <c r="C437">
        <v>1760223824</v>
      </c>
      <c r="D437" t="s">
        <v>26</v>
      </c>
      <c r="E437" t="s">
        <v>38</v>
      </c>
      <c r="F437" t="s">
        <v>247</v>
      </c>
      <c r="G437" s="8">
        <v>3.6125160000000003E-2</v>
      </c>
      <c r="H437" s="25">
        <v>4.7</v>
      </c>
    </row>
    <row r="438" spans="1:8" x14ac:dyDescent="0.3">
      <c r="A438">
        <v>202605</v>
      </c>
      <c r="B438" t="s">
        <v>45</v>
      </c>
      <c r="C438">
        <v>1760147206</v>
      </c>
      <c r="D438" t="s">
        <v>26</v>
      </c>
      <c r="E438" t="s">
        <v>27</v>
      </c>
      <c r="F438" t="s">
        <v>100</v>
      </c>
      <c r="G438" s="8">
        <v>3</v>
      </c>
      <c r="H438" s="25">
        <v>0.4</v>
      </c>
    </row>
    <row r="439" spans="1:8" x14ac:dyDescent="0.3">
      <c r="A439">
        <v>202605</v>
      </c>
      <c r="B439" t="s">
        <v>45</v>
      </c>
      <c r="C439">
        <v>1760236306</v>
      </c>
      <c r="D439" t="s">
        <v>21</v>
      </c>
      <c r="E439" t="s">
        <v>22</v>
      </c>
      <c r="F439" t="s">
        <v>248</v>
      </c>
      <c r="G439" s="8">
        <v>1.0245</v>
      </c>
      <c r="H439" s="25">
        <v>0.35</v>
      </c>
    </row>
    <row r="440" spans="1:8" x14ac:dyDescent="0.3">
      <c r="A440">
        <v>202605</v>
      </c>
      <c r="B440" t="s">
        <v>47</v>
      </c>
      <c r="C440">
        <v>1760120570</v>
      </c>
      <c r="D440" t="s">
        <v>26</v>
      </c>
      <c r="E440" t="s">
        <v>27</v>
      </c>
      <c r="F440" t="s">
        <v>227</v>
      </c>
      <c r="G440" s="8">
        <v>1.7</v>
      </c>
      <c r="H440" s="25">
        <v>1.1000000000000001</v>
      </c>
    </row>
    <row r="441" spans="1:8" x14ac:dyDescent="0.3">
      <c r="A441">
        <v>202605</v>
      </c>
      <c r="B441" t="s">
        <v>47</v>
      </c>
      <c r="C441">
        <v>1760135747</v>
      </c>
      <c r="D441" t="s">
        <v>21</v>
      </c>
      <c r="E441" t="s">
        <v>27</v>
      </c>
      <c r="F441" t="s">
        <v>228</v>
      </c>
      <c r="G441" s="8">
        <v>1.7170000000000001</v>
      </c>
      <c r="H441" s="25">
        <v>1.6</v>
      </c>
    </row>
    <row r="442" spans="1:8" x14ac:dyDescent="0.3">
      <c r="A442">
        <v>202605</v>
      </c>
      <c r="B442" t="s">
        <v>47</v>
      </c>
      <c r="C442">
        <v>1760135950</v>
      </c>
      <c r="D442" t="s">
        <v>21</v>
      </c>
      <c r="E442" t="s">
        <v>27</v>
      </c>
      <c r="F442" t="s">
        <v>228</v>
      </c>
      <c r="G442" s="8">
        <v>1.7170000000000001</v>
      </c>
      <c r="H442" s="25">
        <v>1.6</v>
      </c>
    </row>
    <row r="443" spans="1:8" x14ac:dyDescent="0.3">
      <c r="A443">
        <v>202605</v>
      </c>
      <c r="B443" t="s">
        <v>47</v>
      </c>
      <c r="C443">
        <v>1760137286</v>
      </c>
      <c r="D443" t="s">
        <v>21</v>
      </c>
      <c r="E443" t="s">
        <v>27</v>
      </c>
      <c r="F443" t="s">
        <v>229</v>
      </c>
      <c r="G443" s="8">
        <v>0.92975549999999996</v>
      </c>
      <c r="H443" s="25"/>
    </row>
    <row r="444" spans="1:8" x14ac:dyDescent="0.3">
      <c r="A444">
        <v>202605</v>
      </c>
      <c r="B444" t="s">
        <v>47</v>
      </c>
      <c r="C444">
        <v>1760148245</v>
      </c>
      <c r="D444" t="s">
        <v>21</v>
      </c>
      <c r="E444" t="s">
        <v>27</v>
      </c>
      <c r="F444" t="s">
        <v>229</v>
      </c>
      <c r="G444" s="8">
        <v>3.9765290000000002</v>
      </c>
      <c r="H444" s="25">
        <v>0.13</v>
      </c>
    </row>
    <row r="445" spans="1:8" x14ac:dyDescent="0.3">
      <c r="A445">
        <v>202605</v>
      </c>
      <c r="B445" t="s">
        <v>47</v>
      </c>
      <c r="C445">
        <v>1760148520</v>
      </c>
      <c r="D445" t="s">
        <v>21</v>
      </c>
      <c r="E445" t="s">
        <v>27</v>
      </c>
      <c r="F445" t="s">
        <v>229</v>
      </c>
      <c r="G445" s="8">
        <v>0.92894325</v>
      </c>
      <c r="H445" s="25">
        <v>0.13</v>
      </c>
    </row>
    <row r="446" spans="1:8" x14ac:dyDescent="0.3">
      <c r="A446">
        <v>202605</v>
      </c>
      <c r="B446" t="s">
        <v>47</v>
      </c>
      <c r="C446">
        <v>1760196370</v>
      </c>
      <c r="D446" t="s">
        <v>26</v>
      </c>
      <c r="E446" t="s">
        <v>38</v>
      </c>
      <c r="F446" t="s">
        <v>192</v>
      </c>
      <c r="G446" s="8">
        <v>4.9203900000000003</v>
      </c>
      <c r="H446" s="25">
        <v>0.5</v>
      </c>
    </row>
    <row r="447" spans="1:8" x14ac:dyDescent="0.3">
      <c r="A447">
        <v>202605</v>
      </c>
      <c r="B447" t="s">
        <v>47</v>
      </c>
      <c r="C447">
        <v>1760225592</v>
      </c>
      <c r="D447" t="s">
        <v>21</v>
      </c>
      <c r="E447" t="s">
        <v>27</v>
      </c>
      <c r="F447" t="s">
        <v>249</v>
      </c>
      <c r="G447" s="8">
        <v>1.33029</v>
      </c>
      <c r="H447" s="25">
        <v>0.9</v>
      </c>
    </row>
    <row r="448" spans="1:8" x14ac:dyDescent="0.3">
      <c r="A448">
        <v>202605</v>
      </c>
      <c r="B448" t="s">
        <v>47</v>
      </c>
      <c r="C448">
        <v>1760261520</v>
      </c>
      <c r="D448" t="s">
        <v>21</v>
      </c>
      <c r="E448" t="s">
        <v>27</v>
      </c>
      <c r="F448" t="s">
        <v>229</v>
      </c>
      <c r="G448" s="8">
        <v>1.5567839999999999</v>
      </c>
      <c r="H448" s="25"/>
    </row>
    <row r="449" spans="1:8" x14ac:dyDescent="0.3">
      <c r="A449">
        <v>202605</v>
      </c>
      <c r="B449" t="s">
        <v>47</v>
      </c>
      <c r="C449">
        <v>1760317322</v>
      </c>
      <c r="D449" t="s">
        <v>26</v>
      </c>
      <c r="E449" t="s">
        <v>38</v>
      </c>
      <c r="F449" t="s">
        <v>192</v>
      </c>
      <c r="G449" s="8">
        <v>4.4262899999999998</v>
      </c>
      <c r="H449" s="25">
        <v>0.5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1028D540-8964-4811-AD86-2214AA4F9969}">
  <ds:schemaRefs/>
</ds:datastoreItem>
</file>

<file path=customXml/itemProps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9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0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2.xml><?xml version="1.0" encoding="utf-8"?>
<ds:datastoreItem xmlns:ds="http://schemas.openxmlformats.org/officeDocument/2006/customXml" ds:itemID="{1E39E27E-74F0-4EEB-B3F4-0AD4F9A9F44C}">
  <ds:schemaRefs/>
</ds:datastoreItem>
</file>

<file path=customXml/itemProps1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4.xml><?xml version="1.0" encoding="utf-8"?>
<ds:datastoreItem xmlns:ds="http://schemas.openxmlformats.org/officeDocument/2006/customXml" ds:itemID="{1C8C18C0-05A7-4CF4-80F2-F5F834800471}">
  <ds:schemaRefs/>
</ds:datastoreItem>
</file>

<file path=customXml/itemProps15.xml><?xml version="1.0" encoding="utf-8"?>
<ds:datastoreItem xmlns:ds="http://schemas.openxmlformats.org/officeDocument/2006/customXml" ds:itemID="{6907CF74-CE31-4568-806B-E68C546D4AF8}">
  <ds:schemaRefs/>
</ds:datastoreItem>
</file>

<file path=customXml/itemProps16.xml><?xml version="1.0" encoding="utf-8"?>
<ds:datastoreItem xmlns:ds="http://schemas.openxmlformats.org/officeDocument/2006/customXml" ds:itemID="{F2DF7980-5758-4258-BA69-44B6EFFACA05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2026-05-29T19:41:45Z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