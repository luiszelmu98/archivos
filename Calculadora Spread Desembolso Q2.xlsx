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90" documentId="8_{E36DC478-9D34-4691-AA52-C22FB807C30C}" xr6:coauthVersionLast="47" xr6:coauthVersionMax="47" xr10:uidLastSave="{32B473D6-0CE2-43DF-9C45-49EFF3D1E12A}"/>
  <bookViews>
    <workbookView xWindow="-108" yWindow="-108" windowWidth="23256" windowHeight="14016" xr2:uid="{BEC1CC08-7D12-4054-A6E2-49DCCE683546}"/>
  </bookViews>
  <sheets>
    <sheet name="Calculadora" sheetId="2" r:id="rId1"/>
  </sheets>
  <definedNames>
    <definedName name="DatosExternos_1" localSheetId="0" hidden="1">Calculadora!$S$11:$S$12</definedName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12" r:id="rId2"/>
    <pivotCache cacheId="15" r:id="rId3"/>
  </pivotCaches>
  <extLst>
    <ext xmlns:x14="http://schemas.microsoft.com/office/spreadsheetml/2009/9/main" uri="{876F7934-8845-4945-9796-88D515C7AA90}">
      <x14:pivotCaches>
        <pivotCache cacheId="11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2" l="1"/>
  <c r="G9" i="2"/>
  <c r="H9" i="2" a="1"/>
  <c r="H9" i="2" s="1"/>
  <c r="H8" i="2" a="1"/>
  <c r="H8" i="2" s="1"/>
  <c r="G8" i="2"/>
  <c r="H7" i="2" a="1"/>
  <c r="H7" i="2" s="1"/>
  <c r="G7" i="2"/>
  <c r="B3" i="2" a="1"/>
  <c r="B3" i="2" s="1"/>
  <c r="H11" i="2"/>
  <c r="G11" i="2"/>
  <c r="T18" i="2"/>
  <c r="H10" i="2" l="1"/>
  <c r="G10" i="2"/>
  <c r="H13" i="2"/>
  <c r="H12" i="2"/>
  <c r="G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8529ABFE-45EA-4C83-9037-CFF057C5D8A6}" keepAlive="1" name="Consulta - Hoy" description="Conexión a la consulta 'Hoy' en el libro." type="5" refreshedVersion="8" background="1" saveData="1">
    <dbPr connection="Provider=Microsoft.Mashup.OleDb.1;Data Source=$Workbook$;Location=Hoy;Extended Properties=&quot;&quot;" command="SELECT * FROM [Hoy]"/>
  </connection>
  <connection id="3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<sst xmlns="http://schemas.openxmlformats.org/spreadsheetml/2006/main" count="1794" uniqueCount="247">
  <si>
    <t>Calculadora de spread de desembolso</t>
  </si>
  <si>
    <t>Actualizado:</t>
  </si>
  <si>
    <t>Desembolsos</t>
  </si>
  <si>
    <t>Spread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</si>
  <si>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</si>
  <si>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</si>
  <si>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</si>
  <si>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</si>
  <si>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</si>
  <si>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</si>
  <si>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</si>
  <si>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</si>
  <si>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</si>
  <si>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</si>
  <si>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</si>
  <si>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</si>
  <si>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</si>
  <si>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</si>
  <si>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</si>
  <si>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</si>
  <si>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</si>
  <si>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</si>
  <si>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</si>
  <si>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</si>
  <si>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</si>
  <si>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</si>
  <si>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</si>
  <si>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</si>
  <si>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</si>
  <si>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</si>
  <si>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</si>
  <si>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</si>
  <si>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</si>
  <si>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</si>
  <si>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</si>
  <si>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</si>
  <si>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</si>
  <si>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</si>
  <si>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</si>
  <si>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</si>
  <si>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R.SOLIS</t>
  </si>
  <si>
    <t>M.CASTAÑEDA</t>
  </si>
  <si>
    <t>W.MACHUCA</t>
  </si>
  <si>
    <t>Total general</t>
  </si>
  <si>
    <t>ACEROS Y CONCRETOS S A C</t>
  </si>
  <si>
    <t>S &amp; M FOODS SAC</t>
  </si>
  <si>
    <t>REPRESENTACIONES TECNIMOTORS EIRL</t>
  </si>
  <si>
    <t>INDUSTRIA GRAFICA CIMAGRAF SAC</t>
  </si>
  <si>
    <t>MEDIANO PLAZO</t>
  </si>
  <si>
    <t>MOLINOS ASOCIADOS SOCIEDAD ANONIMA CERRADA</t>
  </si>
  <si>
    <t>RIPCONCIV CONSTRUCCIONES CIVILES CIA LTDA SUC</t>
  </si>
  <si>
    <t>AGROMAR INDUSTRIAL S A</t>
  </si>
  <si>
    <t>EDIFICADORA DE DISE#O Y CONSTRUCCION SAC</t>
  </si>
  <si>
    <t>IESA S A</t>
  </si>
  <si>
    <t>UNION DE TECNICOS ELECTROMECANICOS SAC</t>
  </si>
  <si>
    <t>C.MARKY*16024</t>
  </si>
  <si>
    <t>M.RODRIGUEZ*16329</t>
  </si>
  <si>
    <t>FITFLOW PERU SRL</t>
  </si>
  <si>
    <t>M &amp; CALERA SANTA SAC</t>
  </si>
  <si>
    <t>ITALTEL PERU SAC</t>
  </si>
  <si>
    <t>SIMED PERU SAC</t>
  </si>
  <si>
    <t>OPERACIONES SEPROCAL SAC</t>
  </si>
  <si>
    <t>INTEGRACION LOGISTICA INLOG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</si>
  <si>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</si>
  <si>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</si>
  <si>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</si>
  <si>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</si>
  <si>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</si>
  <si>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ISEG PERU SAC</t>
  </si>
  <si>
    <t>SOUTH PACIFIC INTERNATIONAL S A C</t>
  </si>
  <si>
    <t>FERRETERIA CATALEYA SAC</t>
  </si>
  <si>
    <t>CIA INDUSTRIAL NUEVO MUNDO S A</t>
  </si>
  <si>
    <t>MINERA TITAN DEL PERU S R L</t>
  </si>
  <si>
    <t>M &amp; M REPUESTOS Y SERVICIOS</t>
  </si>
  <si>
    <t>LA CALERA S A C</t>
  </si>
  <si>
    <t>ENERCITY SAC</t>
  </si>
  <si>
    <t>EL BOSQUE EMPRESA INDIVIDUAL DE RLTDA</t>
  </si>
  <si>
    <t>DISTRIBUCIONES OLANO SAC</t>
  </si>
  <si>
    <t>SOCIEDAD DE AUTOMOTORES INKA SAC</t>
  </si>
  <si>
    <t>QUICORNAC SAC</t>
  </si>
  <si>
    <t>COMPA#IA AGROINDUSTRIAL SANTA ANA SAC</t>
  </si>
  <si>
    <t>PERALES HUANCARUNA S A PERHUSA</t>
  </si>
  <si>
    <t>REPALSA SA</t>
  </si>
  <si>
    <t>ALVAREZ LARREA EQUIPOS MEDICOS ALEM CIA LTDA</t>
  </si>
  <si>
    <t>URBANIZADORA JARDIN S A</t>
  </si>
  <si>
    <t>AEROPUERTOS DEL PERU S A</t>
  </si>
  <si>
    <t>AI INVERSIONES PALO ALTO II S A C</t>
  </si>
  <si>
    <t>TRINY RENTAL SAC</t>
  </si>
  <si>
    <t>SERVOSA COMBUSTIBLES SAC</t>
  </si>
  <si>
    <t>AGROVET MARKET SA</t>
  </si>
  <si>
    <t>IXM TRADING PERU SAC</t>
  </si>
  <si>
    <t>ESTILOS S R L</t>
  </si>
  <si>
    <t>FRUTOS TONGORRAPE SOCIEDAD ANONIMA</t>
  </si>
  <si>
    <t>OPP FILM S A</t>
  </si>
  <si>
    <t>PYMATEK AUTOMATION S R L</t>
  </si>
  <si>
    <t>AMAZONAS TRADING PERU SAC</t>
  </si>
  <si>
    <t>D.HERRERA*14796</t>
  </si>
  <si>
    <t>ESMERALDA CORP SAC</t>
  </si>
  <si>
    <t>IMBAREX SA</t>
  </si>
  <si>
    <t>EMUSA PERU SAC</t>
  </si>
  <si>
    <t>BIG ROCK S A C</t>
  </si>
  <si>
    <t>CONSORCIO GEOHIDRAULICA SAC</t>
  </si>
  <si>
    <t>SILVATEAM PERU COMERCIAL SAC</t>
  </si>
  <si>
    <t>PAPELERA NACIONAL S A</t>
  </si>
  <si>
    <t>MOTOR MUNDO SAC</t>
  </si>
  <si>
    <t>GP MOTOS SOCIEDAD ANONIMA CERRADA</t>
  </si>
  <si>
    <t>PACKPLAST ENVOLTURAS SAC</t>
  </si>
  <si>
    <t>L.PEREZ*16364</t>
  </si>
  <si>
    <t>JRC MAQUINARIAS S A C</t>
  </si>
  <si>
    <t>CARTOCOR DE PERU S A</t>
  </si>
  <si>
    <t>EUROCAPITAL SERVICIOS FINANCIEROS S A C</t>
  </si>
  <si>
    <t>ECOPACKING CLAMSHELLS SAC</t>
  </si>
  <si>
    <t>Column1</t>
  </si>
  <si>
    <t>Nota: Incluye mediana salida.</t>
  </si>
  <si>
    <t>M.ROA*14362</t>
  </si>
  <si>
    <t>M.VELASQUEZ*16395</t>
  </si>
  <si>
    <t>V.GRADOS*16365</t>
  </si>
  <si>
    <t>H.GALVEZ*16404</t>
  </si>
  <si>
    <t>ECOINTEGRITY SAC</t>
  </si>
  <si>
    <t>VSI INDUSTRIAL SAC</t>
  </si>
  <si>
    <t>IMPORTADORA GUILLEN PERU SAC</t>
  </si>
  <si>
    <t>COMPA#IA DE ABASTECIMIENTO INDUSTRIAL SAC</t>
  </si>
  <si>
    <t>SCHROTH CORPORACION PAPELERA S A C</t>
  </si>
  <si>
    <t>PROCESADORA LARAN S A C</t>
  </si>
  <si>
    <t>DIMATIC SAC</t>
  </si>
  <si>
    <t>PRIMUS CAPITAL PERU SAC</t>
  </si>
  <si>
    <t>RASH PERU SRL</t>
  </si>
  <si>
    <t>GMG COMERCIAL PERU S A</t>
  </si>
  <si>
    <t>KIA IMPORT PERU SAC</t>
  </si>
  <si>
    <t>FRIGOSA SAC</t>
  </si>
  <si>
    <t>PALCON PERU SAC</t>
  </si>
  <si>
    <t>ROBOCON SERVICIOS SAC</t>
  </si>
  <si>
    <t>CORPORACION INMOBILIARIA TULSI SAC</t>
  </si>
  <si>
    <t>ELECTRONORTE SA</t>
  </si>
  <si>
    <t>EMP REG DE SERV PUB DE ELECT ELECTRONORTE MED</t>
  </si>
  <si>
    <t>Julio</t>
  </si>
  <si>
    <t>Agosto</t>
  </si>
  <si>
    <t>Setiembre</t>
  </si>
  <si>
    <t>KSL SAC</t>
  </si>
  <si>
    <t>INCATECH S A C</t>
  </si>
  <si>
    <t>F.AMANS*13178</t>
  </si>
  <si>
    <t>REFAX PERU SA</t>
  </si>
  <si>
    <t>CORPORACION DE INGENIERIA DE REFRIGERACION</t>
  </si>
  <si>
    <t>MEGAPACK GROUP SOCIEDAD ANONIMA CERRADA</t>
  </si>
  <si>
    <t>DRRP SOCIEDAD ANONIMA CERRADA</t>
  </si>
  <si>
    <t>J.NAVARRO</t>
  </si>
  <si>
    <t>S &amp; C SOLUCIONES INTEGRALES SAC</t>
  </si>
  <si>
    <t>SCANIA SERVICES DEL PERU</t>
  </si>
  <si>
    <t>AGRICOLA DON GUILLERMO S A C</t>
  </si>
  <si>
    <t>PULPAS Y PROCESADOS DEL AGRO SOCIEDAD ANONIMA</t>
  </si>
  <si>
    <t>TEXTILE SOURCING COMPANY SAC BIC</t>
  </si>
  <si>
    <t>OIL TRADING SAC</t>
  </si>
  <si>
    <t>PERUFARMA S A</t>
  </si>
  <si>
    <t>FIBRAS MARINAS SA</t>
  </si>
  <si>
    <t>COMPLEJO AGROINDUSTRIAL BETA S A</t>
  </si>
  <si>
    <t>AUTOMOTORES GILDEMEISTER PERU S A C</t>
  </si>
  <si>
    <t>COSTA ATLANTICA SA</t>
  </si>
  <si>
    <t>FORUM DISTRIBUIDORA DEL PERU SA</t>
  </si>
  <si>
    <t>J CH COMERCIAL S A</t>
  </si>
  <si>
    <t>INDUSTRIAS JHOMERON S A</t>
  </si>
  <si>
    <t>ELECTRONOROESTE S A</t>
  </si>
  <si>
    <t>PROTEIN PARTNERS</t>
  </si>
  <si>
    <t>TUBOPLAST SA</t>
  </si>
  <si>
    <t>CONSORCIO DE PRODUCTORES DE FRUTA SA</t>
  </si>
  <si>
    <t>DIGETEL SOLUCIONES SAC</t>
  </si>
  <si>
    <t>IMPULSA365 SAC</t>
  </si>
  <si>
    <t>CLASS COMPLEMENTS SAC</t>
  </si>
  <si>
    <t>CORPORACION PANASERVICE SAC</t>
  </si>
  <si>
    <t>GRIFO JHP EIRL LTDA</t>
  </si>
  <si>
    <t>OREGON FOODS SAC</t>
  </si>
  <si>
    <t>J &amp; V RESGUARDO S A C</t>
  </si>
  <si>
    <t>LEON AUTOS S A</t>
  </si>
  <si>
    <t>INVERSIONES FLOTEX SAC</t>
  </si>
  <si>
    <t>EMPRESAS PINTO PERU SA</t>
  </si>
  <si>
    <t>DISTRIBUIDORA COMERCIAL ALVAREZ BOHL S R L</t>
  </si>
  <si>
    <t>CORPORACION FRUTICOLA DE CHINCHA S A C</t>
  </si>
  <si>
    <t>CONTINENTAL TRAVEL SAC</t>
  </si>
  <si>
    <t>ARTECOLA PERU SA</t>
  </si>
  <si>
    <t>INVERSIONES RUBIN S SAC</t>
  </si>
  <si>
    <t>TAI LOY S A</t>
  </si>
  <si>
    <t>DELICE SAC</t>
  </si>
  <si>
    <t>GRUPO ELECTRODATA SAC</t>
  </si>
  <si>
    <t>DEUTSCHE PHARMA S A C</t>
  </si>
  <si>
    <t>HIVIMAR S A C</t>
  </si>
  <si>
    <t>LA JOYA COMERCIAL SAC</t>
  </si>
  <si>
    <t>HERMANOS NU#EZ GAONA SRL</t>
  </si>
  <si>
    <t>ANALYTICA MINERAL SERVICES SAC</t>
  </si>
  <si>
    <t>EXPORTADORA ROMEX SA</t>
  </si>
  <si>
    <t>VIAGO E I R L</t>
  </si>
  <si>
    <t>ZONA LLANTAS SAC</t>
  </si>
  <si>
    <t>COBEFAR SAC</t>
  </si>
  <si>
    <t>CRECE CAPITAL SAC</t>
  </si>
  <si>
    <t>ELITE BRANDS INTERNATIONAL PERU SRL</t>
  </si>
  <si>
    <t>ELEODORO QUIROGA RAMOS SAC</t>
  </si>
  <si>
    <t>AGROCOSTA PERU SAC</t>
  </si>
  <si>
    <t>SUNSHINE EXPORT SAC</t>
  </si>
  <si>
    <t>DIAMANTE DEL PACIFICO SA</t>
  </si>
  <si>
    <t>EMPRESA DE CREDITOS SANTANDER CONSUMO PERU SA</t>
  </si>
  <si>
    <t>CONSTRUCTORA ABA S A C</t>
  </si>
  <si>
    <t>TOTAL SERVICIOS FINANCIEROS EMPRESAS DE CREDI</t>
  </si>
  <si>
    <t>CORPORATION WITHMORY SRL</t>
  </si>
  <si>
    <t>HUMON LATIN AMERICA SA</t>
  </si>
  <si>
    <t>CREACIONES DE EXPORTACION SAC</t>
  </si>
  <si>
    <t>NATURAL GAS COMPANY S A C</t>
  </si>
  <si>
    <t>C &amp; M SERVICENTROS SOCIEDAD ANONIMA CERRADA</t>
  </si>
  <si>
    <t>CORPORACION CAYMAN SAC</t>
  </si>
  <si>
    <t>AGROINDUSTRIAS HUARAL SAC</t>
  </si>
  <si>
    <t>CONDUTO PERU SAC</t>
  </si>
  <si>
    <t>ACEROS COMERCIALES S C R L</t>
  </si>
  <si>
    <t>TRANSPORTES LINEA S A</t>
  </si>
  <si>
    <t>ZEDINA ALIMENTOS SAC</t>
  </si>
  <si>
    <t>CONSORCIO MEDITERRANEO SAC</t>
  </si>
  <si>
    <t>CENTRO COMERCIAL PLAZA NORTE SAC</t>
  </si>
  <si>
    <t>E &amp; M SRL</t>
  </si>
  <si>
    <t>LA LLAVE SA</t>
  </si>
  <si>
    <t>PROVEEDORES MINEROS SAC</t>
  </si>
  <si>
    <t>DISMAR EIR LTDA</t>
  </si>
  <si>
    <t>ESTACIONES Y SERVICIOS MHT EIRL</t>
  </si>
  <si>
    <t>COVISIAN ESPA#A SL SOC UNIP SUC EN PERU</t>
  </si>
  <si>
    <t>FLORIDABLANCA SAC</t>
  </si>
  <si>
    <t>POLIMEROS Y PLASTICOS ANDINA SAC</t>
  </si>
  <si>
    <t>P A PERU S A C</t>
  </si>
  <si>
    <t>GRUPO DELTRON S A</t>
  </si>
  <si>
    <t>SEDISA S A C</t>
  </si>
  <si>
    <t>CENTRO COMERCIAL MALL DEL SUR SAC</t>
  </si>
  <si>
    <t>CONECTA RETAIL SA</t>
  </si>
  <si>
    <t>MARCO PERUANA S A</t>
  </si>
  <si>
    <t>INKAPACKING SAC</t>
  </si>
  <si>
    <t>PREMIUM BRANDS S A C</t>
  </si>
  <si>
    <t>TRICORZO SA</t>
  </si>
  <si>
    <t>CYNARA PERU SAC</t>
  </si>
  <si>
    <t>INTERLOOM S A C</t>
  </si>
  <si>
    <t>TRAUMA SOLUTIONS SAC</t>
  </si>
  <si>
    <t>POLIMASTER SAC</t>
  </si>
  <si>
    <t>CORPORACION MOLIENDA ZUR SAC</t>
  </si>
  <si>
    <t>INVERMIN PAITITI SOCIEDAD ANONIMA CERRADA</t>
  </si>
  <si>
    <t>INDURAMA PERU SAC</t>
  </si>
  <si>
    <t>AMBACAR S A C</t>
  </si>
  <si>
    <t>D.ROSADO*16377</t>
  </si>
  <si>
    <t>INVERSIONES PUCARA S A C</t>
  </si>
  <si>
    <t>ECOPACKING CARTONES SAC</t>
  </si>
  <si>
    <t>INVERSIONES MUYA SAC</t>
  </si>
  <si>
    <t>CLASIFICADORA DE LANAS MACEDO SAC</t>
  </si>
  <si>
    <t>TIENDAS PERUANAS SA</t>
  </si>
  <si>
    <t>TS NET S A</t>
  </si>
  <si>
    <t>J R STEEL COMPANY</t>
  </si>
  <si>
    <t>20/08/2026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</si>
</sst>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  <font>
      <b/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0" fillId="5" borderId="0" xfId="0" applyFill="1"/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3</xdr:row>
      <xdr:rowOff>100966</xdr:rowOff>
    </xdr:from>
    <xdr:to>
      <xdr:col>4</xdr:col>
      <xdr:colOff>1063307</xdr:colOff>
      <xdr:row>14</xdr:row>
      <xdr:rowOff>30480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3</xdr:row>
      <xdr:rowOff>99379</xdr:rowOff>
    </xdr:from>
    <xdr:to>
      <xdr:col>2</xdr:col>
      <xdr:colOff>22005</xdr:colOff>
      <xdr:row>7</xdr:row>
      <xdr:rowOff>73025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7</xdr:row>
      <xdr:rowOff>177165</xdr:rowOff>
    </xdr:from>
    <xdr:to>
      <xdr:col>2</xdr:col>
      <xdr:colOff>1049</xdr:colOff>
      <xdr:row>14</xdr:row>
      <xdr:rowOff>22860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55.515675115741" createdVersion="5" refreshedVersion="8" minRefreshableVersion="3" recordCount="0" supportSubquery="1" supportAdvancedDrill="1" xr:uid="{91FC5B72-2F0F-4E4B-AC75-F8DC5A46E310}">
  <cacheSource type="external" connectionId="3"/>
  <cacheFields count="1">
    <cacheField name="[Desem].[NombreFuncionario].[NombreFuncionario]" caption="NombreFuncionario" numFmtId="0" hierarchy="9" level="1">
      <sharedItems count="22">
        <s v="A.ROJAS"/>
        <s v="C.MARKY*16024"/>
        <s v="C.MEJIA"/>
        <s v="D.HERRERA*14796"/>
        <s v="D.ROSADO*16377"/>
        <s v="F.AMANS*13178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55.515676736111" createdVersion="5" refreshedVersion="8" minRefreshableVersion="3" recordCount="0" supportSubquery="1" supportAdvancedDrill="1" xr:uid="{E16E5F9E-3107-4537-AFA8-91AABA175D0D}">
  <cacheSource type="external" connectionId="3"/>
  <cacheFields count="11">
    <cacheField name="[Desem].[Periodo].[Periodo]" caption="Periodo" numFmtId="0" level="1">
      <sharedItems containsSemiMixedTypes="0" containsString="0" containsNumber="1" containsInteger="1" minValue="202607" maxValue="202608" count="2">
        <n v="202607"/>
        <n v="202608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7]"/>
            <x15:cachedUniqueName index="1" name="[Desem].[Periodo].&amp;[202608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64734360" maxValue="1773241680" count="432">
        <n v="1768891699"/>
        <n v="1768941660"/>
        <n v="1768950350"/>
        <n v="1768959277"/>
        <n v="1769028315"/>
        <n v="1764780050"/>
        <n v="1768856150"/>
        <n v="1768937893"/>
        <n v="1768957975"/>
        <n v="1768963649"/>
        <n v="1768999490"/>
        <n v="1769040510"/>
        <n v="1769041419"/>
        <n v="1769041524"/>
        <n v="1769042385"/>
        <n v="1769048383"/>
        <n v="1764742540"/>
        <n v="1768858497"/>
        <n v="1768866295"/>
        <n v="1768867003"/>
        <n v="1768882370"/>
        <n v="1768888612"/>
        <n v="1768905282"/>
        <n v="1768905363"/>
        <n v="1768926247"/>
        <n v="1768940983"/>
        <n v="1768949204"/>
        <n v="1768950385"/>
        <n v="1768950407"/>
        <n v="1768958084"/>
        <n v="1768966214"/>
        <n v="1768984239"/>
        <n v="1768984344"/>
        <n v="1768984646"/>
        <n v="1769049045"/>
        <n v="1769049193"/>
        <n v="1764734360"/>
        <n v="1764736656"/>
        <n v="1768850534"/>
        <n v="1768854017"/>
        <n v="1768914826"/>
        <n v="1768916160"/>
        <n v="1768917280"/>
        <n v="1768917299"/>
        <n v="1768941220"/>
        <n v="1768950008"/>
        <n v="1768959234"/>
        <n v="1768959323"/>
        <n v="1768959447"/>
        <n v="1764767195"/>
        <n v="1768924422"/>
        <n v="1768950113"/>
        <n v="1768950962"/>
        <n v="1768959366"/>
        <n v="1768985847"/>
        <n v="1764737318"/>
        <n v="1764777610"/>
        <n v="1764777646"/>
        <n v="1768832994"/>
        <n v="1768833095"/>
        <n v="1768843970"/>
        <n v="1768844062"/>
        <n v="1768854327"/>
        <n v="1768855366"/>
        <n v="1768855463"/>
        <n v="1768856370"/>
        <n v="1768858720"/>
        <n v="1768869677"/>
        <n v="1768892903"/>
        <n v="1768892910"/>
        <n v="1768903743"/>
        <n v="1768924937"/>
        <n v="1768924945"/>
        <n v="1768938750"/>
        <n v="1768949484"/>
        <n v="1768949506"/>
        <n v="1768953775"/>
        <n v="1768958637"/>
        <n v="1768965790"/>
        <n v="1769027920"/>
        <n v="1769028242"/>
        <n v="1769030190"/>
        <n v="1769033610"/>
        <n v="1769034838"/>
        <n v="1769038700"/>
        <n v="1769038809"/>
        <n v="1764734475"/>
        <n v="1764757939"/>
        <n v="1768826730"/>
        <n v="1768833257"/>
        <n v="1768850585"/>
        <n v="1768911002"/>
        <n v="1768965463"/>
        <n v="1764741510"/>
        <n v="1764757238"/>
        <n v="1764761952"/>
        <n v="1769038050"/>
        <n v="1769040862"/>
        <n v="1764747917"/>
        <n v="1764760972"/>
        <n v="1764764528"/>
        <n v="1768838135"/>
        <n v="1768844150"/>
        <n v="1768855447"/>
        <n v="1768857547"/>
        <n v="1768881464"/>
        <n v="1768900124"/>
        <n v="1768900760"/>
        <n v="1768900990"/>
        <n v="1768901040"/>
        <n v="1768904928"/>
        <n v="1768915120"/>
        <n v="1768915814"/>
        <n v="1768916047"/>
        <n v="1768921458"/>
        <n v="1768921555"/>
        <n v="1768922276"/>
        <n v="1768923442"/>
        <n v="1768923507"/>
        <n v="1768923922"/>
        <n v="1768924066"/>
        <n v="1768940185"/>
        <n v="1768940428"/>
        <n v="1768945233"/>
        <n v="1768949352"/>
        <n v="1768950430"/>
        <n v="1768953430"/>
        <n v="1768953457"/>
        <n v="1768954020"/>
        <n v="1768954097"/>
        <n v="1768954283"/>
        <n v="1768957738"/>
        <n v="1768957850"/>
        <n v="1768957894"/>
        <n v="1768982643"/>
        <n v="1769001514"/>
        <n v="1769033114"/>
        <n v="1769033130"/>
        <n v="1768915245"/>
        <n v="1768915695"/>
        <n v="1768922896"/>
        <n v="1768895694"/>
        <n v="1768897425"/>
        <n v="1768940738"/>
        <n v="1768949760"/>
        <n v="1768984140"/>
        <n v="1764757459"/>
        <n v="1764764269"/>
        <n v="1764777379"/>
        <n v="1764780728"/>
        <n v="1764781430"/>
        <n v="1768844320"/>
        <n v="1768845557"/>
        <n v="1768863490"/>
        <n v="1768865639"/>
        <n v="1768891400"/>
        <n v="1768895783"/>
        <n v="1768896127"/>
        <n v="1768896577"/>
        <n v="1768896704"/>
        <n v="1768901023"/>
        <n v="1768901155"/>
        <n v="1768903670"/>
        <n v="1768903719"/>
        <n v="1768905312"/>
        <n v="1768906483"/>
        <n v="1768915474"/>
        <n v="1768915504"/>
        <n v="1768915733"/>
        <n v="1768915849"/>
        <n v="1768915910"/>
        <n v="1768924686"/>
        <n v="1768924716"/>
        <n v="1768939217"/>
        <n v="1768939330"/>
        <n v="1768945314"/>
        <n v="1768954208"/>
        <n v="1768965676"/>
        <n v="1768965986"/>
        <n v="1768966125"/>
        <n v="1768983950"/>
        <n v="1769022805"/>
        <n v="1769023267"/>
        <n v="1769023305"/>
        <n v="1769023429"/>
        <n v="1769023550"/>
        <n v="1769027033"/>
        <n v="1769027106"/>
        <n v="1764759907"/>
        <n v="1768838720"/>
        <n v="1768844534"/>
        <n v="1768845468"/>
        <n v="1768868727"/>
        <n v="1768870004"/>
        <n v="1768895899"/>
        <n v="1768896046"/>
        <n v="1768907234"/>
        <n v="1768933790"/>
        <n v="1768939560"/>
        <n v="1768941718"/>
        <n v="1768956812"/>
        <n v="1768969124"/>
        <n v="1768984450"/>
        <n v="1769001166"/>
        <n v="1769049185"/>
        <n v="1764761472"/>
        <n v="1764761529"/>
        <n v="1764761553"/>
        <n v="1768835349"/>
        <n v="1768835489"/>
        <n v="1768838062"/>
        <n v="1768838097"/>
        <n v="1768839557"/>
        <n v="1764739124"/>
        <n v="1768831610"/>
        <n v="1768855749"/>
        <n v="1768880387"/>
        <n v="1768882010"/>
        <n v="1768898677"/>
        <n v="1768903336"/>
        <n v="1768921105"/>
        <n v="1768922314"/>
        <n v="1768926182"/>
        <n v="1768934002"/>
        <n v="1768944792"/>
        <n v="1768945276"/>
        <n v="1768957843"/>
        <n v="1764752333"/>
        <n v="1768883106"/>
        <n v="1768905230"/>
        <n v="1768959129"/>
        <n v="1769001557"/>
        <n v="1769029028"/>
        <n v="1769041516"/>
        <n v="1764761286"/>
        <n v="1768850208"/>
        <n v="1768911819"/>
        <n v="1768911843"/>
        <n v="1768916195"/>
        <n v="1768917256"/>
        <n v="1768918627"/>
        <n v="1768922470"/>
        <n v="1768947953"/>
        <n v="1768959420"/>
        <n v="1769028960"/>
        <n v="1769048420"/>
        <n v="1764780670"/>
        <n v="1768842035"/>
        <n v="1768849668"/>
        <n v="1768850542"/>
        <n v="1768862508"/>
        <n v="1768881057"/>
        <n v="1768881723"/>
        <n v="1768921385"/>
        <n v="1768922233"/>
        <n v="1768933626"/>
        <n v="1768958769"/>
        <n v="1768958840"/>
        <n v="1764767160"/>
        <n v="1768834120"/>
        <n v="1768854904"/>
        <n v="1768874050"/>
        <n v="1768882827"/>
        <n v="1768985626"/>
        <n v="1768985723"/>
        <n v="1768985740"/>
        <n v="1769028722"/>
        <n v="1769042423"/>
        <n v="1764762479"/>
        <n v="1768839522"/>
        <n v="1768839603"/>
        <n v="1768855617"/>
        <n v="1768882169"/>
        <n v="1768897440"/>
        <n v="1768950970"/>
        <n v="1768963410"/>
        <n v="1769022392"/>
        <n v="1769033866"/>
        <n v="1769042440"/>
        <n v="1764781392"/>
        <n v="1768838712"/>
        <n v="1768845689"/>
        <n v="1768857512"/>
        <n v="1768869189"/>
        <n v="1768869900"/>
        <n v="1768888604"/>
        <n v="1768896160"/>
        <n v="1768896275"/>
        <n v="1768907790"/>
        <n v="1768909865"/>
        <n v="1768922160"/>
        <n v="1768924210"/>
        <n v="1768939497"/>
        <n v="1768985677"/>
        <n v="1769095012"/>
        <n v="1769110186"/>
        <n v="1769112870"/>
        <n v="1773154796"/>
        <n v="1773157515"/>
        <n v="1773166140"/>
        <n v="1773175580"/>
        <n v="1773186400"/>
        <n v="1773230115"/>
        <n v="1769078703"/>
        <n v="1769086730"/>
        <n v="1769094260"/>
        <n v="1773149148"/>
        <n v="1773149260"/>
        <n v="1773155164"/>
        <n v="1773172069"/>
        <n v="1773217712"/>
        <n v="1773218360"/>
        <n v="1773241620"/>
        <n v="1769063340"/>
        <n v="1769065768"/>
        <n v="1769099514"/>
        <n v="1769099522"/>
        <n v="1769100695"/>
        <n v="1769117474"/>
        <n v="1773163760"/>
        <n v="1773164899"/>
        <n v="1773192574"/>
        <n v="1773214410"/>
        <n v="1773229362"/>
        <n v="1773230735"/>
        <n v="1773237357"/>
        <n v="1773237390"/>
        <n v="1773237403"/>
        <n v="1773237500"/>
        <n v="1773237550"/>
        <n v="1773237586"/>
        <n v="1773240145"/>
        <n v="1769063935"/>
        <n v="1769094750"/>
        <n v="1773218336"/>
        <n v="1773219375"/>
        <n v="1773231987"/>
        <n v="1773204700"/>
        <n v="1769110290"/>
        <n v="1773149245"/>
        <n v="1773168738"/>
        <n v="1773168886"/>
        <n v="1773184504"/>
        <n v="1773192840"/>
        <n v="1773192205"/>
        <n v="1773220969"/>
        <n v="1769072322"/>
        <n v="1769086617"/>
        <n v="1769094229"/>
        <n v="1773186515"/>
        <n v="1773230638"/>
        <n v="1769063722"/>
        <n v="1769063820"/>
        <n v="1769072560"/>
        <n v="1769084428"/>
        <n v="1769095527"/>
        <n v="1769111603"/>
        <n v="1769114475"/>
        <n v="1773145060"/>
        <n v="1773169440"/>
        <n v="1773176315"/>
        <n v="1773176919"/>
        <n v="1773181092"/>
        <n v="1773181777"/>
        <n v="1773210270"/>
        <n v="1773220853"/>
        <n v="1769106316"/>
        <n v="1769113495"/>
        <n v="1773160575"/>
        <n v="1773181386"/>
        <n v="1773181882"/>
        <n v="1773182640"/>
        <n v="1773205706"/>
        <n v="1773214489"/>
        <n v="1773217879"/>
        <n v="1773240110"/>
        <n v="1769086757"/>
        <n v="1769100090"/>
        <n v="1769102370"/>
        <n v="1773158627"/>
        <n v="1773172123"/>
        <n v="1773240560"/>
        <n v="1769087672"/>
        <n v="1769099506"/>
        <n v="1773163159"/>
        <n v="1773163230"/>
        <n v="1773180126"/>
        <n v="1773186639"/>
        <n v="1773192248"/>
        <n v="1773220349"/>
        <n v="1773220373"/>
        <n v="1773224379"/>
        <n v="1773228170"/>
        <n v="1773181912"/>
        <n v="1769102388"/>
        <n v="1769110178"/>
        <n v="1773180819"/>
        <n v="1773205803"/>
        <n v="1773225260"/>
        <n v="1773229699"/>
        <n v="1769073990"/>
        <n v="1769093930"/>
        <n v="1769100377"/>
        <n v="1769109129"/>
        <n v="1769114520"/>
        <n v="1769114548"/>
        <n v="1773146963"/>
        <n v="1773174400"/>
        <n v="1773190415"/>
        <n v="1773193090"/>
        <n v="1773205200"/>
        <n v="1773222783"/>
        <n v="1773240064"/>
        <n v="1769116362"/>
        <n v="1773241680"/>
        <n v="1773129627"/>
        <n v="1773158856"/>
        <n v="1773210289"/>
        <n v="1773210297"/>
        <n v="1773210394"/>
        <n v="1773210572"/>
        <n v="1773225375"/>
        <n v="1769078193"/>
        <n v="1769094865"/>
        <n v="1773147706"/>
        <n v="1773154559"/>
        <n v="1773164200"/>
        <n v="1773180540"/>
        <n v="1773182595"/>
        <n v="1773182617"/>
        <n v="1773214860"/>
        <n v="1773222708"/>
      </sharedItems>
    </cacheField>
    <cacheField name="[Desem].[NombreFuncionario].[NombreFuncionario]" caption="NombreFuncionario" numFmtId="0" hierarchy="9" level="1">
      <sharedItems count="22">
        <s v="A.ROJAS"/>
        <s v="C.MARKY*16024"/>
        <s v="C.MEJIA"/>
        <s v="D.HERRERA*14796"/>
        <s v="F.AMANS*13178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  <s v="D.ROSADO*16377"/>
      </sharedItems>
    </cacheField>
    <cacheField name="[Desem].[NombreCliente].[NombreCliente]" caption="NombreCliente" numFmtId="0" hierarchy="10" level="1">
      <sharedItems count="185">
        <s v="ECOINTEGRITY SAC"/>
        <s v="PROTEIN PARTNERS"/>
        <s v="EMPRESAS PINTO PERU SA"/>
        <s v="ELITE BRANDS INTERNATIONAL PERU SRL"/>
        <s v="MOTO REPUESTOS &amp; AB SAC"/>
        <s v="NOR AUTOS CHICLAYO SAC"/>
        <s v="DISTRIBUIDORA COMERCIAL ALVAREZ BOHL S R L"/>
        <s v="ELEODORO QUIROGA RAMOS SAC"/>
        <s v="AGROCOSTA PERU SAC"/>
        <s v="SUNSHINE EXPORT SAC"/>
        <s v="CARTOCOR DE PERU S A"/>
        <s v="IMBAREX SA"/>
        <s v="VSI INDUSTRIAL SAC"/>
        <s v="ISEG PERU SAC"/>
        <s v="SOUTH PACIFIC INTERNATIONAL S A C"/>
        <s v="IMPORTADORA GUILLEN PERU SAC"/>
        <s v="KSL SAC"/>
        <s v="TUBOPLAST SA"/>
        <s v="CONSORCIO DE PRODUCTORES DE FRUTA SA"/>
        <s v="CORPORACION FRUTICOLA DE CHINCHA S A C"/>
        <s v="CONTINENTAL TRAVEL SAC"/>
        <s v="ARTECOLA PERU SA"/>
        <s v="DIAMANTE DEL PACIFICO SA"/>
        <s v="COMPA#IA DE ABASTECIMIENTO INDUSTRIAL SAC"/>
        <s v="INCATECH S A C"/>
        <s v="DIGETEL SOLUCIONES SAC"/>
        <s v="ENERCITY SAC"/>
        <s v="REFAX PERU SA"/>
        <s v="IMPULSA365 SAC"/>
        <s v="CLASS COMPLEMENTS SAC"/>
        <s v="INVERSIONES RUBIN S SAC"/>
        <s v="EMUSA PERU SAC"/>
        <s v="MINERA TITAN DEL PERU S R L"/>
        <s v="SCHROTH CORPORACION PAPELERA S A C"/>
        <s v="IXM TRADING PERU SAC"/>
        <s v="PROCESADORA LARAN S A C"/>
        <s v="M &amp; M REPUESTOS Y SERVICIOS"/>
        <s v="PAPELERA NACIONAL S A"/>
        <s v="ECOPACKING CLAMSHELLS SAC"/>
        <s v="LA CALERA S A C"/>
        <s v="TAI LOY S A"/>
        <s v="EMPRESA DE CREDITOS SANTANDER CONSUMO PERU SA"/>
        <s v="ESMERALDA CORP SAC"/>
        <s v="EUROCAPITAL SERVICIOS FINANCIEROS S A C"/>
        <s v="ACEROS Y CONCRETOS S A C"/>
        <s v="CORPORACION DE INGENIERIA DE REFRIGERACION"/>
        <s v="PYMATEK AUTOMATION S R L"/>
        <s v="BIG ROCK S A C"/>
        <s v="CONSTRUCTORA ABA S A C"/>
        <s v="S &amp; M FOODS SAC"/>
        <s v="CONSORCIO GEOHIDRAULICA SAC"/>
        <s v="DIMATIC SAC"/>
        <s v="INDUSTRIA GRAFICA CIMAGRAF SAC"/>
        <s v="FITFLOW PERU SRL"/>
        <s v="PRIMUS CAPITAL PERU SAC"/>
        <s v="REPRESENTACIONES TECNIMOTORS EIRL"/>
        <s v="MEGAPACK GROUP SOCIEDAD ANONIMA CERRADA"/>
        <s v="DRRP SOCIEDAD ANONIMA CERRADA"/>
        <s v="CORPORACION PANASERVICE SAC"/>
        <s v="DELICE SAC"/>
        <s v="GRUPO ELECTRODATA SAC"/>
        <s v="DEUTSCHE PHARMA S A C"/>
        <s v="HIVIMAR S A C"/>
        <s v="TOTAL SERVICIOS FINANCIEROS EMPRESAS DE CREDI"/>
        <s v="S &amp; C SOLUCIONES INTEGRALES SAC"/>
        <s v="SCANIA SERVICES DEL PERU"/>
        <s v="AGRICOLA DON GUILLERMO S A C"/>
        <s v="ESTILOS S R L"/>
        <s v="EL BOSQUE EMPRESA INDIVIDUAL DE RLTDA"/>
        <s v="GRIFO JHP EIRL LTDA"/>
        <s v="LA JOYA COMERCIAL SAC"/>
        <s v="PERALES HUANCARUNA S A PERHUSA"/>
        <s v="REPALSA SA"/>
        <s v="SOCIEDAD DE AUTOMOTORES INKA SAC"/>
        <s v="COMPA#IA AGROINDUSTRIAL SANTA ANA SAC"/>
        <s v="FRUTOS TONGORRAPE SOCIEDAD ANONIMA"/>
        <s v="QUICORNAC SAC"/>
        <s v="DISTRIBUCIONES OLANO SAC"/>
        <s v="PULPAS Y PROCESADOS DEL AGRO SOCIEDAD ANONIMA"/>
        <s v="HERMANOS NU#EZ GAONA SRL"/>
        <s v="PACKPLAST ENVOLTURAS SAC"/>
        <s v="AGROVET MARKET SA"/>
        <s v="HILANDERIA LURIN SAC"/>
        <s v="SILVATEAM PERU COMERCIAL SAC"/>
        <s v="ECO PROYEC PERU S A C"/>
        <s v="POLYROOF SOCIEDAD ANONIMA CERRADA"/>
        <s v="OREGON FOODS SAC"/>
        <s v="ANALYTICA MINERAL SERVICES SAC"/>
        <s v="CORPORATION WITHMORY SRL"/>
        <s v="RASH PERU SRL"/>
        <s v="JRC MAQUINARIAS S A C"/>
        <s v="GMG COMERCIAL PERU S A"/>
        <s v="KIA IMPORT PERU SAC"/>
        <s v="OPP FILM S A"/>
        <s v="ALVAREZ LARREA EQUIPOS MEDICOS ALEM CIA LTDA"/>
        <s v="URBANIZADORA JARDIN S A"/>
        <s v="AEROPUERTOS DEL PERU S A"/>
        <s v="TEXTILE SOURCING COMPANY SAC BIC"/>
        <s v="OIL TRADING SAC"/>
        <s v="PERUFARMA S A"/>
        <s v="J &amp; V RESGUARDO S A C"/>
        <s v="EXPORTADORA ROMEX SA"/>
        <s v="FERRETERIA CATALEYA SAC"/>
        <s v="FRIGOSA SAC"/>
        <s v="PALCON PERU SAC"/>
        <s v="VIAGO E I R L"/>
        <s v="AI INVERSIONES PALO ALTO II S A C"/>
        <s v="MOTOR MUNDO SAC"/>
        <s v="FIBRAS MARINAS SA"/>
        <s v="COMPLEJO AGROINDUSTRIAL BETA S A"/>
        <s v="AUTOMOTORES GILDEMEISTER PERU S A C"/>
        <s v="COSTA ATLANTICA SA"/>
        <s v="FORUM DISTRIBUIDORA DEL PERU SA"/>
        <s v="HUMON LATIN AMERICA SA"/>
        <s v="ITALTEL PERU SAC"/>
        <s v="OPERACIONES SEPROCAL SAC"/>
        <s v="INTEGRACION LOGISTICA INLOG SAC"/>
        <s v="SIMED PERU SAC"/>
        <s v="GP MOTOS SOCIEDAD ANONIMA CERRADA"/>
        <s v="J CH COMERCIAL S A"/>
        <s v="INDUSTRIAS JHOMERON S A"/>
        <s v="ZONA LLANTAS SAC"/>
        <s v="M &amp; CALERA SANTA SAC"/>
        <s v="UNION DE TECNICOS ELECTROMECANICOS SAC"/>
        <s v="ROBOCON SERVICIOS SAC"/>
        <s v="CORPORACION INMOBILIARIA TULSI SAC"/>
        <s v="IESA S A"/>
        <s v="COBEFAR SAC"/>
        <s v="CREACIONES DE EXPORTACION SAC"/>
        <s v="NATURAL GAS COMPANY S A C"/>
        <s v="AGROMAR INDUSTRIAL S A"/>
        <s v="MOLINOS ASOCIADOS SOCIEDAD ANONIMA CERRADA"/>
        <s v="RIPCONCIV CONSTRUCCIONES CIVILES CIA LTDA SUC"/>
        <s v="EDIFICADORA DE DISE#O Y CONSTRUCCION SAC"/>
        <s v="CIA INDUSTRIAL NUEVO MUNDO S A"/>
        <s v="LEON AUTOS S A"/>
        <s v="CRECE CAPITAL SAC"/>
        <s v="C &amp; M SERVICENTROS SOCIEDAD ANONIMA CERRADA"/>
        <s v="CORPORACION CAYMAN SAC"/>
        <s v="AMAZONAS TRADING PERU SAC"/>
        <s v="TRINY RENTAL SAC"/>
        <s v="ELECTRONORTE SA"/>
        <s v="EMP REG DE SERV PUB DE ELECT ELECTRONORTE MED"/>
        <s v="SERVOSA COMBUSTIBLES SAC"/>
        <s v="ELECTRONOROESTE S A"/>
        <s v="INVERSIONES FLOTEX SAC"/>
        <s v="INKAPACKING SAC"/>
        <s v="AGROINDUSTRIAS HUARAL SAC"/>
        <s v="CONDUTO PERU SAC"/>
        <s v="PROVEEDORES MINEROS SAC"/>
        <s v="P A PERU S A C"/>
        <s v="INVERSIONES PUCARA S A C"/>
        <s v="GRUPO DELTRON S A"/>
        <s v="ECOPACKING CARTONES SAC"/>
        <s v="INTERLOOM S A C"/>
        <s v="TRAUMA SOLUTIONS SAC"/>
        <s v="INVERSIONES MUYA SAC"/>
        <s v="POLIMASTER SAC"/>
        <s v="CORPORACION MOLIENDA ZUR SAC"/>
        <s v="ACEROS COMERCIALES S C R L"/>
        <s v="INVERMIN PAITITI SOCIEDAD ANONIMA CERRADA"/>
        <s v="CLASIFICADORA DE LANAS MACEDO SAC"/>
        <s v="TRANSPORTES LINEA S A"/>
        <s v="DISMAR EIR LTDA"/>
        <s v="ESTACIONES Y SERVICIOS MHT EIRL"/>
        <s v="COVISIAN ESPA#A SL SOC UNIP SUC EN PERU"/>
        <s v="SEDISA S A C"/>
        <s v="PREMIUM BRANDS S A C"/>
        <s v="TRICORZO SA"/>
        <s v="ZEDINA ALIMENTOS SAC"/>
        <s v="CONSORCIO MEDITERRANEO SAC"/>
        <s v="CENTRO COMERCIAL PLAZA NORTE SAC"/>
        <s v="CENTRO COMERCIAL MALL DEL SUR SAC"/>
        <s v="E &amp; M SRL"/>
        <s v="LA LLAVE SA"/>
        <s v="CONECTA RETAIL SA"/>
        <s v="INDURAMA PERU SAC"/>
        <s v="TIENDAS PERUANAS SA"/>
        <s v="FLORIDABLANCA SAC"/>
        <s v="CYNARA PERU SAC"/>
        <s v="AMBACAR S A C"/>
        <s v="TS NET S A"/>
        <s v="POLIMEROS Y PLASTICOS ANDINA SAC"/>
        <s v="MARCO PERUANA S A"/>
        <s v="J R STEEL COMPANY"/>
      </sharedItems>
    </cacheField>
    <cacheField name="[Desem].[Producto].[Producto]" caption="Producto" numFmtId="0" hierarchy="3" level="1">
      <sharedItems count="4">
        <s v="DESCUENTOS"/>
        <s v="PRESTAMOS"/>
        <s v="COMEX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55.515671990739" createdVersion="3" refreshedVersion="8" minRefreshableVersion="3" recordCount="0" supportSubquery="1" supportAdvancedDrill="1" xr:uid="{B2A30B57-126C-4EB4-9B88-4F785359C076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40471744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15" applyNumberFormats="0" applyBorderFormats="0" applyFontFormats="0" applyPatternFormats="0" applyAlignmentFormats="0" applyWidthHeightFormats="1" dataCaption="Valores" tag="1e3b7414-440b-488d-a175-9297902054bf" updatedVersion="8" minRefreshableVersion="3" subtotalHiddenItems="1" rowGrandTotals="0" colGrandTotals="0" itemPrintTitles="1" createdVersion="5" indent="0" compact="0" compactData="0" multipleFieldFilters="0">
  <location ref="A16:H448" firstHeaderRow="0" firstDataRow="1" firstDataCol="6"/>
  <pivotFields count="11"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432">
    <i>
      <x/>
      <x/>
      <x/>
      <x/>
      <x/>
      <x/>
    </i>
    <i r="2">
      <x v="1"/>
      <x/>
      <x/>
      <x v="1"/>
    </i>
    <i r="2">
      <x v="2"/>
      <x/>
      <x/>
      <x/>
    </i>
    <i r="2">
      <x v="3"/>
      <x/>
      <x v="1"/>
      <x v="2"/>
    </i>
    <i r="2">
      <x v="4"/>
      <x v="1"/>
      <x v="1"/>
      <x v="3"/>
    </i>
    <i r="1">
      <x v="1"/>
      <x v="5"/>
      <x/>
      <x v="2"/>
      <x v="4"/>
    </i>
    <i r="2">
      <x v="6"/>
      <x/>
      <x v="1"/>
      <x v="5"/>
    </i>
    <i r="2">
      <x v="7"/>
      <x/>
      <x v="2"/>
      <x v="4"/>
    </i>
    <i r="2">
      <x v="8"/>
      <x/>
      <x v="2"/>
      <x v="4"/>
    </i>
    <i r="2">
      <x v="9"/>
      <x v="1"/>
      <x v="1"/>
      <x v="6"/>
    </i>
    <i r="2">
      <x v="10"/>
      <x/>
      <x v="2"/>
      <x v="4"/>
    </i>
    <i r="2">
      <x v="11"/>
      <x v="1"/>
      <x v="1"/>
      <x v="7"/>
    </i>
    <i r="2">
      <x v="12"/>
      <x/>
      <x v="2"/>
      <x v="4"/>
    </i>
    <i r="2">
      <x v="13"/>
      <x/>
      <x v="2"/>
      <x v="8"/>
    </i>
    <i r="2">
      <x v="14"/>
      <x/>
      <x v="2"/>
      <x v="9"/>
    </i>
    <i r="2">
      <x v="15"/>
      <x/>
      <x v="2"/>
      <x v="9"/>
    </i>
    <i r="1">
      <x v="2"/>
      <x v="16"/>
      <x/>
      <x/>
      <x v="10"/>
    </i>
    <i r="2">
      <x v="17"/>
      <x/>
      <x v="2"/>
      <x v="11"/>
    </i>
    <i r="2">
      <x v="18"/>
      <x v="1"/>
      <x v="1"/>
      <x v="12"/>
    </i>
    <i r="2">
      <x v="19"/>
      <x v="1"/>
      <x v="1"/>
      <x v="12"/>
    </i>
    <i r="2">
      <x v="20"/>
      <x v="1"/>
      <x v="1"/>
      <x v="13"/>
    </i>
    <i r="2">
      <x v="21"/>
      <x v="1"/>
      <x/>
      <x v="13"/>
    </i>
    <i r="2">
      <x v="22"/>
      <x v="1"/>
      <x v="2"/>
      <x v="14"/>
    </i>
    <i r="2">
      <x v="23"/>
      <x/>
      <x v="1"/>
      <x v="15"/>
    </i>
    <i r="2">
      <x v="24"/>
      <x/>
      <x v="2"/>
      <x v="16"/>
    </i>
    <i r="2">
      <x v="25"/>
      <x/>
      <x/>
      <x v="10"/>
    </i>
    <i r="2">
      <x v="26"/>
      <x/>
      <x v="2"/>
      <x v="17"/>
    </i>
    <i r="2">
      <x v="27"/>
      <x/>
      <x v="2"/>
      <x v="18"/>
    </i>
    <i r="2">
      <x v="28"/>
      <x/>
      <x v="2"/>
      <x v="18"/>
    </i>
    <i r="2">
      <x v="29"/>
      <x/>
      <x v="2"/>
      <x v="19"/>
    </i>
    <i r="2">
      <x v="30"/>
      <x/>
      <x/>
      <x v="10"/>
    </i>
    <i r="2">
      <x v="31"/>
      <x/>
      <x v="1"/>
      <x v="20"/>
    </i>
    <i r="2">
      <x v="32"/>
      <x/>
      <x v="2"/>
      <x v="21"/>
    </i>
    <i r="2">
      <x v="33"/>
      <x/>
      <x v="2"/>
      <x v="19"/>
    </i>
    <i r="2">
      <x v="34"/>
      <x/>
      <x v="2"/>
      <x v="22"/>
    </i>
    <i r="2">
      <x v="35"/>
      <x/>
      <x v="2"/>
      <x v="22"/>
    </i>
    <i r="1">
      <x v="3"/>
      <x v="36"/>
      <x/>
      <x/>
      <x v="23"/>
    </i>
    <i r="2">
      <x v="37"/>
      <x v="1"/>
      <x/>
      <x v="23"/>
    </i>
    <i r="2">
      <x v="38"/>
      <x/>
      <x/>
      <x v="23"/>
    </i>
    <i r="2">
      <x v="39"/>
      <x v="1"/>
      <x/>
      <x v="23"/>
    </i>
    <i r="2">
      <x v="40"/>
      <x/>
      <x/>
      <x v="23"/>
    </i>
    <i r="2">
      <x v="41"/>
      <x/>
      <x/>
      <x v="24"/>
    </i>
    <i r="2">
      <x v="42"/>
      <x v="1"/>
      <x/>
      <x v="23"/>
    </i>
    <i r="2">
      <x v="43"/>
      <x/>
      <x/>
      <x v="23"/>
    </i>
    <i r="2">
      <x v="44"/>
      <x/>
      <x/>
      <x v="24"/>
    </i>
    <i r="2">
      <x v="45"/>
      <x v="1"/>
      <x/>
      <x v="25"/>
    </i>
    <i r="2">
      <x v="46"/>
      <x/>
      <x/>
      <x v="24"/>
    </i>
    <i r="2">
      <x v="47"/>
      <x v="1"/>
      <x/>
      <x v="23"/>
    </i>
    <i r="2">
      <x v="48"/>
      <x/>
      <x/>
      <x v="23"/>
    </i>
    <i r="1">
      <x v="4"/>
      <x v="49"/>
      <x/>
      <x v="1"/>
      <x v="26"/>
    </i>
    <i r="2">
      <x v="50"/>
      <x/>
      <x v="2"/>
      <x v="27"/>
    </i>
    <i r="2">
      <x v="51"/>
      <x/>
      <x v="1"/>
      <x v="28"/>
    </i>
    <i r="2">
      <x v="52"/>
      <x v="1"/>
      <x v="2"/>
      <x v="29"/>
    </i>
    <i r="2">
      <x v="53"/>
      <x v="1"/>
      <x v="1"/>
      <x v="30"/>
    </i>
    <i r="2">
      <x v="54"/>
      <x/>
      <x v="2"/>
      <x v="28"/>
    </i>
    <i r="1">
      <x v="5"/>
      <x v="55"/>
      <x v="1"/>
      <x v="1"/>
      <x v="31"/>
    </i>
    <i r="2">
      <x v="56"/>
      <x/>
      <x v="2"/>
      <x v="32"/>
    </i>
    <i r="2">
      <x v="57"/>
      <x/>
      <x v="2"/>
      <x v="32"/>
    </i>
    <i r="2">
      <x v="58"/>
      <x/>
      <x v="2"/>
      <x v="33"/>
    </i>
    <i r="2">
      <x v="59"/>
      <x/>
      <x v="2"/>
      <x v="33"/>
    </i>
    <i r="2">
      <x v="60"/>
      <x v="1"/>
      <x v="1"/>
      <x v="34"/>
    </i>
    <i r="2">
      <x v="61"/>
      <x v="1"/>
      <x v="1"/>
      <x v="34"/>
    </i>
    <i r="2">
      <x v="62"/>
      <x/>
      <x v="2"/>
      <x v="35"/>
    </i>
    <i r="2">
      <x v="63"/>
      <x/>
      <x v="2"/>
      <x v="36"/>
    </i>
    <i r="2">
      <x v="64"/>
      <x/>
      <x v="2"/>
      <x v="35"/>
    </i>
    <i r="2">
      <x v="65"/>
      <x v="1"/>
      <x v="1"/>
      <x v="37"/>
    </i>
    <i r="2">
      <x v="66"/>
      <x/>
      <x/>
      <x v="38"/>
    </i>
    <i r="2">
      <x v="67"/>
      <x/>
      <x/>
      <x v="38"/>
    </i>
    <i r="2">
      <x v="68"/>
      <x/>
      <x v="2"/>
      <x v="35"/>
    </i>
    <i r="2">
      <x v="69"/>
      <x/>
      <x v="2"/>
      <x v="35"/>
    </i>
    <i r="2">
      <x v="70"/>
      <x v="1"/>
      <x v="1"/>
      <x v="39"/>
    </i>
    <i r="2">
      <x v="71"/>
      <x/>
      <x v="2"/>
      <x v="35"/>
    </i>
    <i r="2">
      <x v="72"/>
      <x/>
      <x v="2"/>
      <x v="35"/>
    </i>
    <i r="2">
      <x v="73"/>
      <x/>
      <x v="1"/>
      <x v="31"/>
    </i>
    <i r="2">
      <x v="74"/>
      <x/>
      <x v="2"/>
      <x v="35"/>
    </i>
    <i r="2">
      <x v="75"/>
      <x/>
      <x v="2"/>
      <x v="35"/>
    </i>
    <i r="2">
      <x v="76"/>
      <x v="1"/>
      <x v="1"/>
      <x v="40"/>
    </i>
    <i r="2">
      <x v="77"/>
      <x/>
      <x v="2"/>
      <x v="33"/>
    </i>
    <i r="2">
      <x v="78"/>
      <x/>
      <x v="2"/>
      <x v="36"/>
    </i>
    <i r="2">
      <x v="79"/>
      <x v="1"/>
      <x v="3"/>
      <x v="41"/>
    </i>
    <i r="2">
      <x v="80"/>
      <x v="1"/>
      <x v="3"/>
      <x v="41"/>
    </i>
    <i r="2">
      <x v="81"/>
      <x/>
      <x v="2"/>
      <x v="35"/>
    </i>
    <i r="2">
      <x v="82"/>
      <x/>
      <x v="2"/>
      <x v="35"/>
    </i>
    <i r="2">
      <x v="83"/>
      <x/>
      <x v="2"/>
      <x v="31"/>
    </i>
    <i r="2">
      <x v="84"/>
      <x/>
      <x v="2"/>
      <x v="31"/>
    </i>
    <i r="2">
      <x v="85"/>
      <x/>
      <x v="2"/>
      <x v="31"/>
    </i>
    <i r="1">
      <x v="6"/>
      <x v="86"/>
      <x v="1"/>
      <x v="1"/>
      <x v="42"/>
    </i>
    <i r="2">
      <x v="87"/>
      <x/>
      <x v="1"/>
      <x v="43"/>
    </i>
    <i r="2">
      <x v="88"/>
      <x v="1"/>
      <x/>
      <x v="44"/>
    </i>
    <i r="2">
      <x v="89"/>
      <x v="1"/>
      <x v="1"/>
      <x v="42"/>
    </i>
    <i r="2">
      <x v="90"/>
      <x/>
      <x/>
      <x v="44"/>
    </i>
    <i r="2">
      <x v="91"/>
      <x/>
      <x v="2"/>
      <x v="45"/>
    </i>
    <i r="2">
      <x v="92"/>
      <x v="1"/>
      <x v="1"/>
      <x v="42"/>
    </i>
    <i r="1">
      <x v="7"/>
      <x v="93"/>
      <x/>
      <x/>
      <x v="46"/>
    </i>
    <i r="2">
      <x v="94"/>
      <x/>
      <x/>
      <x v="46"/>
    </i>
    <i r="2">
      <x v="95"/>
      <x v="1"/>
      <x/>
      <x v="47"/>
    </i>
    <i r="2">
      <x v="96"/>
      <x v="1"/>
      <x/>
      <x v="48"/>
    </i>
    <i r="2">
      <x v="97"/>
      <x v="1"/>
      <x/>
      <x v="47"/>
    </i>
    <i r="1">
      <x v="8"/>
      <x v="98"/>
      <x/>
      <x v="2"/>
      <x v="49"/>
    </i>
    <i r="2">
      <x v="99"/>
      <x/>
      <x/>
      <x v="50"/>
    </i>
    <i r="2">
      <x v="100"/>
      <x/>
      <x v="2"/>
      <x v="51"/>
    </i>
    <i r="2">
      <x v="101"/>
      <x/>
      <x v="2"/>
      <x v="52"/>
    </i>
    <i r="2">
      <x v="102"/>
      <x/>
      <x v="2"/>
      <x v="53"/>
    </i>
    <i r="2">
      <x v="103"/>
      <x v="1"/>
      <x v="1"/>
      <x v="54"/>
    </i>
    <i r="2">
      <x v="104"/>
      <x/>
      <x v="2"/>
      <x v="49"/>
    </i>
    <i r="2">
      <x v="105"/>
      <x/>
      <x v="2"/>
      <x v="49"/>
    </i>
    <i r="2">
      <x v="106"/>
      <x/>
      <x v="2"/>
      <x v="49"/>
    </i>
    <i r="2">
      <x v="107"/>
      <x v="1"/>
      <x v="2"/>
      <x v="55"/>
    </i>
    <i r="2">
      <x v="108"/>
      <x v="1"/>
      <x v="2"/>
      <x v="55"/>
    </i>
    <i r="2">
      <x v="109"/>
      <x v="1"/>
      <x v="2"/>
      <x v="55"/>
    </i>
    <i r="2">
      <x v="110"/>
      <x/>
      <x v="2"/>
      <x v="49"/>
    </i>
    <i r="2">
      <x v="111"/>
      <x/>
      <x v="2"/>
      <x v="49"/>
    </i>
    <i r="2">
      <x v="112"/>
      <x v="1"/>
      <x v="1"/>
      <x v="54"/>
    </i>
    <i r="2">
      <x v="113"/>
      <x/>
      <x v="1"/>
      <x v="56"/>
    </i>
    <i r="2">
      <x v="114"/>
      <x v="1"/>
      <x v="2"/>
      <x v="55"/>
    </i>
    <i r="2">
      <x v="115"/>
      <x v="1"/>
      <x v="2"/>
      <x v="55"/>
    </i>
    <i r="2">
      <x v="116"/>
      <x/>
      <x/>
      <x v="57"/>
    </i>
    <i r="2">
      <x v="117"/>
      <x/>
      <x v="1"/>
      <x v="54"/>
    </i>
    <i r="2">
      <x v="118"/>
      <x/>
      <x v="1"/>
      <x v="54"/>
    </i>
    <i r="2">
      <x v="119"/>
      <x v="1"/>
      <x v="1"/>
      <x v="54"/>
    </i>
    <i r="2">
      <x v="120"/>
      <x v="1"/>
      <x v="1"/>
      <x v="54"/>
    </i>
    <i r="2">
      <x v="121"/>
      <x v="1"/>
      <x v="1"/>
      <x v="54"/>
    </i>
    <i r="2">
      <x v="122"/>
      <x v="1"/>
      <x v="1"/>
      <x v="54"/>
    </i>
    <i r="2">
      <x v="123"/>
      <x v="1"/>
      <x/>
      <x v="58"/>
    </i>
    <i r="2">
      <x v="124"/>
      <x/>
      <x v="2"/>
      <x v="49"/>
    </i>
    <i r="2">
      <x v="125"/>
      <x v="1"/>
      <x/>
      <x v="58"/>
    </i>
    <i r="2">
      <x v="126"/>
      <x v="1"/>
      <x v="2"/>
      <x v="55"/>
    </i>
    <i r="2">
      <x v="127"/>
      <x v="1"/>
      <x v="2"/>
      <x v="55"/>
    </i>
    <i r="2">
      <x v="128"/>
      <x/>
      <x v="2"/>
      <x v="59"/>
    </i>
    <i r="2">
      <x v="129"/>
      <x/>
      <x v="1"/>
      <x v="59"/>
    </i>
    <i r="2">
      <x v="130"/>
      <x/>
      <x v="1"/>
      <x v="60"/>
    </i>
    <i r="2">
      <x v="131"/>
      <x/>
      <x v="2"/>
      <x v="49"/>
    </i>
    <i r="2">
      <x v="132"/>
      <x/>
      <x v="2"/>
      <x v="56"/>
    </i>
    <i r="2">
      <x v="133"/>
      <x/>
      <x v="2"/>
      <x v="56"/>
    </i>
    <i r="2">
      <x v="134"/>
      <x/>
      <x v="2"/>
      <x v="61"/>
    </i>
    <i r="2">
      <x v="135"/>
      <x/>
      <x v="1"/>
      <x v="62"/>
    </i>
    <i r="2">
      <x v="136"/>
      <x/>
      <x v="1"/>
      <x v="63"/>
    </i>
    <i r="2">
      <x v="137"/>
      <x/>
      <x v="1"/>
      <x v="63"/>
    </i>
    <i r="1">
      <x v="9"/>
      <x v="138"/>
      <x v="1"/>
      <x v="1"/>
      <x v="64"/>
    </i>
    <i r="2">
      <x v="139"/>
      <x/>
      <x v="1"/>
      <x v="65"/>
    </i>
    <i r="2">
      <x v="140"/>
      <x/>
      <x v="1"/>
      <x v="66"/>
    </i>
    <i r="1">
      <x v="10"/>
      <x v="141"/>
      <x v="1"/>
      <x v="1"/>
      <x v="67"/>
    </i>
    <i r="2">
      <x v="142"/>
      <x/>
      <x v="2"/>
      <x v="68"/>
    </i>
    <i r="2">
      <x v="143"/>
      <x v="1"/>
      <x v="1"/>
      <x v="69"/>
    </i>
    <i r="2">
      <x v="144"/>
      <x v="1"/>
      <x v="1"/>
      <x v="67"/>
    </i>
    <i r="2">
      <x v="145"/>
      <x/>
      <x v="1"/>
      <x v="70"/>
    </i>
    <i r="1">
      <x v="11"/>
      <x v="146"/>
      <x/>
      <x v="2"/>
      <x v="71"/>
    </i>
    <i r="2">
      <x v="147"/>
      <x v="1"/>
      <x v="1"/>
      <x v="72"/>
    </i>
    <i r="2">
      <x v="148"/>
      <x/>
      <x v="1"/>
      <x v="73"/>
    </i>
    <i r="2">
      <x v="149"/>
      <x v="1"/>
      <x v="1"/>
      <x v="72"/>
    </i>
    <i r="2">
      <x v="150"/>
      <x v="1"/>
      <x v="1"/>
      <x v="74"/>
    </i>
    <i r="2">
      <x v="151"/>
      <x/>
      <x v="2"/>
      <x v="75"/>
    </i>
    <i r="2">
      <x v="152"/>
      <x/>
      <x v="1"/>
      <x v="76"/>
    </i>
    <i r="2">
      <x v="153"/>
      <x/>
      <x v="1"/>
      <x v="73"/>
    </i>
    <i r="2">
      <x v="154"/>
      <x/>
      <x v="1"/>
      <x v="73"/>
    </i>
    <i r="2">
      <x v="155"/>
      <x v="1"/>
      <x v="1"/>
      <x v="77"/>
    </i>
    <i r="2">
      <x v="156"/>
      <x v="1"/>
      <x v="1"/>
      <x v="74"/>
    </i>
    <i r="2">
      <x v="157"/>
      <x v="1"/>
      <x v="1"/>
      <x v="77"/>
    </i>
    <i r="2">
      <x v="158"/>
      <x v="1"/>
      <x v="1"/>
      <x v="74"/>
    </i>
    <i r="2">
      <x v="159"/>
      <x v="1"/>
      <x v="1"/>
      <x v="77"/>
    </i>
    <i r="2">
      <x v="160"/>
      <x/>
      <x v="1"/>
      <x v="73"/>
    </i>
    <i r="2">
      <x v="161"/>
      <x v="1"/>
      <x v="1"/>
      <x v="77"/>
    </i>
    <i r="2">
      <x v="162"/>
      <x v="1"/>
      <x v="1"/>
      <x v="77"/>
    </i>
    <i r="2">
      <x v="163"/>
      <x v="1"/>
      <x v="1"/>
      <x v="77"/>
    </i>
    <i r="2">
      <x v="164"/>
      <x/>
      <x v="1"/>
      <x v="76"/>
    </i>
    <i r="2">
      <x v="165"/>
      <x v="1"/>
      <x v="1"/>
      <x v="77"/>
    </i>
    <i r="2">
      <x v="166"/>
      <x v="1"/>
      <x v="1"/>
      <x v="77"/>
    </i>
    <i r="2">
      <x v="167"/>
      <x v="1"/>
      <x v="1"/>
      <x v="77"/>
    </i>
    <i r="2">
      <x v="168"/>
      <x v="1"/>
      <x v="1"/>
      <x v="77"/>
    </i>
    <i r="2">
      <x v="169"/>
      <x v="1"/>
      <x v="1"/>
      <x v="77"/>
    </i>
    <i r="2">
      <x v="170"/>
      <x v="1"/>
      <x v="1"/>
      <x v="77"/>
    </i>
    <i r="2">
      <x v="171"/>
      <x/>
      <x v="2"/>
      <x v="78"/>
    </i>
    <i r="2">
      <x v="172"/>
      <x/>
      <x v="2"/>
      <x v="78"/>
    </i>
    <i r="2">
      <x v="173"/>
      <x v="1"/>
      <x v="1"/>
      <x v="77"/>
    </i>
    <i r="2">
      <x v="174"/>
      <x v="1"/>
      <x v="1"/>
      <x v="77"/>
    </i>
    <i r="2">
      <x v="175"/>
      <x v="1"/>
      <x v="1"/>
      <x v="77"/>
    </i>
    <i r="2">
      <x v="176"/>
      <x v="1"/>
      <x v="1"/>
      <x v="77"/>
    </i>
    <i r="2">
      <x v="177"/>
      <x v="1"/>
      <x v="1"/>
      <x v="77"/>
    </i>
    <i r="2">
      <x v="178"/>
      <x v="1"/>
      <x v="1"/>
      <x v="77"/>
    </i>
    <i r="2">
      <x v="179"/>
      <x v="1"/>
      <x v="1"/>
      <x v="77"/>
    </i>
    <i r="2">
      <x v="180"/>
      <x v="1"/>
      <x v="1"/>
      <x v="79"/>
    </i>
    <i r="2">
      <x v="181"/>
      <x v="1"/>
      <x v="1"/>
      <x v="72"/>
    </i>
    <i r="2">
      <x v="182"/>
      <x v="1"/>
      <x v="1"/>
      <x v="72"/>
    </i>
    <i r="2">
      <x v="183"/>
      <x v="1"/>
      <x v="1"/>
      <x v="77"/>
    </i>
    <i r="2">
      <x v="184"/>
      <x v="1"/>
      <x v="1"/>
      <x v="77"/>
    </i>
    <i r="2">
      <x v="185"/>
      <x/>
      <x v="2"/>
      <x v="78"/>
    </i>
    <i r="2">
      <x v="186"/>
      <x v="1"/>
      <x v="1"/>
      <x v="77"/>
    </i>
    <i r="2">
      <x v="187"/>
      <x v="1"/>
      <x v="1"/>
      <x v="77"/>
    </i>
    <i r="1">
      <x v="12"/>
      <x v="188"/>
      <x/>
      <x v="2"/>
      <x v="80"/>
    </i>
    <i r="2">
      <x v="189"/>
      <x/>
      <x v="2"/>
      <x v="81"/>
    </i>
    <i r="2">
      <x v="190"/>
      <x/>
      <x v="1"/>
      <x v="82"/>
    </i>
    <i r="2">
      <x v="191"/>
      <x/>
      <x v="2"/>
      <x v="81"/>
    </i>
    <i r="2">
      <x v="192"/>
      <x/>
      <x v="2"/>
      <x v="83"/>
    </i>
    <i r="2">
      <x v="193"/>
      <x/>
      <x v="2"/>
      <x v="84"/>
    </i>
    <i r="2">
      <x v="194"/>
      <x/>
      <x v="2"/>
      <x v="85"/>
    </i>
    <i r="2">
      <x v="195"/>
      <x/>
      <x v="2"/>
      <x v="85"/>
    </i>
    <i r="2">
      <x v="196"/>
      <x/>
      <x v="2"/>
      <x v="81"/>
    </i>
    <i r="2">
      <x v="197"/>
      <x/>
      <x v="2"/>
      <x v="80"/>
    </i>
    <i r="2">
      <x v="198"/>
      <x v="1"/>
      <x v="2"/>
      <x v="86"/>
    </i>
    <i r="2">
      <x v="199"/>
      <x/>
      <x v="2"/>
      <x v="84"/>
    </i>
    <i r="2">
      <x v="200"/>
      <x/>
      <x v="2"/>
      <x v="80"/>
    </i>
    <i r="2">
      <x v="201"/>
      <x/>
      <x v="2"/>
      <x v="82"/>
    </i>
    <i r="2">
      <x v="202"/>
      <x/>
      <x v="2"/>
      <x v="81"/>
    </i>
    <i r="2">
      <x v="203"/>
      <x/>
      <x v="1"/>
      <x v="87"/>
    </i>
    <i r="2">
      <x v="204"/>
      <x/>
      <x v="2"/>
      <x v="88"/>
    </i>
    <i r="1">
      <x v="13"/>
      <x v="205"/>
      <x v="1"/>
      <x v="1"/>
      <x v="89"/>
    </i>
    <i r="2">
      <x v="206"/>
      <x v="1"/>
      <x v="1"/>
      <x v="89"/>
    </i>
    <i r="2">
      <x v="207"/>
      <x v="1"/>
      <x v="1"/>
      <x v="89"/>
    </i>
    <i r="2">
      <x v="208"/>
      <x v="1"/>
      <x v="1"/>
      <x v="89"/>
    </i>
    <i r="2">
      <x v="209"/>
      <x v="1"/>
      <x v="1"/>
      <x v="89"/>
    </i>
    <i r="2">
      <x v="210"/>
      <x v="1"/>
      <x v="1"/>
      <x v="89"/>
    </i>
    <i r="2">
      <x v="211"/>
      <x v="1"/>
      <x v="1"/>
      <x v="89"/>
    </i>
    <i r="2">
      <x v="212"/>
      <x/>
      <x v="3"/>
      <x v="90"/>
    </i>
    <i r="1">
      <x v="14"/>
      <x v="213"/>
      <x v="1"/>
      <x v="1"/>
      <x v="91"/>
    </i>
    <i r="2">
      <x v="214"/>
      <x v="1"/>
      <x v="1"/>
      <x v="92"/>
    </i>
    <i r="2">
      <x v="215"/>
      <x/>
      <x v="2"/>
      <x v="93"/>
    </i>
    <i r="2">
      <x v="216"/>
      <x v="1"/>
      <x v="1"/>
      <x v="94"/>
    </i>
    <i r="2">
      <x v="217"/>
      <x v="1"/>
      <x v="1"/>
      <x v="92"/>
    </i>
    <i r="2">
      <x v="218"/>
      <x/>
      <x v="3"/>
      <x v="95"/>
    </i>
    <i r="2">
      <x v="219"/>
      <x/>
      <x v="3"/>
      <x v="96"/>
    </i>
    <i r="2">
      <x v="220"/>
      <x/>
      <x v="2"/>
      <x v="97"/>
    </i>
    <i r="2">
      <x v="221"/>
      <x/>
      <x v="2"/>
      <x v="98"/>
    </i>
    <i r="2">
      <x v="222"/>
      <x v="1"/>
      <x/>
      <x v="99"/>
    </i>
    <i r="2">
      <x v="223"/>
      <x v="1"/>
      <x/>
      <x v="99"/>
    </i>
    <i r="2">
      <x v="224"/>
      <x v="1"/>
      <x v="2"/>
      <x v="99"/>
    </i>
    <i r="2">
      <x v="225"/>
      <x v="1"/>
      <x v="1"/>
      <x v="100"/>
    </i>
    <i r="2">
      <x v="226"/>
      <x/>
      <x v="2"/>
      <x v="101"/>
    </i>
    <i r="1">
      <x v="15"/>
      <x v="227"/>
      <x v="1"/>
      <x/>
      <x v="102"/>
    </i>
    <i r="2">
      <x v="228"/>
      <x/>
      <x v="2"/>
      <x v="103"/>
    </i>
    <i r="2">
      <x v="229"/>
      <x/>
      <x v="1"/>
      <x v="104"/>
    </i>
    <i r="2">
      <x v="230"/>
      <x v="1"/>
      <x/>
      <x v="105"/>
    </i>
    <i r="2">
      <x v="231"/>
      <x v="1"/>
      <x/>
      <x v="105"/>
    </i>
    <i r="2">
      <x v="232"/>
      <x v="1"/>
      <x/>
      <x v="102"/>
    </i>
    <i r="2">
      <x v="233"/>
      <x v="1"/>
      <x/>
      <x v="102"/>
    </i>
    <i r="1">
      <x v="16"/>
      <x v="234"/>
      <x v="1"/>
      <x v="1"/>
      <x v="106"/>
    </i>
    <i r="2">
      <x v="235"/>
      <x/>
      <x v="2"/>
      <x v="107"/>
    </i>
    <i r="2">
      <x v="236"/>
      <x/>
      <x v="2"/>
      <x v="108"/>
    </i>
    <i r="2">
      <x v="237"/>
      <x/>
      <x v="2"/>
      <x v="108"/>
    </i>
    <i r="2">
      <x v="238"/>
      <x/>
      <x v="2"/>
      <x v="109"/>
    </i>
    <i r="2">
      <x v="239"/>
      <x/>
      <x v="2"/>
      <x v="110"/>
    </i>
    <i r="2">
      <x v="240"/>
      <x/>
      <x v="1"/>
      <x v="111"/>
    </i>
    <i r="2">
      <x v="241"/>
      <x/>
      <x v="1"/>
      <x v="112"/>
    </i>
    <i r="2">
      <x v="242"/>
      <x/>
      <x v="2"/>
      <x v="107"/>
    </i>
    <i r="2">
      <x v="243"/>
      <x v="1"/>
      <x v="1"/>
      <x v="106"/>
    </i>
    <i r="2">
      <x v="244"/>
      <x v="1"/>
      <x v="1"/>
      <x v="106"/>
    </i>
    <i r="2">
      <x v="245"/>
      <x/>
      <x v="2"/>
      <x v="113"/>
    </i>
    <i r="1">
      <x v="17"/>
      <x v="246"/>
      <x v="1"/>
      <x/>
      <x v="114"/>
    </i>
    <i r="2">
      <x v="247"/>
      <x/>
      <x v="1"/>
      <x v="115"/>
    </i>
    <i r="2">
      <x v="248"/>
      <x/>
      <x/>
      <x v="114"/>
    </i>
    <i r="2">
      <x v="249"/>
      <x v="1"/>
      <x v="1"/>
      <x v="116"/>
    </i>
    <i r="2">
      <x v="250"/>
      <x/>
      <x v="1"/>
      <x v="115"/>
    </i>
    <i r="2">
      <x v="251"/>
      <x v="1"/>
      <x v="2"/>
      <x v="117"/>
    </i>
    <i r="2">
      <x v="252"/>
      <x/>
      <x v="2"/>
      <x v="118"/>
    </i>
    <i r="2">
      <x v="253"/>
      <x/>
      <x v="2"/>
      <x v="119"/>
    </i>
    <i r="2">
      <x v="254"/>
      <x/>
      <x v="1"/>
      <x v="120"/>
    </i>
    <i r="2">
      <x v="255"/>
      <x/>
      <x/>
      <x v="114"/>
    </i>
    <i r="2">
      <x v="256"/>
      <x/>
      <x v="2"/>
      <x v="121"/>
    </i>
    <i r="2">
      <x v="257"/>
      <x/>
      <x v="2"/>
      <x v="121"/>
    </i>
    <i r="1">
      <x v="18"/>
      <x v="258"/>
      <x/>
      <x v="1"/>
      <x v="122"/>
    </i>
    <i r="2">
      <x v="259"/>
      <x v="1"/>
      <x/>
      <x v="123"/>
    </i>
    <i r="2">
      <x v="260"/>
      <x/>
      <x v="1"/>
      <x v="124"/>
    </i>
    <i r="2">
      <x v="261"/>
      <x v="1"/>
      <x v="1"/>
      <x v="125"/>
    </i>
    <i r="2">
      <x v="262"/>
      <x/>
      <x/>
      <x v="126"/>
    </i>
    <i r="2">
      <x v="263"/>
      <x v="1"/>
      <x v="1"/>
      <x v="127"/>
    </i>
    <i r="2">
      <x v="264"/>
      <x/>
      <x/>
      <x v="126"/>
    </i>
    <i r="2">
      <x v="265"/>
      <x/>
      <x/>
      <x v="126"/>
    </i>
    <i r="2">
      <x v="266"/>
      <x v="1"/>
      <x v="1"/>
      <x v="128"/>
    </i>
    <i r="2">
      <x v="267"/>
      <x v="1"/>
      <x v="1"/>
      <x v="129"/>
    </i>
    <i r="1">
      <x v="19"/>
      <x v="268"/>
      <x/>
      <x v="2"/>
      <x v="130"/>
    </i>
    <i r="2">
      <x v="269"/>
      <x/>
      <x v="2"/>
      <x v="131"/>
    </i>
    <i r="2">
      <x v="270"/>
      <x/>
      <x v="2"/>
      <x v="131"/>
    </i>
    <i r="2">
      <x v="271"/>
      <x/>
      <x v="3"/>
      <x v="132"/>
    </i>
    <i r="2">
      <x v="272"/>
      <x v="1"/>
      <x/>
      <x v="133"/>
    </i>
    <i r="2">
      <x v="273"/>
      <x v="1"/>
      <x v="2"/>
      <x v="134"/>
    </i>
    <i r="2">
      <x v="274"/>
      <x/>
      <x v="1"/>
      <x v="135"/>
    </i>
    <i r="2">
      <x v="275"/>
      <x v="1"/>
      <x v="1"/>
      <x v="136"/>
    </i>
    <i r="2">
      <x v="276"/>
      <x v="1"/>
      <x/>
      <x v="137"/>
    </i>
    <i r="2">
      <x v="277"/>
      <x v="1"/>
      <x v="2"/>
      <x v="138"/>
    </i>
    <i r="2">
      <x v="278"/>
      <x/>
      <x/>
      <x v="133"/>
    </i>
    <i r="1">
      <x v="20"/>
      <x v="279"/>
      <x/>
      <x v="2"/>
      <x v="139"/>
    </i>
    <i r="2">
      <x v="280"/>
      <x v="1"/>
      <x/>
      <x v="140"/>
    </i>
    <i r="2">
      <x v="281"/>
      <x v="1"/>
      <x v="1"/>
      <x v="141"/>
    </i>
    <i r="2">
      <x v="282"/>
      <x v="1"/>
      <x v="1"/>
      <x v="142"/>
    </i>
    <i r="2">
      <x v="283"/>
      <x/>
      <x/>
      <x v="140"/>
    </i>
    <i r="2">
      <x v="284"/>
      <x/>
      <x/>
      <x v="140"/>
    </i>
    <i r="2">
      <x v="285"/>
      <x v="1"/>
      <x/>
      <x v="140"/>
    </i>
    <i r="2">
      <x v="286"/>
      <x v="1"/>
      <x/>
      <x v="140"/>
    </i>
    <i r="2">
      <x v="287"/>
      <x v="1"/>
      <x/>
      <x v="140"/>
    </i>
    <i r="2">
      <x v="288"/>
      <x v="1"/>
      <x/>
      <x v="143"/>
    </i>
    <i r="2">
      <x v="289"/>
      <x v="1"/>
      <x/>
      <x v="140"/>
    </i>
    <i r="2">
      <x v="290"/>
      <x v="1"/>
      <x v="1"/>
      <x v="144"/>
    </i>
    <i r="2">
      <x v="291"/>
      <x v="1"/>
      <x/>
      <x v="140"/>
    </i>
    <i r="2">
      <x v="292"/>
      <x/>
      <x v="2"/>
      <x v="145"/>
    </i>
    <i r="2">
      <x v="293"/>
      <x v="1"/>
      <x/>
      <x v="143"/>
    </i>
    <i>
      <x v="1"/>
      <x/>
      <x v="294"/>
      <x/>
      <x/>
      <x/>
    </i>
    <i r="2">
      <x v="295"/>
      <x v="1"/>
      <x v="1"/>
      <x v="3"/>
    </i>
    <i r="1">
      <x v="1"/>
      <x v="296"/>
      <x/>
      <x v="2"/>
      <x v="4"/>
    </i>
    <i r="2">
      <x v="297"/>
      <x/>
      <x v="1"/>
      <x v="5"/>
    </i>
    <i r="2">
      <x v="298"/>
      <x v="1"/>
      <x v="1"/>
      <x v="6"/>
    </i>
    <i r="2">
      <x v="299"/>
      <x/>
      <x v="2"/>
      <x v="4"/>
    </i>
    <i r="2">
      <x v="300"/>
      <x/>
      <x v="2"/>
      <x v="146"/>
    </i>
    <i r="2">
      <x v="301"/>
      <x/>
      <x v="2"/>
      <x v="4"/>
    </i>
    <i r="2">
      <x v="302"/>
      <x/>
      <x v="2"/>
      <x v="4"/>
    </i>
    <i r="1">
      <x v="2"/>
      <x v="303"/>
      <x/>
      <x/>
      <x v="10"/>
    </i>
    <i r="2">
      <x v="304"/>
      <x/>
      <x v="1"/>
      <x v="147"/>
    </i>
    <i r="2">
      <x v="305"/>
      <x/>
      <x v="1"/>
      <x v="148"/>
    </i>
    <i r="2">
      <x v="306"/>
      <x/>
      <x v="1"/>
      <x v="149"/>
    </i>
    <i r="2">
      <x v="307"/>
      <x/>
      <x v="1"/>
      <x v="148"/>
    </i>
    <i r="2">
      <x v="308"/>
      <x v="1"/>
      <x v="1"/>
      <x v="150"/>
    </i>
    <i r="2">
      <x v="309"/>
      <x/>
      <x v="2"/>
      <x v="16"/>
    </i>
    <i r="1">
      <x v="3"/>
      <x v="310"/>
      <x/>
      <x/>
      <x v="23"/>
    </i>
    <i r="2">
      <x v="311"/>
      <x v="1"/>
      <x/>
      <x v="23"/>
    </i>
    <i r="1">
      <x v="21"/>
      <x v="312"/>
      <x v="1"/>
      <x v="1"/>
      <x v="151"/>
    </i>
    <i r="1">
      <x v="5"/>
      <x v="313"/>
      <x/>
      <x v="2"/>
      <x v="35"/>
    </i>
    <i r="2">
      <x v="314"/>
      <x v="1"/>
      <x v="1"/>
      <x v="31"/>
    </i>
    <i r="2">
      <x v="315"/>
      <x/>
      <x v="2"/>
      <x v="35"/>
    </i>
    <i r="2">
      <x v="316"/>
      <x/>
      <x v="2"/>
      <x v="35"/>
    </i>
    <i r="2">
      <x v="317"/>
      <x/>
      <x v="2"/>
      <x v="33"/>
    </i>
    <i r="2">
      <x v="318"/>
      <x/>
      <x v="2"/>
      <x v="36"/>
    </i>
    <i r="2">
      <x v="319"/>
      <x/>
      <x v="1"/>
      <x v="152"/>
    </i>
    <i r="2">
      <x v="320"/>
      <x/>
      <x v="2"/>
      <x v="35"/>
    </i>
    <i r="2">
      <x v="321"/>
      <x/>
      <x v="2"/>
      <x v="33"/>
    </i>
    <i r="2">
      <x v="322"/>
      <x/>
      <x v="2"/>
      <x v="32"/>
    </i>
    <i r="2">
      <x v="323"/>
      <x/>
      <x v="1"/>
      <x v="31"/>
    </i>
    <i r="2">
      <x v="324"/>
      <x v="1"/>
      <x v="1"/>
      <x v="40"/>
    </i>
    <i r="2">
      <x v="325"/>
      <x/>
      <x/>
      <x v="153"/>
    </i>
    <i r="2">
      <x v="326"/>
      <x/>
      <x v="2"/>
      <x v="35"/>
    </i>
    <i r="2">
      <x v="327"/>
      <x/>
      <x/>
      <x v="38"/>
    </i>
    <i r="2">
      <x v="328"/>
      <x/>
      <x/>
      <x v="153"/>
    </i>
    <i r="2">
      <x v="329"/>
      <x/>
      <x/>
      <x v="38"/>
    </i>
    <i r="2">
      <x v="330"/>
      <x/>
      <x/>
      <x v="38"/>
    </i>
    <i r="2">
      <x v="331"/>
      <x v="1"/>
      <x v="1"/>
      <x v="40"/>
    </i>
    <i r="1">
      <x v="6"/>
      <x v="332"/>
      <x v="1"/>
      <x v="1"/>
      <x v="42"/>
    </i>
    <i r="2">
      <x v="333"/>
      <x v="1"/>
      <x v="1"/>
      <x v="42"/>
    </i>
    <i r="2">
      <x v="334"/>
      <x v="1"/>
      <x v="1"/>
      <x v="154"/>
    </i>
    <i r="2">
      <x v="335"/>
      <x v="1"/>
      <x v="2"/>
      <x v="155"/>
    </i>
    <i r="2">
      <x v="336"/>
      <x v="1"/>
      <x v="1"/>
      <x v="156"/>
    </i>
    <i r="1">
      <x v="7"/>
      <x v="337"/>
      <x v="1"/>
      <x/>
      <x v="47"/>
    </i>
    <i r="1">
      <x v="8"/>
      <x v="338"/>
      <x/>
      <x v="1"/>
      <x v="62"/>
    </i>
    <i r="2">
      <x v="339"/>
      <x/>
      <x v="2"/>
      <x v="52"/>
    </i>
    <i r="2">
      <x v="340"/>
      <x v="1"/>
      <x v="2"/>
      <x v="55"/>
    </i>
    <i r="2">
      <x v="341"/>
      <x v="1"/>
      <x v="2"/>
      <x v="55"/>
    </i>
    <i r="2">
      <x v="342"/>
      <x v="1"/>
      <x v="1"/>
      <x v="54"/>
    </i>
    <i r="2">
      <x v="343"/>
      <x/>
      <x v="1"/>
      <x v="62"/>
    </i>
    <i r="1">
      <x v="9"/>
      <x v="344"/>
      <x/>
      <x v="2"/>
      <x v="157"/>
    </i>
    <i r="2">
      <x v="345"/>
      <x/>
      <x v="1"/>
      <x v="158"/>
    </i>
    <i r="1">
      <x v="10"/>
      <x v="346"/>
      <x/>
      <x v="2"/>
      <x v="68"/>
    </i>
    <i r="2">
      <x v="347"/>
      <x/>
      <x v="2"/>
      <x v="159"/>
    </i>
    <i r="2">
      <x v="348"/>
      <x v="1"/>
      <x v="1"/>
      <x v="67"/>
    </i>
    <i r="2">
      <x v="349"/>
      <x/>
      <x v="1"/>
      <x v="160"/>
    </i>
    <i r="2">
      <x v="350"/>
      <x/>
      <x v="2"/>
      <x v="161"/>
    </i>
    <i r="1">
      <x v="11"/>
      <x v="351"/>
      <x v="1"/>
      <x v="1"/>
      <x v="77"/>
    </i>
    <i r="2">
      <x v="352"/>
      <x v="1"/>
      <x v="1"/>
      <x v="77"/>
    </i>
    <i r="2">
      <x v="353"/>
      <x/>
      <x v="2"/>
      <x v="78"/>
    </i>
    <i r="2">
      <x v="354"/>
      <x v="1"/>
      <x v="1"/>
      <x v="162"/>
    </i>
    <i r="2">
      <x v="355"/>
      <x/>
      <x v="1"/>
      <x v="76"/>
    </i>
    <i r="2">
      <x v="356"/>
      <x/>
      <x v="2"/>
      <x v="75"/>
    </i>
    <i r="2">
      <x v="357"/>
      <x v="1"/>
      <x v="1"/>
      <x v="163"/>
    </i>
    <i r="2">
      <x v="358"/>
      <x v="1"/>
      <x v="1"/>
      <x v="164"/>
    </i>
    <i r="2">
      <x v="359"/>
      <x/>
      <x v="1"/>
      <x v="72"/>
    </i>
    <i r="2">
      <x v="360"/>
      <x v="1"/>
      <x v="1"/>
      <x v="72"/>
    </i>
    <i r="2">
      <x v="361"/>
      <x/>
      <x v="1"/>
      <x v="72"/>
    </i>
    <i r="2">
      <x v="362"/>
      <x v="1"/>
      <x v="1"/>
      <x v="77"/>
    </i>
    <i r="2">
      <x v="363"/>
      <x/>
      <x v="1"/>
      <x v="72"/>
    </i>
    <i r="2">
      <x v="364"/>
      <x v="1"/>
      <x v="1"/>
      <x v="72"/>
    </i>
    <i r="2">
      <x v="365"/>
      <x v="1"/>
      <x v="1"/>
      <x v="72"/>
    </i>
    <i r="1">
      <x v="12"/>
      <x v="366"/>
      <x v="1"/>
      <x v="1"/>
      <x v="165"/>
    </i>
    <i r="2">
      <x v="367"/>
      <x/>
      <x v="2"/>
      <x v="82"/>
    </i>
    <i r="2">
      <x v="368"/>
      <x/>
      <x v="2"/>
      <x v="166"/>
    </i>
    <i r="2">
      <x v="369"/>
      <x/>
      <x v="2"/>
      <x v="167"/>
    </i>
    <i r="2">
      <x v="370"/>
      <x/>
      <x v="1"/>
      <x v="166"/>
    </i>
    <i r="2">
      <x v="371"/>
      <x/>
      <x v="2"/>
      <x v="168"/>
    </i>
    <i r="2">
      <x v="372"/>
      <x v="1"/>
      <x/>
      <x v="165"/>
    </i>
    <i r="2">
      <x v="373"/>
      <x/>
      <x v="2"/>
      <x v="166"/>
    </i>
    <i r="2">
      <x v="374"/>
      <x/>
      <x v="1"/>
      <x v="166"/>
    </i>
    <i r="2">
      <x v="375"/>
      <x/>
      <x v="2"/>
      <x v="84"/>
    </i>
    <i r="1">
      <x v="13"/>
      <x v="376"/>
      <x v="1"/>
      <x v="1"/>
      <x v="169"/>
    </i>
    <i r="2">
      <x v="377"/>
      <x v="1"/>
      <x v="1"/>
      <x v="170"/>
    </i>
    <i r="2">
      <x v="378"/>
      <x v="1"/>
      <x v="1"/>
      <x v="171"/>
    </i>
    <i r="2">
      <x v="379"/>
      <x v="1"/>
      <x v="1"/>
      <x v="170"/>
    </i>
    <i r="2">
      <x v="380"/>
      <x v="1"/>
      <x v="1"/>
      <x v="172"/>
    </i>
    <i r="2">
      <x v="381"/>
      <x v="1"/>
      <x v="1"/>
      <x v="171"/>
    </i>
    <i r="1">
      <x v="14"/>
      <x v="382"/>
      <x/>
      <x v="2"/>
      <x v="173"/>
    </i>
    <i r="2">
      <x v="383"/>
      <x/>
      <x v="2"/>
      <x v="174"/>
    </i>
    <i r="2">
      <x v="384"/>
      <x v="1"/>
      <x v="1"/>
      <x v="175"/>
    </i>
    <i r="2">
      <x v="385"/>
      <x v="1"/>
      <x v="1"/>
      <x v="175"/>
    </i>
    <i r="2">
      <x v="386"/>
      <x/>
      <x v="2"/>
      <x v="174"/>
    </i>
    <i r="2">
      <x v="387"/>
      <x v="1"/>
      <x v="1"/>
      <x v="176"/>
    </i>
    <i r="2">
      <x v="388"/>
      <x/>
      <x v="2"/>
      <x v="174"/>
    </i>
    <i r="2">
      <x v="389"/>
      <x/>
      <x v="2"/>
      <x v="174"/>
    </i>
    <i r="2">
      <x v="390"/>
      <x/>
      <x v="2"/>
      <x v="174"/>
    </i>
    <i r="2">
      <x v="391"/>
      <x/>
      <x v="3"/>
      <x v="95"/>
    </i>
    <i r="2">
      <x v="392"/>
      <x/>
      <x v="2"/>
      <x v="174"/>
    </i>
    <i r="1">
      <x v="15"/>
      <x v="393"/>
      <x v="1"/>
      <x/>
      <x v="102"/>
    </i>
    <i r="1">
      <x v="16"/>
      <x v="394"/>
      <x/>
      <x v="2"/>
      <x v="108"/>
    </i>
    <i r="2">
      <x v="395"/>
      <x/>
      <x v="1"/>
      <x v="108"/>
    </i>
    <i r="2">
      <x v="396"/>
      <x/>
      <x v="2"/>
      <x v="108"/>
    </i>
    <i r="2">
      <x v="397"/>
      <x/>
      <x v="2"/>
      <x v="110"/>
    </i>
    <i r="2">
      <x v="398"/>
      <x/>
      <x v="1"/>
      <x v="111"/>
    </i>
    <i r="2">
      <x v="399"/>
      <x v="1"/>
      <x v="2"/>
      <x v="177"/>
    </i>
    <i r="1">
      <x v="17"/>
      <x v="400"/>
      <x/>
      <x v="2"/>
      <x v="119"/>
    </i>
    <i r="2">
      <x v="401"/>
      <x/>
      <x v="2"/>
      <x v="119"/>
    </i>
    <i r="2">
      <x v="402"/>
      <x/>
      <x v="2"/>
      <x v="121"/>
    </i>
    <i r="2">
      <x v="403"/>
      <x/>
      <x v="1"/>
      <x v="115"/>
    </i>
    <i r="2">
      <x v="404"/>
      <x/>
      <x v="2"/>
      <x v="178"/>
    </i>
    <i r="2">
      <x v="405"/>
      <x/>
      <x v="2"/>
      <x v="178"/>
    </i>
    <i r="2">
      <x v="406"/>
      <x/>
      <x v="2"/>
      <x v="178"/>
    </i>
    <i r="2">
      <x v="407"/>
      <x/>
      <x v="2"/>
      <x v="179"/>
    </i>
    <i r="2">
      <x v="408"/>
      <x/>
      <x v="1"/>
      <x v="115"/>
    </i>
    <i r="2">
      <x v="409"/>
      <x/>
      <x v="2"/>
      <x v="178"/>
    </i>
    <i r="2">
      <x v="410"/>
      <x/>
      <x v="2"/>
      <x v="119"/>
    </i>
    <i r="2">
      <x v="411"/>
      <x/>
      <x v="2"/>
      <x v="180"/>
    </i>
    <i r="2">
      <x v="412"/>
      <x/>
      <x/>
      <x v="114"/>
    </i>
    <i r="1">
      <x v="18"/>
      <x v="413"/>
      <x/>
      <x/>
      <x v="126"/>
    </i>
    <i r="2">
      <x v="414"/>
      <x v="1"/>
      <x v="1"/>
      <x v="181"/>
    </i>
    <i r="1">
      <x v="19"/>
      <x v="415"/>
      <x/>
      <x v="2"/>
      <x v="182"/>
    </i>
    <i r="2">
      <x v="416"/>
      <x/>
      <x v="2"/>
      <x v="183"/>
    </i>
    <i r="2">
      <x v="417"/>
      <x/>
      <x v="1"/>
      <x v="132"/>
    </i>
    <i r="2">
      <x v="418"/>
      <x/>
      <x v="1"/>
      <x v="132"/>
    </i>
    <i r="2">
      <x v="419"/>
      <x/>
      <x v="1"/>
      <x v="132"/>
    </i>
    <i r="2">
      <x v="420"/>
      <x/>
      <x v="1"/>
      <x v="132"/>
    </i>
    <i r="2">
      <x v="421"/>
      <x v="1"/>
      <x v="2"/>
      <x v="184"/>
    </i>
    <i r="1">
      <x v="20"/>
      <x v="422"/>
      <x v="1"/>
      <x v="1"/>
      <x v="144"/>
    </i>
    <i r="2">
      <x v="423"/>
      <x v="1"/>
      <x v="1"/>
      <x v="144"/>
    </i>
    <i r="2">
      <x v="424"/>
      <x v="1"/>
      <x/>
      <x v="140"/>
    </i>
    <i r="2">
      <x v="425"/>
      <x/>
      <x/>
      <x v="140"/>
    </i>
    <i r="2">
      <x v="426"/>
      <x v="1"/>
      <x/>
      <x v="143"/>
    </i>
    <i r="2">
      <x v="427"/>
      <x v="1"/>
      <x/>
      <x v="140"/>
    </i>
    <i r="2">
      <x v="428"/>
      <x v="1"/>
      <x/>
      <x v="140"/>
    </i>
    <i r="2">
      <x v="429"/>
      <x v="1"/>
      <x/>
      <x v="140"/>
    </i>
    <i r="2">
      <x v="430"/>
      <x v="1"/>
      <x/>
      <x v="143"/>
    </i>
    <i r="2">
      <x v="431"/>
      <x v="1"/>
      <x/>
      <x v="140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12" applyNumberFormats="0" applyBorderFormats="0" applyFontFormats="0" applyPatternFormats="0" applyAlignmentFormats="0" applyWidthHeightFormats="1" dataCaption="Valores" tag="bac1cb54-c0dd-4878-8a6c-55a8789dd33a" updatedVersion="8" minRefreshableVersion="3" useAutoFormatting="1" subtotalHiddenItems="1" itemPrintTitles="1" createdVersion="5" indent="0" outline="1" outlineData="1" multipleFieldFilters="0">
  <location ref="S17:S40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7A4C8EAF-0871-4D91-BD43-8B5129C67F7E}" autoFormatId="16" applyNumberFormats="0" applyBorderFormats="0" applyFontFormats="0" applyPatternFormats="0" applyAlignmentFormats="0" applyWidthHeightFormats="0">
  <queryTableRefresh nextId="2">
    <queryTableFields count="1">
      <queryTableField id="1" name="Column1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404717440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D.ROSADO*16377]" c="D.ROSADO*16377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H.GALVEZ*16404]" c="H.GALVEZ*16404"/>
              <i n="[Desem].[NombreFuncionario].&amp;[J.CARRERA]" c="J.CARRERA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L.PEREZ*16364]" c="L.PEREZ*16364"/>
              <i n="[Desem].[NombreFuncionario].&amp;[M.CASTAÑEDA]" c="M.CASTAÑEDA"/>
              <i n="[Desem].[NombreFuncionario].&amp;[M.LAZO]" c="M.LAZO"/>
              <i n="[Desem].[NombreFuncionario].&amp;[M.ROA*14362]" c="M.ROA*14362"/>
              <i n="[Desem].[NombreFuncionario].&amp;[M.RODRIGUEZ*16329]" c="M.RODRIGUEZ*16329"/>
              <i n="[Desem].[NombreFuncionario].&amp;[M.VELASQUEZ*16395]" c="M.VELASQUEZ*16395"/>
              <i n="[Desem].[NombreFuncionario].&amp;[R.SOLIS]" c="R.SOLIS"/>
              <i n="[Desem].[NombreFuncionario].&amp;[V.GRADOS*16365]" c="V.GRADOS*16365"/>
              <i n="[Desem].[NombreFuncionario].&amp;[W.MACHUCA]" c="W.MACHUCA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404717440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404717440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AFF134-1361-42EF-AE92-18D2D60F55EA}" name="Hoy" displayName="Hoy" ref="S11:S12" tableType="queryTable" totalsRowShown="0">
  <autoFilter ref="S11:S12" xr:uid="{5FAFF134-1361-42EF-AE92-18D2D60F55EA}"/>
  <tableColumns count="1">
    <tableColumn id="1" xr3:uid="{97A58E26-A2E7-4709-8489-FA2771A46A0B}" uniqueName="1" name="Column1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736"/>
  <sheetViews>
    <sheetView showGridLines="0" tabSelected="1" zoomScaleNormal="100" workbookViewId="0">
      <selection activeCell="I15" sqref="I15:L15"/>
    </sheetView>
  </sheetViews>
  <sheetFormatPr baseColWidth="10" defaultColWidth="11.44140625" defaultRowHeight="14.4" x14ac:dyDescent="0.3"/>
  <cols>
    <col min="1" max="1" width="12.10937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22" width="11.44140625" hidden="1" customWidth="1"/>
  </cols>
  <sheetData>
    <row r="1" spans="1:19" ht="33.6" x14ac:dyDescent="0.65">
      <c r="A1" s="11" t="s">
        <v>0</v>
      </c>
    </row>
    <row r="2" spans="1:19" ht="11.25" customHeight="1" x14ac:dyDescent="0.3">
      <c r="A2" s="25" t="s">
        <v>113</v>
      </c>
      <c r="B2" s="25"/>
    </row>
    <row r="3" spans="1:19" ht="14.4" customHeight="1" x14ac:dyDescent="0.3">
      <c r="A3" s="24" t="s">
        <v>1</v>
      </c>
      <c r="B3" s="23" t="str" cm="1">
        <f t="array" ref="B3">+Hoy[Column1]</f>
        <v>20/08/2026</v>
      </c>
    </row>
    <row r="5" spans="1:19" x14ac:dyDescent="0.3">
      <c r="G5" s="7"/>
      <c r="H5" s="16"/>
      <c r="I5"/>
      <c r="J5"/>
      <c r="K5"/>
    </row>
    <row r="6" spans="1:19" x14ac:dyDescent="0.3">
      <c r="G6" s="5" t="s">
        <v>2</v>
      </c>
      <c r="H6" s="20" t="s">
        <v>3</v>
      </c>
      <c r="I6"/>
      <c r="J6"/>
      <c r="K6"/>
    </row>
    <row r="7" spans="1:19" x14ac:dyDescent="0.3">
      <c r="F7" s="13" t="s">
        <v>135</v>
      </c>
      <c r="G7" s="12">
        <f>+SUMIFS(G17:G999998,A17:A999998,202607)</f>
        <v>457.34475065702992</v>
      </c>
      <c r="H7" s="21" cm="1">
        <f t="array" ref="H7">SUMPRODUCT(G17:G1007,H17:H1007*(A17:A1007=202607))/SUMIFS(G17:G1007,A17:A1007,202607)</f>
        <v>1.3295177856469249</v>
      </c>
      <c r="I7"/>
      <c r="J7"/>
      <c r="K7"/>
    </row>
    <row r="8" spans="1:19" x14ac:dyDescent="0.3">
      <c r="F8" s="14" t="s">
        <v>136</v>
      </c>
      <c r="G8" s="6">
        <f>+IFERROR(SUMIFS(G17:G999998,A17:A999998,202608),0)</f>
        <v>222.96117487438005</v>
      </c>
      <c r="H8" s="21" cm="1">
        <f t="array" ref="H8">IFERROR(SUMPRODUCT(G17:G1007,H17:H1007*(A17:A1007=202608))/SUMIFS(G17:G1007,A17:A1007,202608),0)</f>
        <v>1.3280457923929909</v>
      </c>
      <c r="I8"/>
      <c r="J8"/>
      <c r="K8"/>
    </row>
    <row r="9" spans="1:19" x14ac:dyDescent="0.3">
      <c r="F9" s="14" t="s">
        <v>137</v>
      </c>
      <c r="G9" s="6">
        <f>+IFERROR(SUMIFS(G17:G999998,A17:A999998,202609),0)</f>
        <v>0</v>
      </c>
      <c r="H9" s="21" cm="1">
        <f t="array" ref="H9">IFERROR(SUMPRODUCT(G17:G1007,H17:H1007*(A17:A1007=202609))/SUMIFS(G17:G1007,A17:A1007,202609),0)</f>
        <v>0</v>
      </c>
      <c r="I9"/>
      <c r="J9"/>
      <c r="K9"/>
    </row>
    <row r="10" spans="1:19" x14ac:dyDescent="0.3">
      <c r="F10" s="13" t="str">
        <f>+F8 &amp; " Simulado"</f>
        <v>Agosto Simulado</v>
      </c>
      <c r="G10" s="6">
        <f>+G8+SUM(J17:J999998)</f>
        <v>225.96117487438005</v>
      </c>
      <c r="H10" s="21">
        <f>+IFERROR(((G8*H8)+(SUM(J17:J1007)*(SUMPRODUCT(J17:J1007,K17:K1007)/SUM(J17:J1007))))/(G8+SUM(J17:J1007)),H8)</f>
        <v>1.3130691603275031</v>
      </c>
      <c r="I10"/>
      <c r="J10"/>
      <c r="K10"/>
    </row>
    <row r="11" spans="1:19" x14ac:dyDescent="0.3">
      <c r="F11" s="13" t="s">
        <v>4</v>
      </c>
      <c r="G11" s="6">
        <f>+SUM(G17:G999998)</f>
        <v>680.30592553140946</v>
      </c>
      <c r="H11" s="21">
        <f>+SUMPRODUCT(G17:G1007,H17:H1007)/SUM(G17:G1007)</f>
        <v>1.3290353595309872</v>
      </c>
      <c r="I11"/>
      <c r="J11"/>
      <c r="K11"/>
      <c r="S11" t="s">
        <v>112</v>
      </c>
    </row>
    <row r="12" spans="1:19" x14ac:dyDescent="0.3">
      <c r="F12" s="13" t="s">
        <v>5</v>
      </c>
      <c r="G12" s="6">
        <f>+G11+SUM(J17:J999998)</f>
        <v>683.30592553140946</v>
      </c>
      <c r="H12" s="21">
        <f>+IFERROR(((G11*H11)+(SUM(J17:J1007)*(SUMPRODUCT(J17:J1007,K17:K1007)/SUM(J17:J1007))))/(G11+SUM(J17:J1007)),H11)</f>
        <v>1.3240784201103919</v>
      </c>
      <c r="I12"/>
      <c r="J12"/>
      <c r="K12"/>
      <c r="S12" t="s">
        <v>246</v>
      </c>
    </row>
    <row r="13" spans="1:19" hidden="1" x14ac:dyDescent="0.3">
      <c r="F13" s="13" t="s">
        <v>6</v>
      </c>
      <c r="G13" s="15"/>
      <c r="H13" s="22">
        <f>+IFERROR(T18,0)</f>
        <v>0</v>
      </c>
      <c r="I13"/>
      <c r="J13"/>
      <c r="K13"/>
    </row>
    <row r="14" spans="1:19" x14ac:dyDescent="0.3">
      <c r="I14"/>
      <c r="J14"/>
      <c r="K14"/>
    </row>
    <row r="15" spans="1:19" x14ac:dyDescent="0.3">
      <c r="G15" s="10" t="s">
        <v>7</v>
      </c>
      <c r="H15" s="7"/>
      <c r="I15" s="27"/>
      <c r="J15" s="27"/>
      <c r="K15" s="28" t="s">
        <v>8</v>
      </c>
      <c r="L15" s="29"/>
    </row>
    <row r="16" spans="1:19" s="7" customFormat="1" ht="28.8" x14ac:dyDescent="0.3">
      <c r="A16" s="17" t="s">
        <v>9</v>
      </c>
      <c r="B16" s="18" t="s">
        <v>10</v>
      </c>
      <c r="C16" s="17" t="s">
        <v>11</v>
      </c>
      <c r="D16" s="17" t="s">
        <v>12</v>
      </c>
      <c r="E16" s="17" t="s">
        <v>13</v>
      </c>
      <c r="F16" s="17" t="s">
        <v>14</v>
      </c>
      <c r="G16" s="18" t="s">
        <v>15</v>
      </c>
      <c r="H16" s="18" t="s">
        <v>16</v>
      </c>
      <c r="J16" s="19" t="s">
        <v>15</v>
      </c>
      <c r="K16" s="19" t="s">
        <v>16</v>
      </c>
    </row>
    <row r="17" spans="1:22" x14ac:dyDescent="0.3">
      <c r="A17">
        <v>202607</v>
      </c>
      <c r="B17" t="s">
        <v>17</v>
      </c>
      <c r="C17">
        <v>1768891699</v>
      </c>
      <c r="D17" t="s">
        <v>18</v>
      </c>
      <c r="E17" t="s">
        <v>34</v>
      </c>
      <c r="F17" t="s">
        <v>118</v>
      </c>
      <c r="G17" s="8">
        <v>8.1121884800000002E-2</v>
      </c>
      <c r="H17" s="26">
        <v>2.75</v>
      </c>
      <c r="J17" s="9">
        <v>3</v>
      </c>
      <c r="K17" s="9">
        <v>0.2</v>
      </c>
      <c r="S17" s="1" t="s">
        <v>20</v>
      </c>
      <c r="U17" t="s">
        <v>21</v>
      </c>
      <c r="V17" t="s">
        <v>22</v>
      </c>
    </row>
    <row r="18" spans="1:22" x14ac:dyDescent="0.3">
      <c r="A18">
        <v>202607</v>
      </c>
      <c r="B18" t="s">
        <v>17</v>
      </c>
      <c r="C18">
        <v>1768941660</v>
      </c>
      <c r="D18" t="s">
        <v>18</v>
      </c>
      <c r="E18" t="s">
        <v>34</v>
      </c>
      <c r="F18" t="s">
        <v>161</v>
      </c>
      <c r="G18" s="8">
        <v>0.13877682419000001</v>
      </c>
      <c r="H18" s="26">
        <v>3.5</v>
      </c>
      <c r="J18" s="9"/>
      <c r="K18" s="9"/>
      <c r="S18" s="2" t="s">
        <v>17</v>
      </c>
      <c r="T18" s="3" t="e">
        <f>+_xlfn.XLOOKUP(S18,U:U,V:V)</f>
        <v>#N/A</v>
      </c>
      <c r="U18" t="s">
        <v>25</v>
      </c>
      <c r="V18">
        <v>0.99974690651541986</v>
      </c>
    </row>
    <row r="19" spans="1:22" x14ac:dyDescent="0.3">
      <c r="A19">
        <v>202607</v>
      </c>
      <c r="B19" t="s">
        <v>17</v>
      </c>
      <c r="C19">
        <v>1768950350</v>
      </c>
      <c r="D19" t="s">
        <v>18</v>
      </c>
      <c r="E19" t="s">
        <v>34</v>
      </c>
      <c r="F19" t="s">
        <v>118</v>
      </c>
      <c r="G19" s="8">
        <v>6.013994474E-2</v>
      </c>
      <c r="H19" s="26">
        <v>2.75</v>
      </c>
      <c r="J19" s="9"/>
      <c r="K19" s="9"/>
      <c r="S19" s="2" t="s">
        <v>55</v>
      </c>
      <c r="U19" t="s">
        <v>27</v>
      </c>
      <c r="V19">
        <v>1.162423520139795</v>
      </c>
    </row>
    <row r="20" spans="1:22" x14ac:dyDescent="0.3">
      <c r="A20">
        <v>202607</v>
      </c>
      <c r="B20" t="s">
        <v>17</v>
      </c>
      <c r="C20">
        <v>1768959277</v>
      </c>
      <c r="D20" t="s">
        <v>18</v>
      </c>
      <c r="E20" t="s">
        <v>19</v>
      </c>
      <c r="F20" t="s">
        <v>173</v>
      </c>
      <c r="G20" s="8">
        <v>0.17005000000000001</v>
      </c>
      <c r="H20" s="26">
        <v>5.9</v>
      </c>
      <c r="J20" s="9"/>
      <c r="K20" s="9"/>
      <c r="S20" s="2" t="s">
        <v>30</v>
      </c>
      <c r="U20" t="s">
        <v>29</v>
      </c>
      <c r="V20">
        <v>1.1940724259871067</v>
      </c>
    </row>
    <row r="21" spans="1:22" x14ac:dyDescent="0.3">
      <c r="A21">
        <v>202607</v>
      </c>
      <c r="B21" t="s">
        <v>17</v>
      </c>
      <c r="C21">
        <v>1769028315</v>
      </c>
      <c r="D21" t="s">
        <v>23</v>
      </c>
      <c r="E21" t="s">
        <v>19</v>
      </c>
      <c r="F21" t="s">
        <v>192</v>
      </c>
      <c r="G21" s="8">
        <v>1.4999999999999999E-2</v>
      </c>
      <c r="H21" s="26">
        <v>3</v>
      </c>
      <c r="J21" s="9"/>
      <c r="K21" s="9"/>
      <c r="S21" s="2" t="s">
        <v>96</v>
      </c>
      <c r="U21" t="s">
        <v>31</v>
      </c>
      <c r="V21">
        <v>2.7470303438054513</v>
      </c>
    </row>
    <row r="22" spans="1:22" x14ac:dyDescent="0.3">
      <c r="A22">
        <v>202607</v>
      </c>
      <c r="B22" t="s">
        <v>55</v>
      </c>
      <c r="C22">
        <v>1764780050</v>
      </c>
      <c r="D22" t="s">
        <v>18</v>
      </c>
      <c r="E22" t="s">
        <v>24</v>
      </c>
      <c r="F22" t="s">
        <v>65</v>
      </c>
      <c r="G22" s="8">
        <v>0.17258443395</v>
      </c>
      <c r="H22" s="26">
        <v>2.74</v>
      </c>
      <c r="J22" s="9"/>
      <c r="K22" s="9"/>
      <c r="S22" s="2" t="s">
        <v>238</v>
      </c>
      <c r="U22" t="s">
        <v>32</v>
      </c>
      <c r="V22">
        <v>2.4818507118473381</v>
      </c>
    </row>
    <row r="23" spans="1:22" x14ac:dyDescent="0.3">
      <c r="A23">
        <v>202607</v>
      </c>
      <c r="B23" t="s">
        <v>55</v>
      </c>
      <c r="C23">
        <v>1768856150</v>
      </c>
      <c r="D23" t="s">
        <v>18</v>
      </c>
      <c r="E23" t="s">
        <v>19</v>
      </c>
      <c r="F23" t="s">
        <v>63</v>
      </c>
      <c r="G23" s="8">
        <v>1.0206</v>
      </c>
      <c r="H23" s="26">
        <v>1</v>
      </c>
      <c r="J23" s="9"/>
      <c r="K23" s="9"/>
      <c r="S23" s="2" t="s">
        <v>140</v>
      </c>
      <c r="U23" t="s">
        <v>33</v>
      </c>
      <c r="V23">
        <v>2.2475108275483411</v>
      </c>
    </row>
    <row r="24" spans="1:22" x14ac:dyDescent="0.3">
      <c r="A24">
        <v>202607</v>
      </c>
      <c r="B24" t="s">
        <v>55</v>
      </c>
      <c r="C24">
        <v>1768937893</v>
      </c>
      <c r="D24" t="s">
        <v>18</v>
      </c>
      <c r="E24" t="s">
        <v>24</v>
      </c>
      <c r="F24" t="s">
        <v>65</v>
      </c>
      <c r="G24" s="8">
        <v>0.69095532900000001</v>
      </c>
      <c r="H24" s="26">
        <v>2.74</v>
      </c>
      <c r="J24" s="9"/>
      <c r="K24" s="9"/>
      <c r="S24" s="2" t="s">
        <v>25</v>
      </c>
      <c r="U24" t="s">
        <v>35</v>
      </c>
      <c r="V24">
        <v>1.3588268129797207</v>
      </c>
    </row>
    <row r="25" spans="1:22" x14ac:dyDescent="0.3">
      <c r="A25">
        <v>202607</v>
      </c>
      <c r="B25" t="s">
        <v>55</v>
      </c>
      <c r="C25">
        <v>1768957975</v>
      </c>
      <c r="D25" t="s">
        <v>18</v>
      </c>
      <c r="E25" t="s">
        <v>24</v>
      </c>
      <c r="F25" t="s">
        <v>65</v>
      </c>
      <c r="G25" s="8">
        <v>0.5638636935000001</v>
      </c>
      <c r="H25" s="26">
        <v>2.74</v>
      </c>
      <c r="J25" s="9"/>
      <c r="K25" s="9"/>
      <c r="S25" s="2" t="s">
        <v>36</v>
      </c>
      <c r="U25" t="s">
        <v>36</v>
      </c>
      <c r="V25">
        <v>1.4</v>
      </c>
    </row>
    <row r="26" spans="1:22" x14ac:dyDescent="0.3">
      <c r="A26">
        <v>202607</v>
      </c>
      <c r="B26" t="s">
        <v>55</v>
      </c>
      <c r="C26">
        <v>1768963649</v>
      </c>
      <c r="D26" t="s">
        <v>23</v>
      </c>
      <c r="E26" t="s">
        <v>19</v>
      </c>
      <c r="F26" t="s">
        <v>174</v>
      </c>
      <c r="G26" s="8">
        <v>0.82</v>
      </c>
      <c r="H26" s="26">
        <v>2</v>
      </c>
      <c r="J26" s="9"/>
      <c r="K26" s="9"/>
      <c r="S26" s="2" t="s">
        <v>117</v>
      </c>
      <c r="U26" t="s">
        <v>37</v>
      </c>
      <c r="V26">
        <v>2.2000000000000002</v>
      </c>
    </row>
    <row r="27" spans="1:22" x14ac:dyDescent="0.3">
      <c r="A27">
        <v>202607</v>
      </c>
      <c r="B27" t="s">
        <v>55</v>
      </c>
      <c r="C27">
        <v>1768999490</v>
      </c>
      <c r="D27" t="s">
        <v>18</v>
      </c>
      <c r="E27" t="s">
        <v>24</v>
      </c>
      <c r="F27" t="s">
        <v>65</v>
      </c>
      <c r="G27" s="8">
        <v>0.17189801999999998</v>
      </c>
      <c r="H27" s="26">
        <v>2.74</v>
      </c>
      <c r="J27" s="9"/>
      <c r="K27" s="9"/>
      <c r="S27" s="2" t="s">
        <v>37</v>
      </c>
      <c r="U27" t="s">
        <v>39</v>
      </c>
      <c r="V27">
        <v>2.2999999999999998</v>
      </c>
    </row>
    <row r="28" spans="1:22" x14ac:dyDescent="0.3">
      <c r="A28">
        <v>202607</v>
      </c>
      <c r="B28" t="s">
        <v>55</v>
      </c>
      <c r="C28">
        <v>1769040510</v>
      </c>
      <c r="D28" t="s">
        <v>23</v>
      </c>
      <c r="E28" t="s">
        <v>19</v>
      </c>
      <c r="F28" t="s">
        <v>193</v>
      </c>
      <c r="G28" s="8">
        <v>0.65</v>
      </c>
      <c r="H28" s="26">
        <v>2</v>
      </c>
      <c r="J28" s="9"/>
      <c r="K28" s="9"/>
      <c r="S28" s="2" t="s">
        <v>145</v>
      </c>
      <c r="U28" t="s">
        <v>40</v>
      </c>
      <c r="V28">
        <v>1.395144852541258</v>
      </c>
    </row>
    <row r="29" spans="1:22" x14ac:dyDescent="0.3">
      <c r="A29">
        <v>202607</v>
      </c>
      <c r="B29" t="s">
        <v>55</v>
      </c>
      <c r="C29">
        <v>1769041419</v>
      </c>
      <c r="D29" t="s">
        <v>18</v>
      </c>
      <c r="E29" t="s">
        <v>24</v>
      </c>
      <c r="F29" t="s">
        <v>65</v>
      </c>
      <c r="G29" s="8">
        <v>0.12202167600000001</v>
      </c>
      <c r="H29" s="26">
        <v>2.79</v>
      </c>
      <c r="S29" s="2" t="s">
        <v>32</v>
      </c>
      <c r="U29" t="s">
        <v>26</v>
      </c>
      <c r="V29">
        <v>1.55</v>
      </c>
    </row>
    <row r="30" spans="1:22" x14ac:dyDescent="0.3">
      <c r="A30">
        <v>202607</v>
      </c>
      <c r="B30" t="s">
        <v>55</v>
      </c>
      <c r="C30">
        <v>1769041524</v>
      </c>
      <c r="D30" t="s">
        <v>18</v>
      </c>
      <c r="E30" t="s">
        <v>24</v>
      </c>
      <c r="F30" t="s">
        <v>194</v>
      </c>
      <c r="G30" s="8">
        <v>1.698</v>
      </c>
      <c r="H30" s="26">
        <v>3.35</v>
      </c>
      <c r="S30" s="2" t="s">
        <v>33</v>
      </c>
      <c r="U30" t="s">
        <v>28</v>
      </c>
      <c r="V30">
        <v>1.6</v>
      </c>
    </row>
    <row r="31" spans="1:22" x14ac:dyDescent="0.3">
      <c r="A31">
        <v>202607</v>
      </c>
      <c r="B31" t="s">
        <v>55</v>
      </c>
      <c r="C31">
        <v>1769042385</v>
      </c>
      <c r="D31" t="s">
        <v>18</v>
      </c>
      <c r="E31" t="s">
        <v>24</v>
      </c>
      <c r="F31" t="s">
        <v>195</v>
      </c>
      <c r="G31" s="8">
        <v>1.3272111359999998</v>
      </c>
      <c r="H31" s="26">
        <v>2.25</v>
      </c>
      <c r="S31" s="2" t="s">
        <v>107</v>
      </c>
      <c r="U31" t="s">
        <v>30</v>
      </c>
      <c r="V31">
        <v>1.75</v>
      </c>
    </row>
    <row r="32" spans="1:22" x14ac:dyDescent="0.3">
      <c r="A32">
        <v>202607</v>
      </c>
      <c r="B32" t="s">
        <v>55</v>
      </c>
      <c r="C32">
        <v>1769048383</v>
      </c>
      <c r="D32" t="s">
        <v>18</v>
      </c>
      <c r="E32" t="s">
        <v>24</v>
      </c>
      <c r="F32" t="s">
        <v>195</v>
      </c>
      <c r="G32" s="8">
        <v>1.52269192572</v>
      </c>
      <c r="H32" s="26">
        <v>2.15</v>
      </c>
      <c r="S32" s="2" t="s">
        <v>41</v>
      </c>
      <c r="U32" t="s">
        <v>38</v>
      </c>
      <c r="V32">
        <v>2.4</v>
      </c>
    </row>
    <row r="33" spans="1:19" x14ac:dyDescent="0.3">
      <c r="A33">
        <v>202607</v>
      </c>
      <c r="B33" t="s">
        <v>30</v>
      </c>
      <c r="C33">
        <v>1764742540</v>
      </c>
      <c r="D33" t="s">
        <v>18</v>
      </c>
      <c r="E33" t="s">
        <v>34</v>
      </c>
      <c r="F33" t="s">
        <v>109</v>
      </c>
      <c r="G33" s="8">
        <v>0.229630053</v>
      </c>
      <c r="H33" s="26">
        <v>2.85</v>
      </c>
      <c r="S33" s="2" t="s">
        <v>27</v>
      </c>
    </row>
    <row r="34" spans="1:19" x14ac:dyDescent="0.3">
      <c r="A34">
        <v>202607</v>
      </c>
      <c r="B34" t="s">
        <v>30</v>
      </c>
      <c r="C34">
        <v>1768858497</v>
      </c>
      <c r="D34" t="s">
        <v>18</v>
      </c>
      <c r="E34" t="s">
        <v>24</v>
      </c>
      <c r="F34" t="s">
        <v>98</v>
      </c>
      <c r="G34" s="8">
        <v>0.6804</v>
      </c>
      <c r="H34" s="26">
        <v>1.03</v>
      </c>
      <c r="S34" s="2" t="s">
        <v>114</v>
      </c>
    </row>
    <row r="35" spans="1:19" x14ac:dyDescent="0.3">
      <c r="A35">
        <v>202607</v>
      </c>
      <c r="B35" t="s">
        <v>30</v>
      </c>
      <c r="C35">
        <v>1768866295</v>
      </c>
      <c r="D35" t="s">
        <v>23</v>
      </c>
      <c r="E35" t="s">
        <v>19</v>
      </c>
      <c r="F35" t="s">
        <v>119</v>
      </c>
      <c r="G35" s="8">
        <v>1</v>
      </c>
      <c r="H35" s="26">
        <v>0.35</v>
      </c>
      <c r="S35" s="2" t="s">
        <v>56</v>
      </c>
    </row>
    <row r="36" spans="1:19" x14ac:dyDescent="0.3">
      <c r="A36">
        <v>202607</v>
      </c>
      <c r="B36" t="s">
        <v>30</v>
      </c>
      <c r="C36">
        <v>1768867003</v>
      </c>
      <c r="D36" t="s">
        <v>23</v>
      </c>
      <c r="E36" t="s">
        <v>19</v>
      </c>
      <c r="F36" t="s">
        <v>119</v>
      </c>
      <c r="G36" s="8">
        <v>1</v>
      </c>
      <c r="H36" s="26">
        <v>0.35</v>
      </c>
      <c r="S36" s="2" t="s">
        <v>115</v>
      </c>
    </row>
    <row r="37" spans="1:19" x14ac:dyDescent="0.3">
      <c r="A37">
        <v>202607</v>
      </c>
      <c r="B37" t="s">
        <v>30</v>
      </c>
      <c r="C37">
        <v>1768882370</v>
      </c>
      <c r="D37" t="s">
        <v>23</v>
      </c>
      <c r="E37" t="s">
        <v>19</v>
      </c>
      <c r="F37" t="s">
        <v>68</v>
      </c>
      <c r="G37" s="8">
        <v>0.63200000000000001</v>
      </c>
      <c r="H37" s="26">
        <v>3.65</v>
      </c>
      <c r="S37" s="2" t="s">
        <v>40</v>
      </c>
    </row>
    <row r="38" spans="1:19" x14ac:dyDescent="0.3">
      <c r="A38">
        <v>202607</v>
      </c>
      <c r="B38" t="s">
        <v>30</v>
      </c>
      <c r="C38">
        <v>1768888612</v>
      </c>
      <c r="D38" t="s">
        <v>23</v>
      </c>
      <c r="E38" t="s">
        <v>34</v>
      </c>
      <c r="F38" t="s">
        <v>68</v>
      </c>
      <c r="G38" s="8">
        <v>0.36991934000000004</v>
      </c>
      <c r="H38" s="26">
        <v>4.38</v>
      </c>
      <c r="S38" s="2" t="s">
        <v>116</v>
      </c>
    </row>
    <row r="39" spans="1:19" x14ac:dyDescent="0.3">
      <c r="A39">
        <v>202607</v>
      </c>
      <c r="B39" t="s">
        <v>30</v>
      </c>
      <c r="C39">
        <v>1768905282</v>
      </c>
      <c r="D39" t="s">
        <v>23</v>
      </c>
      <c r="E39" t="s">
        <v>24</v>
      </c>
      <c r="F39" t="s">
        <v>69</v>
      </c>
      <c r="G39" s="8">
        <v>0.17</v>
      </c>
      <c r="H39" s="26">
        <v>3</v>
      </c>
      <c r="S39" s="2" t="s">
        <v>42</v>
      </c>
    </row>
    <row r="40" spans="1:19" x14ac:dyDescent="0.3">
      <c r="A40">
        <v>202607</v>
      </c>
      <c r="B40" t="s">
        <v>30</v>
      </c>
      <c r="C40">
        <v>1768905363</v>
      </c>
      <c r="D40" t="s">
        <v>18</v>
      </c>
      <c r="E40" t="s">
        <v>19</v>
      </c>
      <c r="F40" t="s">
        <v>120</v>
      </c>
      <c r="G40" s="8">
        <v>0.67720000000000002</v>
      </c>
      <c r="H40" s="26">
        <v>3.4</v>
      </c>
      <c r="S40" s="2" t="s">
        <v>43</v>
      </c>
    </row>
    <row r="41" spans="1:19" x14ac:dyDescent="0.3">
      <c r="A41">
        <v>202607</v>
      </c>
      <c r="B41" t="s">
        <v>30</v>
      </c>
      <c r="C41">
        <v>1768926247</v>
      </c>
      <c r="D41" t="s">
        <v>18</v>
      </c>
      <c r="E41" t="s">
        <v>24</v>
      </c>
      <c r="F41" t="s">
        <v>138</v>
      </c>
      <c r="G41" s="8">
        <v>0.34050000000000002</v>
      </c>
      <c r="H41" s="26">
        <v>5.45</v>
      </c>
    </row>
    <row r="42" spans="1:19" x14ac:dyDescent="0.3">
      <c r="A42">
        <v>202607</v>
      </c>
      <c r="B42" t="s">
        <v>30</v>
      </c>
      <c r="C42">
        <v>1768940983</v>
      </c>
      <c r="D42" t="s">
        <v>18</v>
      </c>
      <c r="E42" t="s">
        <v>34</v>
      </c>
      <c r="F42" t="s">
        <v>109</v>
      </c>
      <c r="G42" s="8">
        <v>0.56155860206999997</v>
      </c>
      <c r="H42" s="26">
        <v>2.95</v>
      </c>
    </row>
    <row r="43" spans="1:19" x14ac:dyDescent="0.3">
      <c r="A43">
        <v>202607</v>
      </c>
      <c r="B43" t="s">
        <v>30</v>
      </c>
      <c r="C43">
        <v>1768949204</v>
      </c>
      <c r="D43" t="s">
        <v>18</v>
      </c>
      <c r="E43" t="s">
        <v>24</v>
      </c>
      <c r="F43" t="s">
        <v>162</v>
      </c>
      <c r="G43" s="8">
        <v>0.69074543999999993</v>
      </c>
      <c r="H43" s="26">
        <v>1.35</v>
      </c>
    </row>
    <row r="44" spans="1:19" x14ac:dyDescent="0.3">
      <c r="A44">
        <v>202607</v>
      </c>
      <c r="B44" t="s">
        <v>30</v>
      </c>
      <c r="C44">
        <v>1768950385</v>
      </c>
      <c r="D44" t="s">
        <v>18</v>
      </c>
      <c r="E44" t="s">
        <v>24</v>
      </c>
      <c r="F44" t="s">
        <v>163</v>
      </c>
      <c r="G44" s="8">
        <v>3.3980000000000001</v>
      </c>
      <c r="H44" s="26">
        <v>0.25</v>
      </c>
    </row>
    <row r="45" spans="1:19" x14ac:dyDescent="0.3">
      <c r="A45">
        <v>202607</v>
      </c>
      <c r="B45" t="s">
        <v>30</v>
      </c>
      <c r="C45">
        <v>1768950407</v>
      </c>
      <c r="D45" t="s">
        <v>18</v>
      </c>
      <c r="E45" t="s">
        <v>24</v>
      </c>
      <c r="F45" t="s">
        <v>163</v>
      </c>
      <c r="G45" s="8">
        <v>1.6990000000000001</v>
      </c>
      <c r="H45" s="26">
        <v>0.25</v>
      </c>
    </row>
    <row r="46" spans="1:19" x14ac:dyDescent="0.3">
      <c r="A46">
        <v>202607</v>
      </c>
      <c r="B46" t="s">
        <v>30</v>
      </c>
      <c r="C46">
        <v>1768958084</v>
      </c>
      <c r="D46" t="s">
        <v>18</v>
      </c>
      <c r="E46" t="s">
        <v>24</v>
      </c>
      <c r="F46" t="s">
        <v>175</v>
      </c>
      <c r="G46" s="8">
        <v>0.85024999999999995</v>
      </c>
      <c r="H46" s="26">
        <v>0.35</v>
      </c>
    </row>
    <row r="47" spans="1:19" x14ac:dyDescent="0.3">
      <c r="A47">
        <v>202607</v>
      </c>
      <c r="B47" t="s">
        <v>30</v>
      </c>
      <c r="C47">
        <v>1768966214</v>
      </c>
      <c r="D47" t="s">
        <v>18</v>
      </c>
      <c r="E47" t="s">
        <v>34</v>
      </c>
      <c r="F47" t="s">
        <v>109</v>
      </c>
      <c r="G47" s="8">
        <v>0.73000339800000003</v>
      </c>
      <c r="H47" s="26">
        <v>2.95</v>
      </c>
    </row>
    <row r="48" spans="1:19" x14ac:dyDescent="0.3">
      <c r="A48">
        <v>202607</v>
      </c>
      <c r="B48" t="s">
        <v>30</v>
      </c>
      <c r="C48">
        <v>1768984239</v>
      </c>
      <c r="D48" t="s">
        <v>18</v>
      </c>
      <c r="E48" t="s">
        <v>19</v>
      </c>
      <c r="F48" t="s">
        <v>176</v>
      </c>
      <c r="G48" s="8">
        <v>0.34050000000000002</v>
      </c>
      <c r="H48" s="26">
        <v>2.87</v>
      </c>
    </row>
    <row r="49" spans="1:8" x14ac:dyDescent="0.3">
      <c r="A49">
        <v>202607</v>
      </c>
      <c r="B49" t="s">
        <v>30</v>
      </c>
      <c r="C49">
        <v>1768984344</v>
      </c>
      <c r="D49" t="s">
        <v>18</v>
      </c>
      <c r="E49" t="s">
        <v>24</v>
      </c>
      <c r="F49" t="s">
        <v>177</v>
      </c>
      <c r="G49" s="8">
        <v>0.52150299</v>
      </c>
      <c r="H49" s="26">
        <v>3.84</v>
      </c>
    </row>
    <row r="50" spans="1:8" x14ac:dyDescent="0.3">
      <c r="A50">
        <v>202607</v>
      </c>
      <c r="B50" t="s">
        <v>30</v>
      </c>
      <c r="C50">
        <v>1768984646</v>
      </c>
      <c r="D50" t="s">
        <v>18</v>
      </c>
      <c r="E50" t="s">
        <v>24</v>
      </c>
      <c r="F50" t="s">
        <v>175</v>
      </c>
      <c r="G50" s="8">
        <v>0.85124999999999995</v>
      </c>
      <c r="H50" s="26">
        <v>0.35</v>
      </c>
    </row>
    <row r="51" spans="1:8" x14ac:dyDescent="0.3">
      <c r="A51">
        <v>202607</v>
      </c>
      <c r="B51" t="s">
        <v>30</v>
      </c>
      <c r="C51">
        <v>1769049045</v>
      </c>
      <c r="D51" t="s">
        <v>18</v>
      </c>
      <c r="E51" t="s">
        <v>24</v>
      </c>
      <c r="F51" t="s">
        <v>196</v>
      </c>
      <c r="G51" s="8">
        <v>1.38424356</v>
      </c>
      <c r="H51" s="26">
        <v>0.95</v>
      </c>
    </row>
    <row r="52" spans="1:8" x14ac:dyDescent="0.3">
      <c r="A52">
        <v>202607</v>
      </c>
      <c r="B52" t="s">
        <v>30</v>
      </c>
      <c r="C52">
        <v>1769049193</v>
      </c>
      <c r="D52" t="s">
        <v>18</v>
      </c>
      <c r="E52" t="s">
        <v>24</v>
      </c>
      <c r="F52" t="s">
        <v>196</v>
      </c>
      <c r="G52" s="8">
        <v>0.76489466399999995</v>
      </c>
      <c r="H52" s="26">
        <v>0.95</v>
      </c>
    </row>
    <row r="53" spans="1:8" x14ac:dyDescent="0.3">
      <c r="A53">
        <v>202607</v>
      </c>
      <c r="B53" t="s">
        <v>96</v>
      </c>
      <c r="C53">
        <v>1764734360</v>
      </c>
      <c r="D53" t="s">
        <v>18</v>
      </c>
      <c r="E53" t="s">
        <v>34</v>
      </c>
      <c r="F53" t="s">
        <v>121</v>
      </c>
      <c r="G53" s="8">
        <v>2.8933468590000001E-2</v>
      </c>
      <c r="H53" s="26">
        <v>9</v>
      </c>
    </row>
    <row r="54" spans="1:8" x14ac:dyDescent="0.3">
      <c r="A54">
        <v>202607</v>
      </c>
      <c r="B54" t="s">
        <v>96</v>
      </c>
      <c r="C54">
        <v>1764736656</v>
      </c>
      <c r="D54" t="s">
        <v>23</v>
      </c>
      <c r="E54" t="s">
        <v>34</v>
      </c>
      <c r="F54" t="s">
        <v>121</v>
      </c>
      <c r="G54" s="8">
        <v>7.9499559999999997E-2</v>
      </c>
      <c r="H54" s="26">
        <v>9.15</v>
      </c>
    </row>
    <row r="55" spans="1:8" x14ac:dyDescent="0.3">
      <c r="A55">
        <v>202607</v>
      </c>
      <c r="B55" t="s">
        <v>96</v>
      </c>
      <c r="C55">
        <v>1768850534</v>
      </c>
      <c r="D55" t="s">
        <v>18</v>
      </c>
      <c r="E55" t="s">
        <v>34</v>
      </c>
      <c r="F55" t="s">
        <v>121</v>
      </c>
      <c r="G55" s="8">
        <v>1.1510590770000001E-2</v>
      </c>
      <c r="H55" s="26">
        <v>9.4</v>
      </c>
    </row>
    <row r="56" spans="1:8" x14ac:dyDescent="0.3">
      <c r="A56">
        <v>202607</v>
      </c>
      <c r="B56" t="s">
        <v>96</v>
      </c>
      <c r="C56">
        <v>1768854017</v>
      </c>
      <c r="D56" t="s">
        <v>23</v>
      </c>
      <c r="E56" t="s">
        <v>34</v>
      </c>
      <c r="F56" t="s">
        <v>121</v>
      </c>
      <c r="G56" s="8">
        <v>3.1022209999999998E-2</v>
      </c>
      <c r="H56" s="26">
        <v>9.15</v>
      </c>
    </row>
    <row r="57" spans="1:8" x14ac:dyDescent="0.3">
      <c r="A57">
        <v>202607</v>
      </c>
      <c r="B57" t="s">
        <v>96</v>
      </c>
      <c r="C57">
        <v>1768914826</v>
      </c>
      <c r="D57" t="s">
        <v>18</v>
      </c>
      <c r="E57" t="s">
        <v>34</v>
      </c>
      <c r="F57" t="s">
        <v>121</v>
      </c>
      <c r="G57" s="8">
        <v>2.3200058879999999E-2</v>
      </c>
      <c r="H57" s="26">
        <v>9</v>
      </c>
    </row>
    <row r="58" spans="1:8" x14ac:dyDescent="0.3">
      <c r="A58">
        <v>202607</v>
      </c>
      <c r="B58" t="s">
        <v>96</v>
      </c>
      <c r="C58">
        <v>1768916160</v>
      </c>
      <c r="D58" t="s">
        <v>18</v>
      </c>
      <c r="E58" t="s">
        <v>34</v>
      </c>
      <c r="F58" t="s">
        <v>139</v>
      </c>
      <c r="G58" s="8">
        <v>4.4265769599999998E-2</v>
      </c>
      <c r="H58" s="26">
        <v>5.15</v>
      </c>
    </row>
    <row r="59" spans="1:8" x14ac:dyDescent="0.3">
      <c r="A59">
        <v>202607</v>
      </c>
      <c r="B59" t="s">
        <v>96</v>
      </c>
      <c r="C59">
        <v>1768917280</v>
      </c>
      <c r="D59" t="s">
        <v>23</v>
      </c>
      <c r="E59" t="s">
        <v>34</v>
      </c>
      <c r="F59" t="s">
        <v>121</v>
      </c>
      <c r="G59" s="8">
        <v>2.2376009999999998E-2</v>
      </c>
      <c r="H59" s="26">
        <v>9.15</v>
      </c>
    </row>
    <row r="60" spans="1:8" x14ac:dyDescent="0.3">
      <c r="A60">
        <v>202607</v>
      </c>
      <c r="B60" t="s">
        <v>96</v>
      </c>
      <c r="C60">
        <v>1768917299</v>
      </c>
      <c r="D60" t="s">
        <v>18</v>
      </c>
      <c r="E60" t="s">
        <v>34</v>
      </c>
      <c r="F60" t="s">
        <v>121</v>
      </c>
      <c r="G60" s="8">
        <v>1.199658816E-2</v>
      </c>
      <c r="H60" s="26">
        <v>9.15</v>
      </c>
    </row>
    <row r="61" spans="1:8" x14ac:dyDescent="0.3">
      <c r="A61">
        <v>202607</v>
      </c>
      <c r="B61" t="s">
        <v>96</v>
      </c>
      <c r="C61">
        <v>1768941220</v>
      </c>
      <c r="D61" t="s">
        <v>18</v>
      </c>
      <c r="E61" t="s">
        <v>34</v>
      </c>
      <c r="F61" t="s">
        <v>139</v>
      </c>
      <c r="G61" s="8">
        <v>2.5771735720000001E-2</v>
      </c>
      <c r="H61" s="26">
        <v>5.15</v>
      </c>
    </row>
    <row r="62" spans="1:8" x14ac:dyDescent="0.3">
      <c r="A62">
        <v>202607</v>
      </c>
      <c r="B62" t="s">
        <v>96</v>
      </c>
      <c r="C62">
        <v>1768950008</v>
      </c>
      <c r="D62" t="s">
        <v>23</v>
      </c>
      <c r="E62" t="s">
        <v>34</v>
      </c>
      <c r="F62" t="s">
        <v>164</v>
      </c>
      <c r="G62" s="8">
        <v>0.3974994</v>
      </c>
      <c r="H62" s="26">
        <v>5.15</v>
      </c>
    </row>
    <row r="63" spans="1:8" x14ac:dyDescent="0.3">
      <c r="A63">
        <v>202607</v>
      </c>
      <c r="B63" t="s">
        <v>96</v>
      </c>
      <c r="C63">
        <v>1768959234</v>
      </c>
      <c r="D63" t="s">
        <v>18</v>
      </c>
      <c r="E63" t="s">
        <v>34</v>
      </c>
      <c r="F63" t="s">
        <v>139</v>
      </c>
      <c r="G63" s="8">
        <v>2.3861109910000001E-2</v>
      </c>
      <c r="H63" s="26">
        <v>5.2</v>
      </c>
    </row>
    <row r="64" spans="1:8" x14ac:dyDescent="0.3">
      <c r="A64">
        <v>202607</v>
      </c>
      <c r="B64" t="s">
        <v>96</v>
      </c>
      <c r="C64">
        <v>1768959323</v>
      </c>
      <c r="D64" t="s">
        <v>23</v>
      </c>
      <c r="E64" t="s">
        <v>34</v>
      </c>
      <c r="F64" t="s">
        <v>121</v>
      </c>
      <c r="G64" s="8">
        <v>5.6106929999999999E-2</v>
      </c>
      <c r="H64" s="26">
        <v>9.15</v>
      </c>
    </row>
    <row r="65" spans="1:8" x14ac:dyDescent="0.3">
      <c r="A65">
        <v>202607</v>
      </c>
      <c r="B65" t="s">
        <v>96</v>
      </c>
      <c r="C65">
        <v>1768959447</v>
      </c>
      <c r="D65" t="s">
        <v>18</v>
      </c>
      <c r="E65" t="s">
        <v>34</v>
      </c>
      <c r="F65" t="s">
        <v>121</v>
      </c>
      <c r="G65" s="8">
        <v>7.0685533750000001E-2</v>
      </c>
      <c r="H65" s="26">
        <v>9.15</v>
      </c>
    </row>
    <row r="66" spans="1:8" x14ac:dyDescent="0.3">
      <c r="A66">
        <v>202607</v>
      </c>
      <c r="B66" t="s">
        <v>140</v>
      </c>
      <c r="C66">
        <v>1764767195</v>
      </c>
      <c r="D66" t="s">
        <v>18</v>
      </c>
      <c r="E66" t="s">
        <v>19</v>
      </c>
      <c r="F66" t="s">
        <v>75</v>
      </c>
      <c r="G66" s="8">
        <v>3.3980000000000003E-2</v>
      </c>
      <c r="H66" s="26">
        <v>7.85</v>
      </c>
    </row>
    <row r="67" spans="1:8" x14ac:dyDescent="0.3">
      <c r="A67">
        <v>202607</v>
      </c>
      <c r="B67" t="s">
        <v>140</v>
      </c>
      <c r="C67">
        <v>1768924422</v>
      </c>
      <c r="D67" t="s">
        <v>18</v>
      </c>
      <c r="E67" t="s">
        <v>24</v>
      </c>
      <c r="F67" t="s">
        <v>141</v>
      </c>
      <c r="G67" s="8">
        <v>0.79676999999999998</v>
      </c>
      <c r="H67" s="26">
        <v>0.35</v>
      </c>
    </row>
    <row r="68" spans="1:8" x14ac:dyDescent="0.3">
      <c r="A68">
        <v>202607</v>
      </c>
      <c r="B68" t="s">
        <v>140</v>
      </c>
      <c r="C68">
        <v>1768950113</v>
      </c>
      <c r="D68" t="s">
        <v>18</v>
      </c>
      <c r="E68" t="s">
        <v>19</v>
      </c>
      <c r="F68" t="s">
        <v>165</v>
      </c>
      <c r="G68" s="8">
        <v>0.89707199999999998</v>
      </c>
      <c r="H68" s="26">
        <v>1.55</v>
      </c>
    </row>
    <row r="69" spans="1:8" x14ac:dyDescent="0.3">
      <c r="A69">
        <v>202607</v>
      </c>
      <c r="B69" t="s">
        <v>140</v>
      </c>
      <c r="C69">
        <v>1768950962</v>
      </c>
      <c r="D69" t="s">
        <v>23</v>
      </c>
      <c r="E69" t="s">
        <v>24</v>
      </c>
      <c r="F69" t="s">
        <v>166</v>
      </c>
      <c r="G69" s="8">
        <v>1</v>
      </c>
      <c r="H69" s="26">
        <v>0.85</v>
      </c>
    </row>
    <row r="70" spans="1:8" x14ac:dyDescent="0.3">
      <c r="A70">
        <v>202607</v>
      </c>
      <c r="B70" t="s">
        <v>140</v>
      </c>
      <c r="C70">
        <v>1768959366</v>
      </c>
      <c r="D70" t="s">
        <v>23</v>
      </c>
      <c r="E70" t="s">
        <v>19</v>
      </c>
      <c r="F70" t="s">
        <v>178</v>
      </c>
      <c r="G70" s="8">
        <v>0.5</v>
      </c>
      <c r="H70" s="26">
        <v>1.55</v>
      </c>
    </row>
    <row r="71" spans="1:8" x14ac:dyDescent="0.3">
      <c r="A71">
        <v>202607</v>
      </c>
      <c r="B71" t="s">
        <v>140</v>
      </c>
      <c r="C71">
        <v>1768985847</v>
      </c>
      <c r="D71" t="s">
        <v>18</v>
      </c>
      <c r="E71" t="s">
        <v>24</v>
      </c>
      <c r="F71" t="s">
        <v>165</v>
      </c>
      <c r="G71" s="8">
        <v>1.4963486334</v>
      </c>
      <c r="H71" s="26">
        <v>1.7</v>
      </c>
    </row>
    <row r="72" spans="1:8" x14ac:dyDescent="0.3">
      <c r="A72">
        <v>202607</v>
      </c>
      <c r="B72" t="s">
        <v>25</v>
      </c>
      <c r="C72">
        <v>1764737318</v>
      </c>
      <c r="D72" t="s">
        <v>23</v>
      </c>
      <c r="E72" t="s">
        <v>19</v>
      </c>
      <c r="F72" t="s">
        <v>99</v>
      </c>
      <c r="G72" s="8">
        <v>4.0999999999999996</v>
      </c>
      <c r="H72" s="26">
        <v>0.4</v>
      </c>
    </row>
    <row r="73" spans="1:8" x14ac:dyDescent="0.3">
      <c r="A73">
        <v>202607</v>
      </c>
      <c r="B73" t="s">
        <v>25</v>
      </c>
      <c r="C73">
        <v>1764777610</v>
      </c>
      <c r="D73" t="s">
        <v>18</v>
      </c>
      <c r="E73" t="s">
        <v>24</v>
      </c>
      <c r="F73" t="s">
        <v>72</v>
      </c>
      <c r="G73" s="8">
        <v>2.7240000000000002</v>
      </c>
      <c r="H73" s="26">
        <v>3.9</v>
      </c>
    </row>
    <row r="74" spans="1:8" x14ac:dyDescent="0.3">
      <c r="A74">
        <v>202607</v>
      </c>
      <c r="B74" t="s">
        <v>25</v>
      </c>
      <c r="C74">
        <v>1764777646</v>
      </c>
      <c r="D74" t="s">
        <v>18</v>
      </c>
      <c r="E74" t="s">
        <v>24</v>
      </c>
      <c r="F74" t="s">
        <v>72</v>
      </c>
      <c r="G74" s="8">
        <v>2.0430000000000001</v>
      </c>
      <c r="H74" s="26">
        <v>3.9</v>
      </c>
    </row>
    <row r="75" spans="1:8" x14ac:dyDescent="0.3">
      <c r="A75">
        <v>202607</v>
      </c>
      <c r="B75" t="s">
        <v>25</v>
      </c>
      <c r="C75">
        <v>1768832994</v>
      </c>
      <c r="D75" t="s">
        <v>18</v>
      </c>
      <c r="E75" t="s">
        <v>24</v>
      </c>
      <c r="F75" t="s">
        <v>122</v>
      </c>
      <c r="G75" s="8">
        <v>1.73655</v>
      </c>
      <c r="H75" s="26">
        <v>1.1000000000000001</v>
      </c>
    </row>
    <row r="76" spans="1:8" x14ac:dyDescent="0.3">
      <c r="A76">
        <v>202607</v>
      </c>
      <c r="B76" t="s">
        <v>25</v>
      </c>
      <c r="C76">
        <v>1768833095</v>
      </c>
      <c r="D76" t="s">
        <v>18</v>
      </c>
      <c r="E76" t="s">
        <v>24</v>
      </c>
      <c r="F76" t="s">
        <v>122</v>
      </c>
      <c r="G76" s="8">
        <v>0.98745000000000005</v>
      </c>
      <c r="H76" s="26">
        <v>1.1000000000000001</v>
      </c>
    </row>
    <row r="77" spans="1:8" x14ac:dyDescent="0.3">
      <c r="A77">
        <v>202607</v>
      </c>
      <c r="B77" t="s">
        <v>25</v>
      </c>
      <c r="C77">
        <v>1768843970</v>
      </c>
      <c r="D77" t="s">
        <v>23</v>
      </c>
      <c r="E77" t="s">
        <v>19</v>
      </c>
      <c r="F77" t="s">
        <v>90</v>
      </c>
      <c r="G77" s="8">
        <v>5.7050000000000001</v>
      </c>
      <c r="H77" s="26">
        <v>2.75</v>
      </c>
    </row>
    <row r="78" spans="1:8" x14ac:dyDescent="0.3">
      <c r="A78">
        <v>202607</v>
      </c>
      <c r="B78" t="s">
        <v>25</v>
      </c>
      <c r="C78">
        <v>1768844062</v>
      </c>
      <c r="D78" t="s">
        <v>23</v>
      </c>
      <c r="E78" t="s">
        <v>19</v>
      </c>
      <c r="F78" t="s">
        <v>90</v>
      </c>
      <c r="G78" s="8">
        <v>6.0949999999999998</v>
      </c>
      <c r="H78" s="26">
        <v>2.75</v>
      </c>
    </row>
    <row r="79" spans="1:8" x14ac:dyDescent="0.3">
      <c r="A79">
        <v>202607</v>
      </c>
      <c r="B79" t="s">
        <v>25</v>
      </c>
      <c r="C79">
        <v>1768854327</v>
      </c>
      <c r="D79" t="s">
        <v>18</v>
      </c>
      <c r="E79" t="s">
        <v>24</v>
      </c>
      <c r="F79" t="s">
        <v>123</v>
      </c>
      <c r="G79" s="8">
        <v>0.36958147506000005</v>
      </c>
      <c r="H79" s="26">
        <v>2</v>
      </c>
    </row>
    <row r="80" spans="1:8" x14ac:dyDescent="0.3">
      <c r="A80">
        <v>202607</v>
      </c>
      <c r="B80" t="s">
        <v>25</v>
      </c>
      <c r="C80">
        <v>1768855366</v>
      </c>
      <c r="D80" t="s">
        <v>18</v>
      </c>
      <c r="E80" t="s">
        <v>24</v>
      </c>
      <c r="F80" t="s">
        <v>73</v>
      </c>
      <c r="G80" s="8">
        <v>0.28554778853999996</v>
      </c>
      <c r="H80" s="26">
        <v>2.9</v>
      </c>
    </row>
    <row r="81" spans="1:8" x14ac:dyDescent="0.3">
      <c r="A81">
        <v>202607</v>
      </c>
      <c r="B81" t="s">
        <v>25</v>
      </c>
      <c r="C81">
        <v>1768855463</v>
      </c>
      <c r="D81" t="s">
        <v>18</v>
      </c>
      <c r="E81" t="s">
        <v>24</v>
      </c>
      <c r="F81" t="s">
        <v>123</v>
      </c>
      <c r="G81" s="8">
        <v>0.73916295012000011</v>
      </c>
      <c r="H81" s="26">
        <v>2.15</v>
      </c>
    </row>
    <row r="82" spans="1:8" x14ac:dyDescent="0.3">
      <c r="A82">
        <v>202607</v>
      </c>
      <c r="B82" t="s">
        <v>25</v>
      </c>
      <c r="C82">
        <v>1768856370</v>
      </c>
      <c r="D82" t="s">
        <v>23</v>
      </c>
      <c r="E82" t="s">
        <v>19</v>
      </c>
      <c r="F82" t="s">
        <v>103</v>
      </c>
      <c r="G82" s="8">
        <v>1.7</v>
      </c>
      <c r="H82" s="26">
        <v>0.6</v>
      </c>
    </row>
    <row r="83" spans="1:8" x14ac:dyDescent="0.3">
      <c r="A83">
        <v>202607</v>
      </c>
      <c r="B83" t="s">
        <v>25</v>
      </c>
      <c r="C83">
        <v>1768858720</v>
      </c>
      <c r="D83" t="s">
        <v>18</v>
      </c>
      <c r="E83" t="s">
        <v>34</v>
      </c>
      <c r="F83" t="s">
        <v>111</v>
      </c>
      <c r="G83" s="8">
        <v>9.2259654479999995E-2</v>
      </c>
      <c r="H83" s="26">
        <v>2.75</v>
      </c>
    </row>
    <row r="84" spans="1:8" x14ac:dyDescent="0.3">
      <c r="A84">
        <v>202607</v>
      </c>
      <c r="B84" t="s">
        <v>25</v>
      </c>
      <c r="C84">
        <v>1768869677</v>
      </c>
      <c r="D84" t="s">
        <v>18</v>
      </c>
      <c r="E84" t="s">
        <v>34</v>
      </c>
      <c r="F84" t="s">
        <v>111</v>
      </c>
      <c r="G84" s="8">
        <v>1.9936691190000001E-2</v>
      </c>
      <c r="H84" s="26">
        <v>2.75</v>
      </c>
    </row>
    <row r="85" spans="1:8" x14ac:dyDescent="0.3">
      <c r="A85">
        <v>202607</v>
      </c>
      <c r="B85" t="s">
        <v>25</v>
      </c>
      <c r="C85">
        <v>1768892903</v>
      </c>
      <c r="D85" t="s">
        <v>18</v>
      </c>
      <c r="E85" t="s">
        <v>24</v>
      </c>
      <c r="F85" t="s">
        <v>123</v>
      </c>
      <c r="G85" s="8">
        <v>0.5411210112</v>
      </c>
      <c r="H85" s="26">
        <v>2</v>
      </c>
    </row>
    <row r="86" spans="1:8" x14ac:dyDescent="0.3">
      <c r="A86">
        <v>202607</v>
      </c>
      <c r="B86" t="s">
        <v>25</v>
      </c>
      <c r="C86">
        <v>1768892910</v>
      </c>
      <c r="D86" t="s">
        <v>18</v>
      </c>
      <c r="E86" t="s">
        <v>24</v>
      </c>
      <c r="F86" t="s">
        <v>123</v>
      </c>
      <c r="G86" s="8">
        <v>1.90733598208</v>
      </c>
      <c r="H86" s="26">
        <v>2</v>
      </c>
    </row>
    <row r="87" spans="1:8" x14ac:dyDescent="0.3">
      <c r="A87">
        <v>202607</v>
      </c>
      <c r="B87" t="s">
        <v>25</v>
      </c>
      <c r="C87">
        <v>1768903743</v>
      </c>
      <c r="D87" t="s">
        <v>23</v>
      </c>
      <c r="E87" t="s">
        <v>19</v>
      </c>
      <c r="F87" t="s">
        <v>74</v>
      </c>
      <c r="G87" s="8">
        <v>3</v>
      </c>
      <c r="H87" s="26">
        <v>0.35</v>
      </c>
    </row>
    <row r="88" spans="1:8" x14ac:dyDescent="0.3">
      <c r="A88">
        <v>202607</v>
      </c>
      <c r="B88" t="s">
        <v>25</v>
      </c>
      <c r="C88">
        <v>1768924937</v>
      </c>
      <c r="D88" t="s">
        <v>18</v>
      </c>
      <c r="E88" t="s">
        <v>24</v>
      </c>
      <c r="F88" t="s">
        <v>123</v>
      </c>
      <c r="G88" s="8">
        <v>0.26701400505</v>
      </c>
      <c r="H88" s="26">
        <v>2</v>
      </c>
    </row>
    <row r="89" spans="1:8" x14ac:dyDescent="0.3">
      <c r="A89">
        <v>202607</v>
      </c>
      <c r="B89" t="s">
        <v>25</v>
      </c>
      <c r="C89">
        <v>1768924945</v>
      </c>
      <c r="D89" t="s">
        <v>18</v>
      </c>
      <c r="E89" t="s">
        <v>24</v>
      </c>
      <c r="F89" t="s">
        <v>123</v>
      </c>
      <c r="G89" s="8">
        <v>2.0354052496499997</v>
      </c>
      <c r="H89" s="26">
        <v>2</v>
      </c>
    </row>
    <row r="90" spans="1:8" x14ac:dyDescent="0.3">
      <c r="A90">
        <v>202607</v>
      </c>
      <c r="B90" t="s">
        <v>25</v>
      </c>
      <c r="C90">
        <v>1768938750</v>
      </c>
      <c r="D90" t="s">
        <v>18</v>
      </c>
      <c r="E90" t="s">
        <v>19</v>
      </c>
      <c r="F90" t="s">
        <v>99</v>
      </c>
      <c r="G90" s="8">
        <v>8.1671999999999993</v>
      </c>
      <c r="H90" s="26">
        <v>0.38</v>
      </c>
    </row>
    <row r="91" spans="1:8" x14ac:dyDescent="0.3">
      <c r="A91">
        <v>202607</v>
      </c>
      <c r="B91" t="s">
        <v>25</v>
      </c>
      <c r="C91">
        <v>1768949484</v>
      </c>
      <c r="D91" t="s">
        <v>18</v>
      </c>
      <c r="E91" t="s">
        <v>24</v>
      </c>
      <c r="F91" t="s">
        <v>123</v>
      </c>
      <c r="G91" s="8">
        <v>6.7960000000000003</v>
      </c>
      <c r="H91" s="26">
        <v>2</v>
      </c>
    </row>
    <row r="92" spans="1:8" x14ac:dyDescent="0.3">
      <c r="A92">
        <v>202607</v>
      </c>
      <c r="B92" t="s">
        <v>25</v>
      </c>
      <c r="C92">
        <v>1768949506</v>
      </c>
      <c r="D92" t="s">
        <v>18</v>
      </c>
      <c r="E92" t="s">
        <v>24</v>
      </c>
      <c r="F92" t="s">
        <v>123</v>
      </c>
      <c r="G92" s="8">
        <v>6.7960000000000003</v>
      </c>
      <c r="H92" s="26">
        <v>2</v>
      </c>
    </row>
    <row r="93" spans="1:8" x14ac:dyDescent="0.3">
      <c r="A93">
        <v>202607</v>
      </c>
      <c r="B93" t="s">
        <v>25</v>
      </c>
      <c r="C93">
        <v>1768953775</v>
      </c>
      <c r="D93" t="s">
        <v>23</v>
      </c>
      <c r="E93" t="s">
        <v>19</v>
      </c>
      <c r="F93" t="s">
        <v>179</v>
      </c>
      <c r="G93" s="8">
        <v>4</v>
      </c>
      <c r="H93" s="26">
        <v>0.6</v>
      </c>
    </row>
    <row r="94" spans="1:8" x14ac:dyDescent="0.3">
      <c r="A94">
        <v>202607</v>
      </c>
      <c r="B94" t="s">
        <v>25</v>
      </c>
      <c r="C94">
        <v>1768958637</v>
      </c>
      <c r="D94" t="s">
        <v>18</v>
      </c>
      <c r="E94" t="s">
        <v>24</v>
      </c>
      <c r="F94" t="s">
        <v>122</v>
      </c>
      <c r="G94" s="8">
        <v>1.73451</v>
      </c>
      <c r="H94" s="26">
        <v>1.05</v>
      </c>
    </row>
    <row r="95" spans="1:8" x14ac:dyDescent="0.3">
      <c r="A95">
        <v>202607</v>
      </c>
      <c r="B95" t="s">
        <v>25</v>
      </c>
      <c r="C95">
        <v>1768965790</v>
      </c>
      <c r="D95" t="s">
        <v>18</v>
      </c>
      <c r="E95" t="s">
        <v>24</v>
      </c>
      <c r="F95" t="s">
        <v>73</v>
      </c>
      <c r="G95" s="8">
        <v>0.18835959465000002</v>
      </c>
      <c r="H95" s="26">
        <v>2.9</v>
      </c>
    </row>
    <row r="96" spans="1:8" x14ac:dyDescent="0.3">
      <c r="A96">
        <v>202607</v>
      </c>
      <c r="B96" t="s">
        <v>25</v>
      </c>
      <c r="C96">
        <v>1769027920</v>
      </c>
      <c r="D96" t="s">
        <v>23</v>
      </c>
      <c r="E96" t="s">
        <v>48</v>
      </c>
      <c r="F96" t="s">
        <v>197</v>
      </c>
      <c r="G96" s="8">
        <v>6</v>
      </c>
      <c r="H96" s="26">
        <v>0.4</v>
      </c>
    </row>
    <row r="97" spans="1:8" x14ac:dyDescent="0.3">
      <c r="A97">
        <v>202607</v>
      </c>
      <c r="B97" t="s">
        <v>25</v>
      </c>
      <c r="C97">
        <v>1769028242</v>
      </c>
      <c r="D97" t="s">
        <v>23</v>
      </c>
      <c r="E97" t="s">
        <v>48</v>
      </c>
      <c r="F97" t="s">
        <v>197</v>
      </c>
      <c r="G97" s="8">
        <v>6</v>
      </c>
      <c r="H97" s="26">
        <v>0.4</v>
      </c>
    </row>
    <row r="98" spans="1:8" x14ac:dyDescent="0.3">
      <c r="A98">
        <v>202607</v>
      </c>
      <c r="B98" t="s">
        <v>25</v>
      </c>
      <c r="C98">
        <v>1769030190</v>
      </c>
      <c r="D98" t="s">
        <v>18</v>
      </c>
      <c r="E98" t="s">
        <v>24</v>
      </c>
      <c r="F98" t="s">
        <v>123</v>
      </c>
      <c r="G98" s="8">
        <v>1.27983429888</v>
      </c>
      <c r="H98" s="26">
        <v>2.0499999999999998</v>
      </c>
    </row>
    <row r="99" spans="1:8" x14ac:dyDescent="0.3">
      <c r="A99">
        <v>202607</v>
      </c>
      <c r="B99" t="s">
        <v>25</v>
      </c>
      <c r="C99">
        <v>1769033610</v>
      </c>
      <c r="D99" t="s">
        <v>18</v>
      </c>
      <c r="E99" t="s">
        <v>24</v>
      </c>
      <c r="F99" t="s">
        <v>123</v>
      </c>
      <c r="G99" s="8">
        <v>1.04513754216</v>
      </c>
      <c r="H99" s="26">
        <v>2.0499999999999998</v>
      </c>
    </row>
    <row r="100" spans="1:8" x14ac:dyDescent="0.3">
      <c r="A100">
        <v>202607</v>
      </c>
      <c r="B100" t="s">
        <v>25</v>
      </c>
      <c r="C100">
        <v>1769034838</v>
      </c>
      <c r="D100" t="s">
        <v>18</v>
      </c>
      <c r="E100" t="s">
        <v>24</v>
      </c>
      <c r="F100" t="s">
        <v>99</v>
      </c>
      <c r="G100" s="8">
        <v>6.8502278159999999E-2</v>
      </c>
      <c r="H100" s="26">
        <v>0.6</v>
      </c>
    </row>
    <row r="101" spans="1:8" x14ac:dyDescent="0.3">
      <c r="A101">
        <v>202607</v>
      </c>
      <c r="B101" t="s">
        <v>25</v>
      </c>
      <c r="C101">
        <v>1769038700</v>
      </c>
      <c r="D101" t="s">
        <v>18</v>
      </c>
      <c r="E101" t="s">
        <v>24</v>
      </c>
      <c r="F101" t="s">
        <v>99</v>
      </c>
      <c r="G101" s="8">
        <v>0.35657911704</v>
      </c>
      <c r="H101" s="26">
        <v>0.6</v>
      </c>
    </row>
    <row r="102" spans="1:8" x14ac:dyDescent="0.3">
      <c r="A102">
        <v>202607</v>
      </c>
      <c r="B102" t="s">
        <v>25</v>
      </c>
      <c r="C102">
        <v>1769038809</v>
      </c>
      <c r="D102" t="s">
        <v>18</v>
      </c>
      <c r="E102" t="s">
        <v>24</v>
      </c>
      <c r="F102" t="s">
        <v>99</v>
      </c>
      <c r="G102" s="8">
        <v>0.9384883356</v>
      </c>
      <c r="H102" s="26">
        <v>0.5</v>
      </c>
    </row>
    <row r="103" spans="1:8" x14ac:dyDescent="0.3">
      <c r="A103">
        <v>202607</v>
      </c>
      <c r="B103" t="s">
        <v>36</v>
      </c>
      <c r="C103">
        <v>1764734475</v>
      </c>
      <c r="D103" t="s">
        <v>23</v>
      </c>
      <c r="E103" t="s">
        <v>19</v>
      </c>
      <c r="F103" t="s">
        <v>97</v>
      </c>
      <c r="G103" s="8">
        <v>0.5</v>
      </c>
      <c r="H103" s="26">
        <v>2.9</v>
      </c>
    </row>
    <row r="104" spans="1:8" x14ac:dyDescent="0.3">
      <c r="A104">
        <v>202607</v>
      </c>
      <c r="B104" t="s">
        <v>36</v>
      </c>
      <c r="C104">
        <v>1764757939</v>
      </c>
      <c r="D104" t="s">
        <v>18</v>
      </c>
      <c r="E104" t="s">
        <v>19</v>
      </c>
      <c r="F104" t="s">
        <v>110</v>
      </c>
      <c r="G104" s="8">
        <v>1.6990000000000001</v>
      </c>
      <c r="H104" s="26">
        <v>1.8</v>
      </c>
    </row>
    <row r="105" spans="1:8" x14ac:dyDescent="0.3">
      <c r="A105">
        <v>202607</v>
      </c>
      <c r="B105" t="s">
        <v>36</v>
      </c>
      <c r="C105">
        <v>1768826730</v>
      </c>
      <c r="D105" t="s">
        <v>23</v>
      </c>
      <c r="E105" t="s">
        <v>34</v>
      </c>
      <c r="F105" t="s">
        <v>44</v>
      </c>
      <c r="G105" s="8">
        <v>6.3906459999999998E-2</v>
      </c>
      <c r="H105" s="26">
        <v>2.15</v>
      </c>
    </row>
    <row r="106" spans="1:8" x14ac:dyDescent="0.3">
      <c r="A106">
        <v>202607</v>
      </c>
      <c r="B106" t="s">
        <v>36</v>
      </c>
      <c r="C106">
        <v>1768833257</v>
      </c>
      <c r="D106" t="s">
        <v>23</v>
      </c>
      <c r="E106" t="s">
        <v>19</v>
      </c>
      <c r="F106" t="s">
        <v>97</v>
      </c>
      <c r="G106" s="8">
        <v>0.5</v>
      </c>
      <c r="H106" s="26">
        <v>2.9</v>
      </c>
    </row>
    <row r="107" spans="1:8" x14ac:dyDescent="0.3">
      <c r="A107">
        <v>202607</v>
      </c>
      <c r="B107" t="s">
        <v>36</v>
      </c>
      <c r="C107">
        <v>1768850585</v>
      </c>
      <c r="D107" t="s">
        <v>18</v>
      </c>
      <c r="E107" t="s">
        <v>34</v>
      </c>
      <c r="F107" t="s">
        <v>44</v>
      </c>
      <c r="G107" s="8">
        <v>0.21691627223000001</v>
      </c>
      <c r="H107" s="26">
        <v>2.38</v>
      </c>
    </row>
    <row r="108" spans="1:8" x14ac:dyDescent="0.3">
      <c r="A108">
        <v>202607</v>
      </c>
      <c r="B108" t="s">
        <v>36</v>
      </c>
      <c r="C108">
        <v>1768911002</v>
      </c>
      <c r="D108" t="s">
        <v>18</v>
      </c>
      <c r="E108" t="s">
        <v>24</v>
      </c>
      <c r="F108" t="s">
        <v>142</v>
      </c>
      <c r="G108" s="8">
        <v>1.0176000000000001</v>
      </c>
      <c r="H108" s="26">
        <v>1.6</v>
      </c>
    </row>
    <row r="109" spans="1:8" x14ac:dyDescent="0.3">
      <c r="A109">
        <v>202607</v>
      </c>
      <c r="B109" t="s">
        <v>36</v>
      </c>
      <c r="C109">
        <v>1768965463</v>
      </c>
      <c r="D109" t="s">
        <v>23</v>
      </c>
      <c r="E109" t="s">
        <v>19</v>
      </c>
      <c r="F109" t="s">
        <v>97</v>
      </c>
      <c r="G109" s="8">
        <v>0.12</v>
      </c>
      <c r="H109" s="26">
        <v>2.9</v>
      </c>
    </row>
    <row r="110" spans="1:8" x14ac:dyDescent="0.3">
      <c r="A110">
        <v>202607</v>
      </c>
      <c r="B110" t="s">
        <v>117</v>
      </c>
      <c r="C110">
        <v>1764741510</v>
      </c>
      <c r="D110" t="s">
        <v>18</v>
      </c>
      <c r="E110" t="s">
        <v>34</v>
      </c>
      <c r="F110" t="s">
        <v>94</v>
      </c>
      <c r="G110" s="8">
        <v>8.5553670999999993E-4</v>
      </c>
      <c r="H110" s="26">
        <v>15</v>
      </c>
    </row>
    <row r="111" spans="1:8" x14ac:dyDescent="0.3">
      <c r="A111">
        <v>202607</v>
      </c>
      <c r="B111" t="s">
        <v>117</v>
      </c>
      <c r="C111">
        <v>1764757238</v>
      </c>
      <c r="D111" t="s">
        <v>18</v>
      </c>
      <c r="E111" t="s">
        <v>34</v>
      </c>
      <c r="F111" t="s">
        <v>94</v>
      </c>
      <c r="G111" s="8">
        <v>1.03754532E-3</v>
      </c>
      <c r="H111" s="26">
        <v>14.65</v>
      </c>
    </row>
    <row r="112" spans="1:8" x14ac:dyDescent="0.3">
      <c r="A112">
        <v>202607</v>
      </c>
      <c r="B112" t="s">
        <v>117</v>
      </c>
      <c r="C112">
        <v>1764761952</v>
      </c>
      <c r="D112" t="s">
        <v>23</v>
      </c>
      <c r="E112" t="s">
        <v>34</v>
      </c>
      <c r="F112" t="s">
        <v>100</v>
      </c>
      <c r="G112" s="8">
        <v>0.14020635999999997</v>
      </c>
      <c r="H112" s="26">
        <v>8.85</v>
      </c>
    </row>
    <row r="113" spans="1:8" x14ac:dyDescent="0.3">
      <c r="A113">
        <v>202607</v>
      </c>
      <c r="B113" t="s">
        <v>117</v>
      </c>
      <c r="C113">
        <v>1769038050</v>
      </c>
      <c r="D113" t="s">
        <v>23</v>
      </c>
      <c r="E113" t="s">
        <v>34</v>
      </c>
      <c r="F113" t="s">
        <v>198</v>
      </c>
      <c r="G113" s="8">
        <v>1.0115782199999999</v>
      </c>
      <c r="H113" s="26">
        <v>8.6</v>
      </c>
    </row>
    <row r="114" spans="1:8" x14ac:dyDescent="0.3">
      <c r="A114">
        <v>202607</v>
      </c>
      <c r="B114" t="s">
        <v>117</v>
      </c>
      <c r="C114">
        <v>1769040862</v>
      </c>
      <c r="D114" t="s">
        <v>23</v>
      </c>
      <c r="E114" t="s">
        <v>34</v>
      </c>
      <c r="F114" t="s">
        <v>100</v>
      </c>
      <c r="G114" s="8">
        <v>0.56694989000000007</v>
      </c>
      <c r="H114" s="26">
        <v>8.85</v>
      </c>
    </row>
    <row r="115" spans="1:8" x14ac:dyDescent="0.3">
      <c r="A115">
        <v>202607</v>
      </c>
      <c r="B115" t="s">
        <v>37</v>
      </c>
      <c r="C115">
        <v>1764747917</v>
      </c>
      <c r="D115" t="s">
        <v>18</v>
      </c>
      <c r="E115" t="s">
        <v>24</v>
      </c>
      <c r="F115" t="s">
        <v>45</v>
      </c>
      <c r="G115" s="8">
        <v>0.17030000000000001</v>
      </c>
      <c r="H115" s="26">
        <v>5.35</v>
      </c>
    </row>
    <row r="116" spans="1:8" x14ac:dyDescent="0.3">
      <c r="A116">
        <v>202607</v>
      </c>
      <c r="B116" t="s">
        <v>37</v>
      </c>
      <c r="C116">
        <v>1764760972</v>
      </c>
      <c r="D116" t="s">
        <v>18</v>
      </c>
      <c r="E116" t="s">
        <v>34</v>
      </c>
      <c r="F116" t="s">
        <v>101</v>
      </c>
      <c r="G116" s="8">
        <v>0.92468751201999999</v>
      </c>
      <c r="H116" s="26">
        <v>2.65</v>
      </c>
    </row>
    <row r="117" spans="1:8" x14ac:dyDescent="0.3">
      <c r="A117">
        <v>202607</v>
      </c>
      <c r="B117" t="s">
        <v>37</v>
      </c>
      <c r="C117">
        <v>1764764528</v>
      </c>
      <c r="D117" t="s">
        <v>18</v>
      </c>
      <c r="E117" t="s">
        <v>24</v>
      </c>
      <c r="F117" t="s">
        <v>124</v>
      </c>
      <c r="G117" s="8">
        <v>1.6990000000000001</v>
      </c>
      <c r="H117" s="26">
        <v>0.8</v>
      </c>
    </row>
    <row r="118" spans="1:8" x14ac:dyDescent="0.3">
      <c r="A118">
        <v>202607</v>
      </c>
      <c r="B118" t="s">
        <v>37</v>
      </c>
      <c r="C118">
        <v>1768838135</v>
      </c>
      <c r="D118" t="s">
        <v>18</v>
      </c>
      <c r="E118" t="s">
        <v>24</v>
      </c>
      <c r="F118" t="s">
        <v>47</v>
      </c>
      <c r="G118" s="8">
        <v>0.29385987629999999</v>
      </c>
      <c r="H118" s="26">
        <v>2.35</v>
      </c>
    </row>
    <row r="119" spans="1:8" x14ac:dyDescent="0.3">
      <c r="A119">
        <v>202607</v>
      </c>
      <c r="B119" t="s">
        <v>37</v>
      </c>
      <c r="C119">
        <v>1768844150</v>
      </c>
      <c r="D119" t="s">
        <v>18</v>
      </c>
      <c r="E119" t="s">
        <v>24</v>
      </c>
      <c r="F119" t="s">
        <v>57</v>
      </c>
      <c r="G119" s="8">
        <v>1.3635999999999999</v>
      </c>
      <c r="H119" s="26">
        <v>1.9</v>
      </c>
    </row>
    <row r="120" spans="1:8" x14ac:dyDescent="0.3">
      <c r="A120">
        <v>202607</v>
      </c>
      <c r="B120" t="s">
        <v>37</v>
      </c>
      <c r="C120">
        <v>1768855447</v>
      </c>
      <c r="D120" t="s">
        <v>23</v>
      </c>
      <c r="E120" t="s">
        <v>19</v>
      </c>
      <c r="F120" t="s">
        <v>125</v>
      </c>
      <c r="G120" s="8">
        <v>4</v>
      </c>
      <c r="H120" s="26">
        <v>1.3</v>
      </c>
    </row>
    <row r="121" spans="1:8" x14ac:dyDescent="0.3">
      <c r="A121">
        <v>202607</v>
      </c>
      <c r="B121" t="s">
        <v>37</v>
      </c>
      <c r="C121">
        <v>1768857547</v>
      </c>
      <c r="D121" t="s">
        <v>18</v>
      </c>
      <c r="E121" t="s">
        <v>24</v>
      </c>
      <c r="F121" t="s">
        <v>45</v>
      </c>
      <c r="G121" s="8">
        <v>0.3402</v>
      </c>
      <c r="H121" s="26">
        <v>5.35</v>
      </c>
    </row>
    <row r="122" spans="1:8" x14ac:dyDescent="0.3">
      <c r="A122">
        <v>202607</v>
      </c>
      <c r="B122" t="s">
        <v>37</v>
      </c>
      <c r="C122">
        <v>1768881464</v>
      </c>
      <c r="D122" t="s">
        <v>18</v>
      </c>
      <c r="E122" t="s">
        <v>24</v>
      </c>
      <c r="F122" t="s">
        <v>45</v>
      </c>
      <c r="G122" s="8">
        <v>6.8000000000000005E-2</v>
      </c>
      <c r="H122" s="26">
        <v>5.45</v>
      </c>
    </row>
    <row r="123" spans="1:8" x14ac:dyDescent="0.3">
      <c r="A123">
        <v>202607</v>
      </c>
      <c r="B123" t="s">
        <v>37</v>
      </c>
      <c r="C123">
        <v>1768900124</v>
      </c>
      <c r="D123" t="s">
        <v>18</v>
      </c>
      <c r="E123" t="s">
        <v>24</v>
      </c>
      <c r="F123" t="s">
        <v>45</v>
      </c>
      <c r="G123" s="8">
        <v>0.23702000000000001</v>
      </c>
      <c r="H123" s="26">
        <v>5.45</v>
      </c>
    </row>
    <row r="124" spans="1:8" x14ac:dyDescent="0.3">
      <c r="A124">
        <v>202607</v>
      </c>
      <c r="B124" t="s">
        <v>37</v>
      </c>
      <c r="C124">
        <v>1768900760</v>
      </c>
      <c r="D124" t="s">
        <v>23</v>
      </c>
      <c r="E124" t="s">
        <v>24</v>
      </c>
      <c r="F124" t="s">
        <v>46</v>
      </c>
      <c r="G124" s="8">
        <v>3.1E-2</v>
      </c>
      <c r="H124" s="26">
        <v>4.3</v>
      </c>
    </row>
    <row r="125" spans="1:8" x14ac:dyDescent="0.3">
      <c r="A125">
        <v>202607</v>
      </c>
      <c r="B125" t="s">
        <v>37</v>
      </c>
      <c r="C125">
        <v>1768900990</v>
      </c>
      <c r="D125" t="s">
        <v>23</v>
      </c>
      <c r="E125" t="s">
        <v>24</v>
      </c>
      <c r="F125" t="s">
        <v>46</v>
      </c>
      <c r="G125" s="8">
        <v>4.2999999999999997E-2</v>
      </c>
      <c r="H125" s="26">
        <v>4.3</v>
      </c>
    </row>
    <row r="126" spans="1:8" x14ac:dyDescent="0.3">
      <c r="A126">
        <v>202607</v>
      </c>
      <c r="B126" t="s">
        <v>37</v>
      </c>
      <c r="C126">
        <v>1768901040</v>
      </c>
      <c r="D126" t="s">
        <v>23</v>
      </c>
      <c r="E126" t="s">
        <v>24</v>
      </c>
      <c r="F126" t="s">
        <v>46</v>
      </c>
      <c r="G126" s="8">
        <v>3.5999999999999997E-2</v>
      </c>
      <c r="H126" s="26">
        <v>4.3</v>
      </c>
    </row>
    <row r="127" spans="1:8" x14ac:dyDescent="0.3">
      <c r="A127">
        <v>202607</v>
      </c>
      <c r="B127" t="s">
        <v>37</v>
      </c>
      <c r="C127">
        <v>1768904928</v>
      </c>
      <c r="D127" t="s">
        <v>18</v>
      </c>
      <c r="E127" t="s">
        <v>24</v>
      </c>
      <c r="F127" t="s">
        <v>45</v>
      </c>
      <c r="G127" s="8">
        <v>0.16930000000000001</v>
      </c>
      <c r="H127" s="26">
        <v>5.45</v>
      </c>
    </row>
    <row r="128" spans="1:8" x14ac:dyDescent="0.3">
      <c r="A128">
        <v>202607</v>
      </c>
      <c r="B128" t="s">
        <v>37</v>
      </c>
      <c r="C128">
        <v>1768915120</v>
      </c>
      <c r="D128" t="s">
        <v>18</v>
      </c>
      <c r="E128" t="s">
        <v>24</v>
      </c>
      <c r="F128" t="s">
        <v>45</v>
      </c>
      <c r="G128" s="8">
        <v>0.27135999999999999</v>
      </c>
      <c r="H128" s="26">
        <v>5.35</v>
      </c>
    </row>
    <row r="129" spans="1:8" x14ac:dyDescent="0.3">
      <c r="A129">
        <v>202607</v>
      </c>
      <c r="B129" t="s">
        <v>37</v>
      </c>
      <c r="C129">
        <v>1768915814</v>
      </c>
      <c r="D129" t="s">
        <v>23</v>
      </c>
      <c r="E129" t="s">
        <v>19</v>
      </c>
      <c r="F129" t="s">
        <v>125</v>
      </c>
      <c r="G129" s="8">
        <v>1</v>
      </c>
      <c r="H129" s="26">
        <v>1.1499999999999999</v>
      </c>
    </row>
    <row r="130" spans="1:8" x14ac:dyDescent="0.3">
      <c r="A130">
        <v>202607</v>
      </c>
      <c r="B130" t="s">
        <v>37</v>
      </c>
      <c r="C130">
        <v>1768916047</v>
      </c>
      <c r="D130" t="s">
        <v>18</v>
      </c>
      <c r="E130" t="s">
        <v>19</v>
      </c>
      <c r="F130" t="s">
        <v>143</v>
      </c>
      <c r="G130" s="8">
        <v>0.59360000000000002</v>
      </c>
      <c r="H130" s="26">
        <v>1.5</v>
      </c>
    </row>
    <row r="131" spans="1:8" x14ac:dyDescent="0.3">
      <c r="A131">
        <v>202607</v>
      </c>
      <c r="B131" t="s">
        <v>37</v>
      </c>
      <c r="C131">
        <v>1768921458</v>
      </c>
      <c r="D131" t="s">
        <v>23</v>
      </c>
      <c r="E131" t="s">
        <v>24</v>
      </c>
      <c r="F131" t="s">
        <v>46</v>
      </c>
      <c r="G131" s="8">
        <v>6.7000000000000004E-2</v>
      </c>
      <c r="H131" s="26">
        <v>4.3</v>
      </c>
    </row>
    <row r="132" spans="1:8" x14ac:dyDescent="0.3">
      <c r="A132">
        <v>202607</v>
      </c>
      <c r="B132" t="s">
        <v>37</v>
      </c>
      <c r="C132">
        <v>1768921555</v>
      </c>
      <c r="D132" t="s">
        <v>23</v>
      </c>
      <c r="E132" t="s">
        <v>24</v>
      </c>
      <c r="F132" t="s">
        <v>46</v>
      </c>
      <c r="G132" s="8">
        <v>0.08</v>
      </c>
      <c r="H132" s="26">
        <v>4.3</v>
      </c>
    </row>
    <row r="133" spans="1:8" x14ac:dyDescent="0.3">
      <c r="A133">
        <v>202607</v>
      </c>
      <c r="B133" t="s">
        <v>37</v>
      </c>
      <c r="C133">
        <v>1768922276</v>
      </c>
      <c r="D133" t="s">
        <v>18</v>
      </c>
      <c r="E133" t="s">
        <v>34</v>
      </c>
      <c r="F133" t="s">
        <v>144</v>
      </c>
      <c r="G133" s="8">
        <v>1.85244309075</v>
      </c>
      <c r="H133" s="26">
        <v>2.35</v>
      </c>
    </row>
    <row r="134" spans="1:8" x14ac:dyDescent="0.3">
      <c r="A134">
        <v>202607</v>
      </c>
      <c r="B134" t="s">
        <v>37</v>
      </c>
      <c r="C134">
        <v>1768923442</v>
      </c>
      <c r="D134" t="s">
        <v>18</v>
      </c>
      <c r="E134" t="s">
        <v>19</v>
      </c>
      <c r="F134" t="s">
        <v>125</v>
      </c>
      <c r="G134" s="8">
        <v>1.7024999999999999</v>
      </c>
      <c r="H134" s="26">
        <v>1.85</v>
      </c>
    </row>
    <row r="135" spans="1:8" x14ac:dyDescent="0.3">
      <c r="A135">
        <v>202607</v>
      </c>
      <c r="B135" t="s">
        <v>37</v>
      </c>
      <c r="C135">
        <v>1768923507</v>
      </c>
      <c r="D135" t="s">
        <v>18</v>
      </c>
      <c r="E135" t="s">
        <v>19</v>
      </c>
      <c r="F135" t="s">
        <v>125</v>
      </c>
      <c r="G135" s="8">
        <v>1.7024999999999999</v>
      </c>
      <c r="H135" s="26">
        <v>1.85</v>
      </c>
    </row>
    <row r="136" spans="1:8" x14ac:dyDescent="0.3">
      <c r="A136">
        <v>202607</v>
      </c>
      <c r="B136" t="s">
        <v>37</v>
      </c>
      <c r="C136">
        <v>1768923922</v>
      </c>
      <c r="D136" t="s">
        <v>23</v>
      </c>
      <c r="E136" t="s">
        <v>19</v>
      </c>
      <c r="F136" t="s">
        <v>125</v>
      </c>
      <c r="G136" s="8">
        <v>1.5</v>
      </c>
      <c r="H136" s="26">
        <v>1.1499999999999999</v>
      </c>
    </row>
    <row r="137" spans="1:8" x14ac:dyDescent="0.3">
      <c r="A137">
        <v>202607</v>
      </c>
      <c r="B137" t="s">
        <v>37</v>
      </c>
      <c r="C137">
        <v>1768924066</v>
      </c>
      <c r="D137" t="s">
        <v>23</v>
      </c>
      <c r="E137" t="s">
        <v>19</v>
      </c>
      <c r="F137" t="s">
        <v>125</v>
      </c>
      <c r="G137" s="8">
        <v>1.5</v>
      </c>
      <c r="H137" s="26">
        <v>1.1499999999999999</v>
      </c>
    </row>
    <row r="138" spans="1:8" x14ac:dyDescent="0.3">
      <c r="A138">
        <v>202607</v>
      </c>
      <c r="B138" t="s">
        <v>37</v>
      </c>
      <c r="C138">
        <v>1768940185</v>
      </c>
      <c r="D138" t="s">
        <v>23</v>
      </c>
      <c r="E138" t="s">
        <v>19</v>
      </c>
      <c r="F138" t="s">
        <v>125</v>
      </c>
      <c r="G138" s="8">
        <v>4.5</v>
      </c>
      <c r="H138" s="26">
        <v>1.1499999999999999</v>
      </c>
    </row>
    <row r="139" spans="1:8" x14ac:dyDescent="0.3">
      <c r="A139">
        <v>202607</v>
      </c>
      <c r="B139" t="s">
        <v>37</v>
      </c>
      <c r="C139">
        <v>1768940428</v>
      </c>
      <c r="D139" t="s">
        <v>23</v>
      </c>
      <c r="E139" t="s">
        <v>19</v>
      </c>
      <c r="F139" t="s">
        <v>125</v>
      </c>
      <c r="G139" s="8">
        <v>4</v>
      </c>
      <c r="H139" s="26">
        <v>1.1499999999999999</v>
      </c>
    </row>
    <row r="140" spans="1:8" x14ac:dyDescent="0.3">
      <c r="A140">
        <v>202607</v>
      </c>
      <c r="B140" t="s">
        <v>37</v>
      </c>
      <c r="C140">
        <v>1768945233</v>
      </c>
      <c r="D140" t="s">
        <v>23</v>
      </c>
      <c r="E140" t="s">
        <v>34</v>
      </c>
      <c r="F140" t="s">
        <v>167</v>
      </c>
      <c r="G140" s="8">
        <v>0.86955268999999991</v>
      </c>
      <c r="H140" s="26">
        <v>0.86</v>
      </c>
    </row>
    <row r="141" spans="1:8" x14ac:dyDescent="0.3">
      <c r="A141">
        <v>202607</v>
      </c>
      <c r="B141" t="s">
        <v>37</v>
      </c>
      <c r="C141">
        <v>1768949352</v>
      </c>
      <c r="D141" t="s">
        <v>18</v>
      </c>
      <c r="E141" t="s">
        <v>24</v>
      </c>
      <c r="F141" t="s">
        <v>45</v>
      </c>
      <c r="G141" s="8">
        <v>0.33979999999999999</v>
      </c>
      <c r="H141" s="26">
        <v>5.35</v>
      </c>
    </row>
    <row r="142" spans="1:8" x14ac:dyDescent="0.3">
      <c r="A142">
        <v>202607</v>
      </c>
      <c r="B142" t="s">
        <v>37</v>
      </c>
      <c r="C142">
        <v>1768950430</v>
      </c>
      <c r="D142" t="s">
        <v>23</v>
      </c>
      <c r="E142" t="s">
        <v>34</v>
      </c>
      <c r="F142" t="s">
        <v>167</v>
      </c>
      <c r="G142" s="8">
        <v>0.19754395999999999</v>
      </c>
      <c r="H142" s="26">
        <v>0.86</v>
      </c>
    </row>
    <row r="143" spans="1:8" x14ac:dyDescent="0.3">
      <c r="A143">
        <v>202607</v>
      </c>
      <c r="B143" t="s">
        <v>37</v>
      </c>
      <c r="C143">
        <v>1768953430</v>
      </c>
      <c r="D143" t="s">
        <v>23</v>
      </c>
      <c r="E143" t="s">
        <v>24</v>
      </c>
      <c r="F143" t="s">
        <v>46</v>
      </c>
      <c r="G143" s="8">
        <v>3.7999999999999999E-2</v>
      </c>
      <c r="H143" s="26">
        <v>4.3</v>
      </c>
    </row>
    <row r="144" spans="1:8" x14ac:dyDescent="0.3">
      <c r="A144">
        <v>202607</v>
      </c>
      <c r="B144" t="s">
        <v>37</v>
      </c>
      <c r="C144">
        <v>1768953457</v>
      </c>
      <c r="D144" t="s">
        <v>23</v>
      </c>
      <c r="E144" t="s">
        <v>24</v>
      </c>
      <c r="F144" t="s">
        <v>46</v>
      </c>
      <c r="G144" s="8">
        <v>5.5E-2</v>
      </c>
      <c r="H144" s="26">
        <v>4.3</v>
      </c>
    </row>
    <row r="145" spans="1:8" x14ac:dyDescent="0.3">
      <c r="A145">
        <v>202607</v>
      </c>
      <c r="B145" t="s">
        <v>37</v>
      </c>
      <c r="C145">
        <v>1768954020</v>
      </c>
      <c r="D145" t="s">
        <v>18</v>
      </c>
      <c r="E145" t="s">
        <v>24</v>
      </c>
      <c r="F145" t="s">
        <v>180</v>
      </c>
      <c r="G145" s="8">
        <v>0.31833359999999999</v>
      </c>
      <c r="H145" s="26">
        <v>2.65</v>
      </c>
    </row>
    <row r="146" spans="1:8" x14ac:dyDescent="0.3">
      <c r="A146">
        <v>202607</v>
      </c>
      <c r="B146" t="s">
        <v>37</v>
      </c>
      <c r="C146">
        <v>1768954097</v>
      </c>
      <c r="D146" t="s">
        <v>18</v>
      </c>
      <c r="E146" t="s">
        <v>19</v>
      </c>
      <c r="F146" t="s">
        <v>180</v>
      </c>
      <c r="G146" s="8">
        <v>0.14624300000000001</v>
      </c>
      <c r="H146" s="26">
        <v>2.65</v>
      </c>
    </row>
    <row r="147" spans="1:8" x14ac:dyDescent="0.3">
      <c r="A147">
        <v>202607</v>
      </c>
      <c r="B147" t="s">
        <v>37</v>
      </c>
      <c r="C147">
        <v>1768954283</v>
      </c>
      <c r="D147" t="s">
        <v>18</v>
      </c>
      <c r="E147" t="s">
        <v>19</v>
      </c>
      <c r="F147" t="s">
        <v>181</v>
      </c>
      <c r="G147" s="8">
        <v>1.7004999999999999</v>
      </c>
      <c r="H147" s="26">
        <v>2.4500000000000002</v>
      </c>
    </row>
    <row r="148" spans="1:8" x14ac:dyDescent="0.3">
      <c r="A148">
        <v>202607</v>
      </c>
      <c r="B148" t="s">
        <v>37</v>
      </c>
      <c r="C148">
        <v>1768957738</v>
      </c>
      <c r="D148" t="s">
        <v>18</v>
      </c>
      <c r="E148" t="s">
        <v>24</v>
      </c>
      <c r="F148" t="s">
        <v>45</v>
      </c>
      <c r="G148" s="8">
        <v>0.27207999999999999</v>
      </c>
      <c r="H148" s="26">
        <v>5.35</v>
      </c>
    </row>
    <row r="149" spans="1:8" x14ac:dyDescent="0.3">
      <c r="A149">
        <v>202607</v>
      </c>
      <c r="B149" t="s">
        <v>37</v>
      </c>
      <c r="C149">
        <v>1768957850</v>
      </c>
      <c r="D149" t="s">
        <v>18</v>
      </c>
      <c r="E149" t="s">
        <v>24</v>
      </c>
      <c r="F149" t="s">
        <v>143</v>
      </c>
      <c r="G149" s="8">
        <v>0.34010000000000001</v>
      </c>
      <c r="H149" s="26">
        <v>1.69</v>
      </c>
    </row>
    <row r="150" spans="1:8" x14ac:dyDescent="0.3">
      <c r="A150">
        <v>202607</v>
      </c>
      <c r="B150" t="s">
        <v>37</v>
      </c>
      <c r="C150">
        <v>1768957894</v>
      </c>
      <c r="D150" t="s">
        <v>18</v>
      </c>
      <c r="E150" t="s">
        <v>24</v>
      </c>
      <c r="F150" t="s">
        <v>143</v>
      </c>
      <c r="G150" s="8">
        <v>1.0203</v>
      </c>
      <c r="H150" s="26">
        <v>1.69</v>
      </c>
    </row>
    <row r="151" spans="1:8" x14ac:dyDescent="0.3">
      <c r="A151">
        <v>202607</v>
      </c>
      <c r="B151" t="s">
        <v>37</v>
      </c>
      <c r="C151">
        <v>1768982643</v>
      </c>
      <c r="D151" t="s">
        <v>18</v>
      </c>
      <c r="E151" t="s">
        <v>24</v>
      </c>
      <c r="F151" t="s">
        <v>182</v>
      </c>
      <c r="G151" s="8">
        <v>0.51961951424999997</v>
      </c>
      <c r="H151" s="26">
        <v>2.5499999999999998</v>
      </c>
    </row>
    <row r="152" spans="1:8" x14ac:dyDescent="0.3">
      <c r="A152">
        <v>202607</v>
      </c>
      <c r="B152" t="s">
        <v>37</v>
      </c>
      <c r="C152">
        <v>1769001514</v>
      </c>
      <c r="D152" t="s">
        <v>18</v>
      </c>
      <c r="E152" t="s">
        <v>19</v>
      </c>
      <c r="F152" t="s">
        <v>183</v>
      </c>
      <c r="G152" s="8">
        <v>0.10215</v>
      </c>
      <c r="H152" s="26">
        <v>6.75</v>
      </c>
    </row>
    <row r="153" spans="1:8" x14ac:dyDescent="0.3">
      <c r="A153">
        <v>202607</v>
      </c>
      <c r="B153" t="s">
        <v>37</v>
      </c>
      <c r="C153">
        <v>1769033114</v>
      </c>
      <c r="D153" t="s">
        <v>18</v>
      </c>
      <c r="E153" t="s">
        <v>19</v>
      </c>
      <c r="F153" t="s">
        <v>199</v>
      </c>
      <c r="G153" s="8">
        <v>0.67920000000000003</v>
      </c>
      <c r="H153" s="26">
        <v>1.5</v>
      </c>
    </row>
    <row r="154" spans="1:8" x14ac:dyDescent="0.3">
      <c r="A154">
        <v>202607</v>
      </c>
      <c r="B154" t="s">
        <v>37</v>
      </c>
      <c r="C154">
        <v>1769033130</v>
      </c>
      <c r="D154" t="s">
        <v>18</v>
      </c>
      <c r="E154" t="s">
        <v>19</v>
      </c>
      <c r="F154" t="s">
        <v>199</v>
      </c>
      <c r="G154" s="8">
        <v>0.67920000000000003</v>
      </c>
      <c r="H154" s="26">
        <v>1.5</v>
      </c>
    </row>
    <row r="155" spans="1:8" x14ac:dyDescent="0.3">
      <c r="A155">
        <v>202607</v>
      </c>
      <c r="B155" t="s">
        <v>145</v>
      </c>
      <c r="C155">
        <v>1768915245</v>
      </c>
      <c r="D155" t="s">
        <v>23</v>
      </c>
      <c r="E155" t="s">
        <v>19</v>
      </c>
      <c r="F155" t="s">
        <v>146</v>
      </c>
      <c r="G155" s="8">
        <v>0.32600000000000001</v>
      </c>
      <c r="H155" s="26">
        <v>2.65</v>
      </c>
    </row>
    <row r="156" spans="1:8" x14ac:dyDescent="0.3">
      <c r="A156">
        <v>202607</v>
      </c>
      <c r="B156" t="s">
        <v>145</v>
      </c>
      <c r="C156">
        <v>1768915695</v>
      </c>
      <c r="D156" t="s">
        <v>18</v>
      </c>
      <c r="E156" t="s">
        <v>19</v>
      </c>
      <c r="F156" t="s">
        <v>147</v>
      </c>
      <c r="G156" s="8">
        <v>16.96</v>
      </c>
      <c r="H156" s="26">
        <v>1</v>
      </c>
    </row>
    <row r="157" spans="1:8" x14ac:dyDescent="0.3">
      <c r="A157">
        <v>202607</v>
      </c>
      <c r="B157" t="s">
        <v>145</v>
      </c>
      <c r="C157">
        <v>1768922896</v>
      </c>
      <c r="D157" t="s">
        <v>18</v>
      </c>
      <c r="E157" t="s">
        <v>19</v>
      </c>
      <c r="F157" t="s">
        <v>148</v>
      </c>
      <c r="G157" s="8">
        <v>6.81</v>
      </c>
      <c r="H157" s="26">
        <v>0.95</v>
      </c>
    </row>
    <row r="158" spans="1:8" x14ac:dyDescent="0.3">
      <c r="A158">
        <v>202607</v>
      </c>
      <c r="B158" t="s">
        <v>32</v>
      </c>
      <c r="C158">
        <v>1768895694</v>
      </c>
      <c r="D158" t="s">
        <v>23</v>
      </c>
      <c r="E158" t="s">
        <v>19</v>
      </c>
      <c r="F158" t="s">
        <v>91</v>
      </c>
      <c r="G158" s="8">
        <v>2</v>
      </c>
      <c r="H158" s="26">
        <v>1</v>
      </c>
    </row>
    <row r="159" spans="1:8" x14ac:dyDescent="0.3">
      <c r="A159">
        <v>202607</v>
      </c>
      <c r="B159" t="s">
        <v>32</v>
      </c>
      <c r="C159">
        <v>1768897425</v>
      </c>
      <c r="D159" t="s">
        <v>18</v>
      </c>
      <c r="E159" t="s">
        <v>24</v>
      </c>
      <c r="F159" t="s">
        <v>76</v>
      </c>
      <c r="G159" s="8">
        <v>1.3568</v>
      </c>
      <c r="H159" s="26">
        <v>2.4300000000000002</v>
      </c>
    </row>
    <row r="160" spans="1:8" x14ac:dyDescent="0.3">
      <c r="A160">
        <v>202607</v>
      </c>
      <c r="B160" t="s">
        <v>32</v>
      </c>
      <c r="C160">
        <v>1768940738</v>
      </c>
      <c r="D160" t="s">
        <v>23</v>
      </c>
      <c r="E160" t="s">
        <v>19</v>
      </c>
      <c r="F160" t="s">
        <v>168</v>
      </c>
      <c r="G160" s="8">
        <v>0.34575</v>
      </c>
      <c r="H160" s="26">
        <v>9.6</v>
      </c>
    </row>
    <row r="161" spans="1:8" x14ac:dyDescent="0.3">
      <c r="A161">
        <v>202607</v>
      </c>
      <c r="B161" t="s">
        <v>32</v>
      </c>
      <c r="C161">
        <v>1768949760</v>
      </c>
      <c r="D161" t="s">
        <v>23</v>
      </c>
      <c r="E161" t="s">
        <v>19</v>
      </c>
      <c r="F161" t="s">
        <v>91</v>
      </c>
      <c r="G161" s="8">
        <v>2.25</v>
      </c>
      <c r="H161" s="26">
        <v>1</v>
      </c>
    </row>
    <row r="162" spans="1:8" x14ac:dyDescent="0.3">
      <c r="A162">
        <v>202607</v>
      </c>
      <c r="B162" t="s">
        <v>32</v>
      </c>
      <c r="C162">
        <v>1768984140</v>
      </c>
      <c r="D162" t="s">
        <v>18</v>
      </c>
      <c r="E162" t="s">
        <v>19</v>
      </c>
      <c r="F162" t="s">
        <v>184</v>
      </c>
      <c r="G162" s="8">
        <v>3.0644999999999998</v>
      </c>
      <c r="H162" s="26">
        <v>2.4</v>
      </c>
    </row>
    <row r="163" spans="1:8" x14ac:dyDescent="0.3">
      <c r="A163">
        <v>202607</v>
      </c>
      <c r="B163" t="s">
        <v>33</v>
      </c>
      <c r="C163">
        <v>1764757459</v>
      </c>
      <c r="D163" t="s">
        <v>18</v>
      </c>
      <c r="E163" t="s">
        <v>24</v>
      </c>
      <c r="F163" t="s">
        <v>81</v>
      </c>
      <c r="G163" s="8">
        <v>6.7960000000000003</v>
      </c>
      <c r="H163" s="26">
        <v>0.4</v>
      </c>
    </row>
    <row r="164" spans="1:8" x14ac:dyDescent="0.3">
      <c r="A164">
        <v>202607</v>
      </c>
      <c r="B164" t="s">
        <v>33</v>
      </c>
      <c r="C164">
        <v>1764764269</v>
      </c>
      <c r="D164" t="s">
        <v>23</v>
      </c>
      <c r="E164" t="s">
        <v>19</v>
      </c>
      <c r="F164" t="s">
        <v>82</v>
      </c>
      <c r="G164" s="8">
        <v>0.35</v>
      </c>
      <c r="H164" s="26">
        <v>1.5</v>
      </c>
    </row>
    <row r="165" spans="1:8" x14ac:dyDescent="0.3">
      <c r="A165">
        <v>202607</v>
      </c>
      <c r="B165" t="s">
        <v>33</v>
      </c>
      <c r="C165">
        <v>1764777379</v>
      </c>
      <c r="D165" t="s">
        <v>18</v>
      </c>
      <c r="E165" t="s">
        <v>19</v>
      </c>
      <c r="F165" t="s">
        <v>78</v>
      </c>
      <c r="G165" s="8">
        <v>0.43584000000000001</v>
      </c>
      <c r="H165" s="26">
        <v>4.95</v>
      </c>
    </row>
    <row r="166" spans="1:8" x14ac:dyDescent="0.3">
      <c r="A166">
        <v>202607</v>
      </c>
      <c r="B166" t="s">
        <v>33</v>
      </c>
      <c r="C166">
        <v>1764780728</v>
      </c>
      <c r="D166" t="s">
        <v>23</v>
      </c>
      <c r="E166" t="s">
        <v>19</v>
      </c>
      <c r="F166" t="s">
        <v>82</v>
      </c>
      <c r="G166" s="8">
        <v>0.35</v>
      </c>
      <c r="H166" s="26">
        <v>1.5</v>
      </c>
    </row>
    <row r="167" spans="1:8" x14ac:dyDescent="0.3">
      <c r="A167">
        <v>202607</v>
      </c>
      <c r="B167" t="s">
        <v>33</v>
      </c>
      <c r="C167">
        <v>1764781430</v>
      </c>
      <c r="D167" t="s">
        <v>23</v>
      </c>
      <c r="E167" t="s">
        <v>19</v>
      </c>
      <c r="F167" t="s">
        <v>80</v>
      </c>
      <c r="G167" s="8">
        <v>0.5</v>
      </c>
      <c r="H167" s="26">
        <v>0.8</v>
      </c>
    </row>
    <row r="168" spans="1:8" x14ac:dyDescent="0.3">
      <c r="A168">
        <v>202607</v>
      </c>
      <c r="B168" t="s">
        <v>33</v>
      </c>
      <c r="C168">
        <v>1768844320</v>
      </c>
      <c r="D168" t="s">
        <v>18</v>
      </c>
      <c r="E168" t="s">
        <v>24</v>
      </c>
      <c r="F168" t="s">
        <v>92</v>
      </c>
      <c r="G168" s="8">
        <v>0.51134999999999997</v>
      </c>
      <c r="H168" s="26">
        <v>3.1</v>
      </c>
    </row>
    <row r="169" spans="1:8" x14ac:dyDescent="0.3">
      <c r="A169">
        <v>202607</v>
      </c>
      <c r="B169" t="s">
        <v>33</v>
      </c>
      <c r="C169">
        <v>1768845557</v>
      </c>
      <c r="D169" t="s">
        <v>18</v>
      </c>
      <c r="E169" t="s">
        <v>19</v>
      </c>
      <c r="F169" t="s">
        <v>79</v>
      </c>
      <c r="G169" s="8">
        <v>0.85224999999999995</v>
      </c>
      <c r="H169" s="26">
        <v>1</v>
      </c>
    </row>
    <row r="170" spans="1:8" x14ac:dyDescent="0.3">
      <c r="A170">
        <v>202607</v>
      </c>
      <c r="B170" t="s">
        <v>33</v>
      </c>
      <c r="C170">
        <v>1768863490</v>
      </c>
      <c r="D170" t="s">
        <v>18</v>
      </c>
      <c r="E170" t="s">
        <v>19</v>
      </c>
      <c r="F170" t="s">
        <v>78</v>
      </c>
      <c r="G170" s="8">
        <v>0.36305100000000001</v>
      </c>
      <c r="H170" s="26">
        <v>3.25</v>
      </c>
    </row>
    <row r="171" spans="1:8" x14ac:dyDescent="0.3">
      <c r="A171">
        <v>202607</v>
      </c>
      <c r="B171" t="s">
        <v>33</v>
      </c>
      <c r="C171">
        <v>1768865639</v>
      </c>
      <c r="D171" t="s">
        <v>18</v>
      </c>
      <c r="E171" t="s">
        <v>19</v>
      </c>
      <c r="F171" t="s">
        <v>78</v>
      </c>
      <c r="G171" s="8">
        <v>0.39019500000000001</v>
      </c>
      <c r="H171" s="26">
        <v>3.25</v>
      </c>
    </row>
    <row r="172" spans="1:8" x14ac:dyDescent="0.3">
      <c r="A172">
        <v>202607</v>
      </c>
      <c r="B172" t="s">
        <v>33</v>
      </c>
      <c r="C172">
        <v>1768891400</v>
      </c>
      <c r="D172" t="s">
        <v>23</v>
      </c>
      <c r="E172" t="s">
        <v>19</v>
      </c>
      <c r="F172" t="s">
        <v>77</v>
      </c>
      <c r="G172" s="8">
        <v>0.255</v>
      </c>
      <c r="H172" s="26">
        <v>3.5</v>
      </c>
    </row>
    <row r="173" spans="1:8" x14ac:dyDescent="0.3">
      <c r="A173">
        <v>202607</v>
      </c>
      <c r="B173" t="s">
        <v>33</v>
      </c>
      <c r="C173">
        <v>1768895783</v>
      </c>
      <c r="D173" t="s">
        <v>23</v>
      </c>
      <c r="E173" t="s">
        <v>19</v>
      </c>
      <c r="F173" t="s">
        <v>80</v>
      </c>
      <c r="G173" s="8">
        <v>0.5</v>
      </c>
      <c r="H173" s="26">
        <v>0.95</v>
      </c>
    </row>
    <row r="174" spans="1:8" x14ac:dyDescent="0.3">
      <c r="A174">
        <v>202607</v>
      </c>
      <c r="B174" t="s">
        <v>33</v>
      </c>
      <c r="C174">
        <v>1768896127</v>
      </c>
      <c r="D174" t="s">
        <v>23</v>
      </c>
      <c r="E174" t="s">
        <v>19</v>
      </c>
      <c r="F174" t="s">
        <v>77</v>
      </c>
      <c r="G174" s="8">
        <v>0.25</v>
      </c>
      <c r="H174" s="26">
        <v>3.5</v>
      </c>
    </row>
    <row r="175" spans="1:8" x14ac:dyDescent="0.3">
      <c r="A175">
        <v>202607</v>
      </c>
      <c r="B175" t="s">
        <v>33</v>
      </c>
      <c r="C175">
        <v>1768896577</v>
      </c>
      <c r="D175" t="s">
        <v>23</v>
      </c>
      <c r="E175" t="s">
        <v>19</v>
      </c>
      <c r="F175" t="s">
        <v>80</v>
      </c>
      <c r="G175" s="8">
        <v>0.5</v>
      </c>
      <c r="H175" s="26">
        <v>0.95</v>
      </c>
    </row>
    <row r="176" spans="1:8" x14ac:dyDescent="0.3">
      <c r="A176">
        <v>202607</v>
      </c>
      <c r="B176" t="s">
        <v>33</v>
      </c>
      <c r="C176">
        <v>1768896704</v>
      </c>
      <c r="D176" t="s">
        <v>23</v>
      </c>
      <c r="E176" t="s">
        <v>19</v>
      </c>
      <c r="F176" t="s">
        <v>77</v>
      </c>
      <c r="G176" s="8">
        <v>0.25</v>
      </c>
      <c r="H176" s="26">
        <v>3.5</v>
      </c>
    </row>
    <row r="177" spans="1:8" x14ac:dyDescent="0.3">
      <c r="A177">
        <v>202607</v>
      </c>
      <c r="B177" t="s">
        <v>33</v>
      </c>
      <c r="C177">
        <v>1768901023</v>
      </c>
      <c r="D177" t="s">
        <v>18</v>
      </c>
      <c r="E177" t="s">
        <v>19</v>
      </c>
      <c r="F177" t="s">
        <v>78</v>
      </c>
      <c r="G177" s="8">
        <v>0.60948000000000002</v>
      </c>
      <c r="H177" s="26">
        <v>3.35</v>
      </c>
    </row>
    <row r="178" spans="1:8" x14ac:dyDescent="0.3">
      <c r="A178">
        <v>202607</v>
      </c>
      <c r="B178" t="s">
        <v>33</v>
      </c>
      <c r="C178">
        <v>1768901155</v>
      </c>
      <c r="D178" t="s">
        <v>23</v>
      </c>
      <c r="E178" t="s">
        <v>19</v>
      </c>
      <c r="F178" t="s">
        <v>77</v>
      </c>
      <c r="G178" s="8">
        <v>0.3</v>
      </c>
      <c r="H178" s="26">
        <v>3.5</v>
      </c>
    </row>
    <row r="179" spans="1:8" x14ac:dyDescent="0.3">
      <c r="A179">
        <v>202607</v>
      </c>
      <c r="B179" t="s">
        <v>33</v>
      </c>
      <c r="C179">
        <v>1768903670</v>
      </c>
      <c r="D179" t="s">
        <v>23</v>
      </c>
      <c r="E179" t="s">
        <v>19</v>
      </c>
      <c r="F179" t="s">
        <v>77</v>
      </c>
      <c r="G179" s="8">
        <v>0.26500000000000001</v>
      </c>
      <c r="H179" s="26">
        <v>3.5</v>
      </c>
    </row>
    <row r="180" spans="1:8" x14ac:dyDescent="0.3">
      <c r="A180">
        <v>202607</v>
      </c>
      <c r="B180" t="s">
        <v>33</v>
      </c>
      <c r="C180">
        <v>1768903719</v>
      </c>
      <c r="D180" t="s">
        <v>23</v>
      </c>
      <c r="E180" t="s">
        <v>19</v>
      </c>
      <c r="F180" t="s">
        <v>77</v>
      </c>
      <c r="G180" s="8">
        <v>0.26500000000000001</v>
      </c>
      <c r="H180" s="26">
        <v>3.5</v>
      </c>
    </row>
    <row r="181" spans="1:8" x14ac:dyDescent="0.3">
      <c r="A181">
        <v>202607</v>
      </c>
      <c r="B181" t="s">
        <v>33</v>
      </c>
      <c r="C181">
        <v>1768905312</v>
      </c>
      <c r="D181" t="s">
        <v>18</v>
      </c>
      <c r="E181" t="s">
        <v>19</v>
      </c>
      <c r="F181" t="s">
        <v>79</v>
      </c>
      <c r="G181" s="8">
        <v>1.0158</v>
      </c>
      <c r="H181" s="26">
        <v>1</v>
      </c>
    </row>
    <row r="182" spans="1:8" x14ac:dyDescent="0.3">
      <c r="A182">
        <v>202607</v>
      </c>
      <c r="B182" t="s">
        <v>33</v>
      </c>
      <c r="C182">
        <v>1768906483</v>
      </c>
      <c r="D182" t="s">
        <v>23</v>
      </c>
      <c r="E182" t="s">
        <v>19</v>
      </c>
      <c r="F182" t="s">
        <v>77</v>
      </c>
      <c r="G182" s="8">
        <v>0.253</v>
      </c>
      <c r="H182" s="26">
        <v>3.5</v>
      </c>
    </row>
    <row r="183" spans="1:8" x14ac:dyDescent="0.3">
      <c r="A183">
        <v>202607</v>
      </c>
      <c r="B183" t="s">
        <v>33</v>
      </c>
      <c r="C183">
        <v>1768915474</v>
      </c>
      <c r="D183" t="s">
        <v>23</v>
      </c>
      <c r="E183" t="s">
        <v>19</v>
      </c>
      <c r="F183" t="s">
        <v>77</v>
      </c>
      <c r="G183" s="8">
        <v>0.27200000000000002</v>
      </c>
      <c r="H183" s="26">
        <v>3.5</v>
      </c>
    </row>
    <row r="184" spans="1:8" x14ac:dyDescent="0.3">
      <c r="A184">
        <v>202607</v>
      </c>
      <c r="B184" t="s">
        <v>33</v>
      </c>
      <c r="C184">
        <v>1768915504</v>
      </c>
      <c r="D184" t="s">
        <v>23</v>
      </c>
      <c r="E184" t="s">
        <v>19</v>
      </c>
      <c r="F184" t="s">
        <v>77</v>
      </c>
      <c r="G184" s="8">
        <v>0.25</v>
      </c>
      <c r="H184" s="26">
        <v>3.5</v>
      </c>
    </row>
    <row r="185" spans="1:8" x14ac:dyDescent="0.3">
      <c r="A185">
        <v>202607</v>
      </c>
      <c r="B185" t="s">
        <v>33</v>
      </c>
      <c r="C185">
        <v>1768915733</v>
      </c>
      <c r="D185" t="s">
        <v>23</v>
      </c>
      <c r="E185" t="s">
        <v>19</v>
      </c>
      <c r="F185" t="s">
        <v>77</v>
      </c>
      <c r="G185" s="8">
        <v>0.25</v>
      </c>
      <c r="H185" s="26">
        <v>3.5</v>
      </c>
    </row>
    <row r="186" spans="1:8" x14ac:dyDescent="0.3">
      <c r="A186">
        <v>202607</v>
      </c>
      <c r="B186" t="s">
        <v>33</v>
      </c>
      <c r="C186">
        <v>1768915849</v>
      </c>
      <c r="D186" t="s">
        <v>23</v>
      </c>
      <c r="E186" t="s">
        <v>19</v>
      </c>
      <c r="F186" t="s">
        <v>77</v>
      </c>
      <c r="G186" s="8">
        <v>0.25</v>
      </c>
      <c r="H186" s="26">
        <v>3.5</v>
      </c>
    </row>
    <row r="187" spans="1:8" x14ac:dyDescent="0.3">
      <c r="A187">
        <v>202607</v>
      </c>
      <c r="B187" t="s">
        <v>33</v>
      </c>
      <c r="C187">
        <v>1768915910</v>
      </c>
      <c r="D187" t="s">
        <v>23</v>
      </c>
      <c r="E187" t="s">
        <v>19</v>
      </c>
      <c r="F187" t="s">
        <v>77</v>
      </c>
      <c r="G187" s="8">
        <v>0.25</v>
      </c>
      <c r="H187" s="26">
        <v>3.5</v>
      </c>
    </row>
    <row r="188" spans="1:8" x14ac:dyDescent="0.3">
      <c r="A188">
        <v>202607</v>
      </c>
      <c r="B188" t="s">
        <v>33</v>
      </c>
      <c r="C188">
        <v>1768924686</v>
      </c>
      <c r="D188" t="s">
        <v>18</v>
      </c>
      <c r="E188" t="s">
        <v>24</v>
      </c>
      <c r="F188" t="s">
        <v>149</v>
      </c>
      <c r="G188" s="8">
        <v>0.350715</v>
      </c>
      <c r="H188" s="26">
        <v>3.25</v>
      </c>
    </row>
    <row r="189" spans="1:8" x14ac:dyDescent="0.3">
      <c r="A189">
        <v>202607</v>
      </c>
      <c r="B189" t="s">
        <v>33</v>
      </c>
      <c r="C189">
        <v>1768924716</v>
      </c>
      <c r="D189" t="s">
        <v>18</v>
      </c>
      <c r="E189" t="s">
        <v>24</v>
      </c>
      <c r="F189" t="s">
        <v>149</v>
      </c>
      <c r="G189" s="8">
        <v>0.40860000000000002</v>
      </c>
      <c r="H189" s="26">
        <v>3.25</v>
      </c>
    </row>
    <row r="190" spans="1:8" x14ac:dyDescent="0.3">
      <c r="A190">
        <v>202607</v>
      </c>
      <c r="B190" t="s">
        <v>33</v>
      </c>
      <c r="C190">
        <v>1768939217</v>
      </c>
      <c r="D190" t="s">
        <v>23</v>
      </c>
      <c r="E190" t="s">
        <v>19</v>
      </c>
      <c r="F190" t="s">
        <v>77</v>
      </c>
      <c r="G190" s="8">
        <v>0.20499999999999999</v>
      </c>
      <c r="H190" s="26">
        <v>3.5</v>
      </c>
    </row>
    <row r="191" spans="1:8" x14ac:dyDescent="0.3">
      <c r="A191">
        <v>202607</v>
      </c>
      <c r="B191" t="s">
        <v>33</v>
      </c>
      <c r="C191">
        <v>1768939330</v>
      </c>
      <c r="D191" t="s">
        <v>23</v>
      </c>
      <c r="E191" t="s">
        <v>19</v>
      </c>
      <c r="F191" t="s">
        <v>77</v>
      </c>
      <c r="G191" s="8">
        <v>0.22</v>
      </c>
      <c r="H191" s="26">
        <v>3.5</v>
      </c>
    </row>
    <row r="192" spans="1:8" x14ac:dyDescent="0.3">
      <c r="A192">
        <v>202607</v>
      </c>
      <c r="B192" t="s">
        <v>33</v>
      </c>
      <c r="C192">
        <v>1768945314</v>
      </c>
      <c r="D192" t="s">
        <v>23</v>
      </c>
      <c r="E192" t="s">
        <v>19</v>
      </c>
      <c r="F192" t="s">
        <v>77</v>
      </c>
      <c r="G192" s="8">
        <v>0.32</v>
      </c>
      <c r="H192" s="26">
        <v>3.5</v>
      </c>
    </row>
    <row r="193" spans="1:8" x14ac:dyDescent="0.3">
      <c r="A193">
        <v>202607</v>
      </c>
      <c r="B193" t="s">
        <v>33</v>
      </c>
      <c r="C193">
        <v>1768954208</v>
      </c>
      <c r="D193" t="s">
        <v>23</v>
      </c>
      <c r="E193" t="s">
        <v>19</v>
      </c>
      <c r="F193" t="s">
        <v>77</v>
      </c>
      <c r="G193" s="8">
        <v>0.14199999999999999</v>
      </c>
      <c r="H193" s="26">
        <v>3.5</v>
      </c>
    </row>
    <row r="194" spans="1:8" x14ac:dyDescent="0.3">
      <c r="A194">
        <v>202607</v>
      </c>
      <c r="B194" t="s">
        <v>33</v>
      </c>
      <c r="C194">
        <v>1768965676</v>
      </c>
      <c r="D194" t="s">
        <v>23</v>
      </c>
      <c r="E194" t="s">
        <v>19</v>
      </c>
      <c r="F194" t="s">
        <v>77</v>
      </c>
      <c r="G194" s="8">
        <v>0.158</v>
      </c>
      <c r="H194" s="26">
        <v>3.5</v>
      </c>
    </row>
    <row r="195" spans="1:8" x14ac:dyDescent="0.3">
      <c r="A195">
        <v>202607</v>
      </c>
      <c r="B195" t="s">
        <v>33</v>
      </c>
      <c r="C195">
        <v>1768965986</v>
      </c>
      <c r="D195" t="s">
        <v>23</v>
      </c>
      <c r="E195" t="s">
        <v>19</v>
      </c>
      <c r="F195" t="s">
        <v>77</v>
      </c>
      <c r="G195" s="8">
        <v>0.25</v>
      </c>
      <c r="H195" s="26">
        <v>3.5</v>
      </c>
    </row>
    <row r="196" spans="1:8" x14ac:dyDescent="0.3">
      <c r="A196">
        <v>202607</v>
      </c>
      <c r="B196" t="s">
        <v>33</v>
      </c>
      <c r="C196">
        <v>1768966125</v>
      </c>
      <c r="D196" t="s">
        <v>23</v>
      </c>
      <c r="E196" t="s">
        <v>19</v>
      </c>
      <c r="F196" t="s">
        <v>77</v>
      </c>
      <c r="G196" s="8">
        <v>0.25</v>
      </c>
      <c r="H196" s="26">
        <v>3.5</v>
      </c>
    </row>
    <row r="197" spans="1:8" x14ac:dyDescent="0.3">
      <c r="A197">
        <v>202607</v>
      </c>
      <c r="B197" t="s">
        <v>33</v>
      </c>
      <c r="C197">
        <v>1768983950</v>
      </c>
      <c r="D197" t="s">
        <v>23</v>
      </c>
      <c r="E197" t="s">
        <v>19</v>
      </c>
      <c r="F197" t="s">
        <v>185</v>
      </c>
      <c r="G197" s="8">
        <v>0.15</v>
      </c>
      <c r="H197" s="26">
        <v>8.58</v>
      </c>
    </row>
    <row r="198" spans="1:8" x14ac:dyDescent="0.3">
      <c r="A198">
        <v>202607</v>
      </c>
      <c r="B198" t="s">
        <v>33</v>
      </c>
      <c r="C198">
        <v>1769022805</v>
      </c>
      <c r="D198" t="s">
        <v>23</v>
      </c>
      <c r="E198" t="s">
        <v>19</v>
      </c>
      <c r="F198" t="s">
        <v>82</v>
      </c>
      <c r="G198" s="8">
        <v>0.3</v>
      </c>
      <c r="H198" s="26">
        <v>1.5</v>
      </c>
    </row>
    <row r="199" spans="1:8" x14ac:dyDescent="0.3">
      <c r="A199">
        <v>202607</v>
      </c>
      <c r="B199" t="s">
        <v>33</v>
      </c>
      <c r="C199">
        <v>1769023267</v>
      </c>
      <c r="D199" t="s">
        <v>23</v>
      </c>
      <c r="E199" t="s">
        <v>19</v>
      </c>
      <c r="F199" t="s">
        <v>82</v>
      </c>
      <c r="G199" s="8">
        <v>0.34</v>
      </c>
      <c r="H199" s="26">
        <v>1.5</v>
      </c>
    </row>
    <row r="200" spans="1:8" x14ac:dyDescent="0.3">
      <c r="A200">
        <v>202607</v>
      </c>
      <c r="B200" t="s">
        <v>33</v>
      </c>
      <c r="C200">
        <v>1769023305</v>
      </c>
      <c r="D200" t="s">
        <v>23</v>
      </c>
      <c r="E200" t="s">
        <v>19</v>
      </c>
      <c r="F200" t="s">
        <v>77</v>
      </c>
      <c r="G200" s="8">
        <v>0.20899999999999999</v>
      </c>
      <c r="H200" s="26">
        <v>3.5</v>
      </c>
    </row>
    <row r="201" spans="1:8" x14ac:dyDescent="0.3">
      <c r="A201">
        <v>202607</v>
      </c>
      <c r="B201" t="s">
        <v>33</v>
      </c>
      <c r="C201">
        <v>1769023429</v>
      </c>
      <c r="D201" t="s">
        <v>23</v>
      </c>
      <c r="E201" t="s">
        <v>19</v>
      </c>
      <c r="F201" t="s">
        <v>77</v>
      </c>
      <c r="G201" s="8">
        <v>0.2</v>
      </c>
      <c r="H201" s="26">
        <v>3.5</v>
      </c>
    </row>
    <row r="202" spans="1:8" x14ac:dyDescent="0.3">
      <c r="A202">
        <v>202607</v>
      </c>
      <c r="B202" t="s">
        <v>33</v>
      </c>
      <c r="C202">
        <v>1769023550</v>
      </c>
      <c r="D202" t="s">
        <v>18</v>
      </c>
      <c r="E202" t="s">
        <v>24</v>
      </c>
      <c r="F202" t="s">
        <v>149</v>
      </c>
      <c r="G202" s="8">
        <v>0.40704000000000001</v>
      </c>
      <c r="H202" s="26">
        <v>3.25</v>
      </c>
    </row>
    <row r="203" spans="1:8" x14ac:dyDescent="0.3">
      <c r="A203">
        <v>202607</v>
      </c>
      <c r="B203" t="s">
        <v>33</v>
      </c>
      <c r="C203">
        <v>1769027033</v>
      </c>
      <c r="D203" t="s">
        <v>23</v>
      </c>
      <c r="E203" t="s">
        <v>19</v>
      </c>
      <c r="F203" t="s">
        <v>77</v>
      </c>
      <c r="G203" s="8">
        <v>0.3</v>
      </c>
      <c r="H203" s="26">
        <v>3.5</v>
      </c>
    </row>
    <row r="204" spans="1:8" x14ac:dyDescent="0.3">
      <c r="A204">
        <v>202607</v>
      </c>
      <c r="B204" t="s">
        <v>33</v>
      </c>
      <c r="C204">
        <v>1769027106</v>
      </c>
      <c r="D204" t="s">
        <v>23</v>
      </c>
      <c r="E204" t="s">
        <v>19</v>
      </c>
      <c r="F204" t="s">
        <v>77</v>
      </c>
      <c r="G204" s="8">
        <v>0.23799999999999999</v>
      </c>
      <c r="H204" s="26">
        <v>3.5</v>
      </c>
    </row>
    <row r="205" spans="1:8" x14ac:dyDescent="0.3">
      <c r="A205">
        <v>202607</v>
      </c>
      <c r="B205" t="s">
        <v>107</v>
      </c>
      <c r="C205">
        <v>1764759907</v>
      </c>
      <c r="D205" t="s">
        <v>18</v>
      </c>
      <c r="E205" t="s">
        <v>24</v>
      </c>
      <c r="F205" t="s">
        <v>106</v>
      </c>
      <c r="G205" s="8">
        <v>0.28762371000000003</v>
      </c>
      <c r="H205" s="26">
        <v>0.55000000000000004</v>
      </c>
    </row>
    <row r="206" spans="1:8" x14ac:dyDescent="0.3">
      <c r="A206">
        <v>202607</v>
      </c>
      <c r="B206" t="s">
        <v>107</v>
      </c>
      <c r="C206">
        <v>1768838720</v>
      </c>
      <c r="D206" t="s">
        <v>18</v>
      </c>
      <c r="E206" t="s">
        <v>24</v>
      </c>
      <c r="F206" t="s">
        <v>89</v>
      </c>
      <c r="G206" s="8">
        <v>1.3620000000000001</v>
      </c>
      <c r="H206" s="26">
        <v>0.95</v>
      </c>
    </row>
    <row r="207" spans="1:8" x14ac:dyDescent="0.3">
      <c r="A207">
        <v>202607</v>
      </c>
      <c r="B207" t="s">
        <v>107</v>
      </c>
      <c r="C207">
        <v>1768844534</v>
      </c>
      <c r="D207" t="s">
        <v>18</v>
      </c>
      <c r="E207" t="s">
        <v>19</v>
      </c>
      <c r="F207" t="s">
        <v>66</v>
      </c>
      <c r="G207" s="8">
        <v>0.85224999999999995</v>
      </c>
      <c r="H207" s="26">
        <v>0.35</v>
      </c>
    </row>
    <row r="208" spans="1:8" x14ac:dyDescent="0.3">
      <c r="A208">
        <v>202607</v>
      </c>
      <c r="B208" t="s">
        <v>107</v>
      </c>
      <c r="C208">
        <v>1768845468</v>
      </c>
      <c r="D208" t="s">
        <v>18</v>
      </c>
      <c r="E208" t="s">
        <v>24</v>
      </c>
      <c r="F208" t="s">
        <v>89</v>
      </c>
      <c r="G208" s="8">
        <v>1.5340499999999999</v>
      </c>
      <c r="H208" s="26">
        <v>0.95</v>
      </c>
    </row>
    <row r="209" spans="1:8" x14ac:dyDescent="0.3">
      <c r="A209">
        <v>202607</v>
      </c>
      <c r="B209" t="s">
        <v>107</v>
      </c>
      <c r="C209">
        <v>1768868727</v>
      </c>
      <c r="D209" t="s">
        <v>18</v>
      </c>
      <c r="E209" t="s">
        <v>24</v>
      </c>
      <c r="F209" t="s">
        <v>102</v>
      </c>
      <c r="G209" s="8">
        <v>0.33929999999999999</v>
      </c>
      <c r="H209" s="26">
        <v>3.35</v>
      </c>
    </row>
    <row r="210" spans="1:8" x14ac:dyDescent="0.3">
      <c r="A210">
        <v>202607</v>
      </c>
      <c r="B210" t="s">
        <v>107</v>
      </c>
      <c r="C210">
        <v>1768870004</v>
      </c>
      <c r="D210" t="s">
        <v>18</v>
      </c>
      <c r="E210" t="s">
        <v>24</v>
      </c>
      <c r="F210" t="s">
        <v>67</v>
      </c>
      <c r="G210" s="8">
        <v>1.0179</v>
      </c>
      <c r="H210" s="26">
        <v>5.14</v>
      </c>
    </row>
    <row r="211" spans="1:8" x14ac:dyDescent="0.3">
      <c r="A211">
        <v>202607</v>
      </c>
      <c r="B211" t="s">
        <v>107</v>
      </c>
      <c r="C211">
        <v>1768895899</v>
      </c>
      <c r="D211" t="s">
        <v>18</v>
      </c>
      <c r="E211" t="s">
        <v>24</v>
      </c>
      <c r="F211" t="s">
        <v>64</v>
      </c>
      <c r="G211" s="8">
        <v>0.3392</v>
      </c>
      <c r="H211" s="26">
        <v>1.3</v>
      </c>
    </row>
    <row r="212" spans="1:8" x14ac:dyDescent="0.3">
      <c r="A212">
        <v>202607</v>
      </c>
      <c r="B212" t="s">
        <v>107</v>
      </c>
      <c r="C212">
        <v>1768896046</v>
      </c>
      <c r="D212" t="s">
        <v>18</v>
      </c>
      <c r="E212" t="s">
        <v>24</v>
      </c>
      <c r="F212" t="s">
        <v>64</v>
      </c>
      <c r="G212" s="8">
        <v>0.6784</v>
      </c>
      <c r="H212" s="26">
        <v>1.3</v>
      </c>
    </row>
    <row r="213" spans="1:8" x14ac:dyDescent="0.3">
      <c r="A213">
        <v>202607</v>
      </c>
      <c r="B213" t="s">
        <v>107</v>
      </c>
      <c r="C213">
        <v>1768907234</v>
      </c>
      <c r="D213" t="s">
        <v>18</v>
      </c>
      <c r="E213" t="s">
        <v>24</v>
      </c>
      <c r="F213" t="s">
        <v>89</v>
      </c>
      <c r="G213" s="8">
        <v>1.3916459999999999</v>
      </c>
      <c r="H213" s="26">
        <v>0.95</v>
      </c>
    </row>
    <row r="214" spans="1:8" x14ac:dyDescent="0.3">
      <c r="A214">
        <v>202607</v>
      </c>
      <c r="B214" t="s">
        <v>107</v>
      </c>
      <c r="C214">
        <v>1768933790</v>
      </c>
      <c r="D214" t="s">
        <v>18</v>
      </c>
      <c r="E214" t="s">
        <v>24</v>
      </c>
      <c r="F214" t="s">
        <v>106</v>
      </c>
      <c r="G214" s="8">
        <v>0.22871563</v>
      </c>
      <c r="H214" s="26">
        <v>0.6</v>
      </c>
    </row>
    <row r="215" spans="1:8" x14ac:dyDescent="0.3">
      <c r="A215">
        <v>202607</v>
      </c>
      <c r="B215" t="s">
        <v>107</v>
      </c>
      <c r="C215">
        <v>1768939560</v>
      </c>
      <c r="D215" t="s">
        <v>23</v>
      </c>
      <c r="E215" t="s">
        <v>24</v>
      </c>
      <c r="F215" t="s">
        <v>169</v>
      </c>
      <c r="G215" s="8">
        <v>1</v>
      </c>
      <c r="H215" s="26">
        <v>1.2</v>
      </c>
    </row>
    <row r="216" spans="1:8" x14ac:dyDescent="0.3">
      <c r="A216">
        <v>202607</v>
      </c>
      <c r="B216" t="s">
        <v>107</v>
      </c>
      <c r="C216">
        <v>1768941718</v>
      </c>
      <c r="D216" t="s">
        <v>18</v>
      </c>
      <c r="E216" t="s">
        <v>24</v>
      </c>
      <c r="F216" t="s">
        <v>67</v>
      </c>
      <c r="G216" s="8">
        <v>0.13611999999999999</v>
      </c>
      <c r="H216" s="26">
        <v>5.14</v>
      </c>
    </row>
    <row r="217" spans="1:8" x14ac:dyDescent="0.3">
      <c r="A217">
        <v>202607</v>
      </c>
      <c r="B217" t="s">
        <v>107</v>
      </c>
      <c r="C217">
        <v>1768956812</v>
      </c>
      <c r="D217" t="s">
        <v>18</v>
      </c>
      <c r="E217" t="s">
        <v>24</v>
      </c>
      <c r="F217" t="s">
        <v>106</v>
      </c>
      <c r="G217" s="8">
        <v>0.84344799999999998</v>
      </c>
      <c r="H217" s="26">
        <v>0.6</v>
      </c>
    </row>
    <row r="218" spans="1:8" x14ac:dyDescent="0.3">
      <c r="A218">
        <v>202607</v>
      </c>
      <c r="B218" t="s">
        <v>107</v>
      </c>
      <c r="C218">
        <v>1768969124</v>
      </c>
      <c r="D218" t="s">
        <v>18</v>
      </c>
      <c r="E218" t="s">
        <v>24</v>
      </c>
      <c r="F218" t="s">
        <v>66</v>
      </c>
      <c r="G218" s="8">
        <v>1.0609950376500001</v>
      </c>
      <c r="H218" s="26">
        <v>0.35</v>
      </c>
    </row>
    <row r="219" spans="1:8" x14ac:dyDescent="0.3">
      <c r="A219">
        <v>202607</v>
      </c>
      <c r="B219" t="s">
        <v>107</v>
      </c>
      <c r="C219">
        <v>1768984450</v>
      </c>
      <c r="D219" t="s">
        <v>18</v>
      </c>
      <c r="E219" t="s">
        <v>24</v>
      </c>
      <c r="F219" t="s">
        <v>89</v>
      </c>
      <c r="G219" s="8">
        <v>1.4947950000000001</v>
      </c>
      <c r="H219" s="26">
        <v>0.95</v>
      </c>
    </row>
    <row r="220" spans="1:8" x14ac:dyDescent="0.3">
      <c r="A220">
        <v>202607</v>
      </c>
      <c r="B220" t="s">
        <v>107</v>
      </c>
      <c r="C220">
        <v>1769001166</v>
      </c>
      <c r="D220" t="s">
        <v>18</v>
      </c>
      <c r="E220" t="s">
        <v>19</v>
      </c>
      <c r="F220" t="s">
        <v>186</v>
      </c>
      <c r="G220" s="8">
        <v>3.4049999999999998</v>
      </c>
      <c r="H220" s="26">
        <v>1.85</v>
      </c>
    </row>
    <row r="221" spans="1:8" x14ac:dyDescent="0.3">
      <c r="A221">
        <v>202607</v>
      </c>
      <c r="B221" t="s">
        <v>107</v>
      </c>
      <c r="C221">
        <v>1769049185</v>
      </c>
      <c r="D221" t="s">
        <v>18</v>
      </c>
      <c r="E221" t="s">
        <v>24</v>
      </c>
      <c r="F221" t="s">
        <v>200</v>
      </c>
      <c r="G221" s="8">
        <v>0.64524000000000004</v>
      </c>
      <c r="H221" s="26">
        <v>5.35</v>
      </c>
    </row>
    <row r="222" spans="1:8" x14ac:dyDescent="0.3">
      <c r="A222">
        <v>202607</v>
      </c>
      <c r="B222" t="s">
        <v>41</v>
      </c>
      <c r="C222">
        <v>1764761472</v>
      </c>
      <c r="D222" t="s">
        <v>23</v>
      </c>
      <c r="E222" t="s">
        <v>19</v>
      </c>
      <c r="F222" t="s">
        <v>126</v>
      </c>
      <c r="G222" s="8">
        <v>0.7</v>
      </c>
      <c r="H222" s="26">
        <v>0.4</v>
      </c>
    </row>
    <row r="223" spans="1:8" x14ac:dyDescent="0.3">
      <c r="A223">
        <v>202607</v>
      </c>
      <c r="B223" t="s">
        <v>41</v>
      </c>
      <c r="C223">
        <v>1764761529</v>
      </c>
      <c r="D223" t="s">
        <v>23</v>
      </c>
      <c r="E223" t="s">
        <v>19</v>
      </c>
      <c r="F223" t="s">
        <v>126</v>
      </c>
      <c r="G223" s="8">
        <v>1</v>
      </c>
      <c r="H223" s="26">
        <v>0.4</v>
      </c>
    </row>
    <row r="224" spans="1:8" x14ac:dyDescent="0.3">
      <c r="A224">
        <v>202607</v>
      </c>
      <c r="B224" t="s">
        <v>41</v>
      </c>
      <c r="C224">
        <v>1764761553</v>
      </c>
      <c r="D224" t="s">
        <v>23</v>
      </c>
      <c r="E224" t="s">
        <v>19</v>
      </c>
      <c r="F224" t="s">
        <v>126</v>
      </c>
      <c r="G224" s="8">
        <v>1</v>
      </c>
      <c r="H224" s="26">
        <v>0.4</v>
      </c>
    </row>
    <row r="225" spans="1:8" x14ac:dyDescent="0.3">
      <c r="A225">
        <v>202607</v>
      </c>
      <c r="B225" t="s">
        <v>41</v>
      </c>
      <c r="C225">
        <v>1768835349</v>
      </c>
      <c r="D225" t="s">
        <v>23</v>
      </c>
      <c r="E225" t="s">
        <v>19</v>
      </c>
      <c r="F225" t="s">
        <v>126</v>
      </c>
      <c r="G225" s="8">
        <v>1</v>
      </c>
      <c r="H225" s="26">
        <v>0.4</v>
      </c>
    </row>
    <row r="226" spans="1:8" x14ac:dyDescent="0.3">
      <c r="A226">
        <v>202607</v>
      </c>
      <c r="B226" t="s">
        <v>41</v>
      </c>
      <c r="C226">
        <v>1768835489</v>
      </c>
      <c r="D226" t="s">
        <v>23</v>
      </c>
      <c r="E226" t="s">
        <v>19</v>
      </c>
      <c r="F226" t="s">
        <v>126</v>
      </c>
      <c r="G226" s="8">
        <v>1</v>
      </c>
      <c r="H226" s="26">
        <v>0.4</v>
      </c>
    </row>
    <row r="227" spans="1:8" x14ac:dyDescent="0.3">
      <c r="A227">
        <v>202607</v>
      </c>
      <c r="B227" t="s">
        <v>41</v>
      </c>
      <c r="C227">
        <v>1768838062</v>
      </c>
      <c r="D227" t="s">
        <v>23</v>
      </c>
      <c r="E227" t="s">
        <v>19</v>
      </c>
      <c r="F227" t="s">
        <v>126</v>
      </c>
      <c r="G227" s="8">
        <v>0.3</v>
      </c>
      <c r="H227" s="26">
        <v>0.4</v>
      </c>
    </row>
    <row r="228" spans="1:8" x14ac:dyDescent="0.3">
      <c r="A228">
        <v>202607</v>
      </c>
      <c r="B228" t="s">
        <v>41</v>
      </c>
      <c r="C228">
        <v>1768838097</v>
      </c>
      <c r="D228" t="s">
        <v>23</v>
      </c>
      <c r="E228" t="s">
        <v>19</v>
      </c>
      <c r="F228" t="s">
        <v>126</v>
      </c>
      <c r="G228" s="8">
        <v>1</v>
      </c>
      <c r="H228" s="26">
        <v>0.4</v>
      </c>
    </row>
    <row r="229" spans="1:8" x14ac:dyDescent="0.3">
      <c r="A229">
        <v>202607</v>
      </c>
      <c r="B229" t="s">
        <v>41</v>
      </c>
      <c r="C229">
        <v>1768839557</v>
      </c>
      <c r="D229" t="s">
        <v>18</v>
      </c>
      <c r="E229" t="s">
        <v>48</v>
      </c>
      <c r="F229" t="s">
        <v>108</v>
      </c>
      <c r="G229" s="8">
        <v>1.7453757599999999</v>
      </c>
      <c r="H229" s="26">
        <v>1.3</v>
      </c>
    </row>
    <row r="230" spans="1:8" x14ac:dyDescent="0.3">
      <c r="A230">
        <v>202607</v>
      </c>
      <c r="B230" t="s">
        <v>27</v>
      </c>
      <c r="C230">
        <v>1764739124</v>
      </c>
      <c r="D230" t="s">
        <v>23</v>
      </c>
      <c r="E230" t="s">
        <v>19</v>
      </c>
      <c r="F230" t="s">
        <v>127</v>
      </c>
      <c r="G230" s="8">
        <v>2.000915E-2</v>
      </c>
      <c r="H230" s="26">
        <v>0</v>
      </c>
    </row>
    <row r="231" spans="1:8" x14ac:dyDescent="0.3">
      <c r="A231">
        <v>202607</v>
      </c>
      <c r="B231" t="s">
        <v>27</v>
      </c>
      <c r="C231">
        <v>1768831610</v>
      </c>
      <c r="D231" t="s">
        <v>23</v>
      </c>
      <c r="E231" t="s">
        <v>19</v>
      </c>
      <c r="F231" t="s">
        <v>128</v>
      </c>
      <c r="G231" s="8">
        <v>7.2</v>
      </c>
      <c r="H231" s="26">
        <v>0.3</v>
      </c>
    </row>
    <row r="232" spans="1:8" x14ac:dyDescent="0.3">
      <c r="A232">
        <v>202607</v>
      </c>
      <c r="B232" t="s">
        <v>27</v>
      </c>
      <c r="C232">
        <v>1768855749</v>
      </c>
      <c r="D232" t="s">
        <v>18</v>
      </c>
      <c r="E232" t="s">
        <v>24</v>
      </c>
      <c r="F232" t="s">
        <v>93</v>
      </c>
      <c r="G232" s="8">
        <v>2.206778742</v>
      </c>
      <c r="H232" s="26">
        <v>0.3</v>
      </c>
    </row>
    <row r="233" spans="1:8" x14ac:dyDescent="0.3">
      <c r="A233">
        <v>202607</v>
      </c>
      <c r="B233" t="s">
        <v>27</v>
      </c>
      <c r="C233">
        <v>1768880387</v>
      </c>
      <c r="D233" t="s">
        <v>23</v>
      </c>
      <c r="E233" t="s">
        <v>19</v>
      </c>
      <c r="F233" t="s">
        <v>83</v>
      </c>
      <c r="G233" s="8">
        <v>2.5</v>
      </c>
      <c r="H233" s="26">
        <v>4.1500000000000004</v>
      </c>
    </row>
    <row r="234" spans="1:8" x14ac:dyDescent="0.3">
      <c r="A234">
        <v>202607</v>
      </c>
      <c r="B234" t="s">
        <v>27</v>
      </c>
      <c r="C234">
        <v>1768882010</v>
      </c>
      <c r="D234" t="s">
        <v>23</v>
      </c>
      <c r="E234" t="s">
        <v>19</v>
      </c>
      <c r="F234" t="s">
        <v>128</v>
      </c>
      <c r="G234" s="8">
        <v>9.4</v>
      </c>
      <c r="H234" s="26">
        <v>0.35</v>
      </c>
    </row>
    <row r="235" spans="1:8" x14ac:dyDescent="0.3">
      <c r="A235">
        <v>202607</v>
      </c>
      <c r="B235" t="s">
        <v>27</v>
      </c>
      <c r="C235">
        <v>1768898677</v>
      </c>
      <c r="D235" t="s">
        <v>18</v>
      </c>
      <c r="E235" t="s">
        <v>48</v>
      </c>
      <c r="F235" t="s">
        <v>84</v>
      </c>
      <c r="G235" s="8">
        <v>1.6252800000000001</v>
      </c>
      <c r="H235" s="26">
        <v>0.9</v>
      </c>
    </row>
    <row r="236" spans="1:8" x14ac:dyDescent="0.3">
      <c r="A236">
        <v>202607</v>
      </c>
      <c r="B236" t="s">
        <v>27</v>
      </c>
      <c r="C236">
        <v>1768903336</v>
      </c>
      <c r="D236" t="s">
        <v>18</v>
      </c>
      <c r="E236" t="s">
        <v>48</v>
      </c>
      <c r="F236" t="s">
        <v>85</v>
      </c>
      <c r="G236" s="8">
        <v>16.93</v>
      </c>
      <c r="H236" s="26">
        <v>1.05</v>
      </c>
    </row>
    <row r="237" spans="1:8" x14ac:dyDescent="0.3">
      <c r="A237">
        <v>202607</v>
      </c>
      <c r="B237" t="s">
        <v>27</v>
      </c>
      <c r="C237">
        <v>1768921105</v>
      </c>
      <c r="D237" t="s">
        <v>18</v>
      </c>
      <c r="E237" t="s">
        <v>24</v>
      </c>
      <c r="F237" t="s">
        <v>150</v>
      </c>
      <c r="G237" s="8">
        <v>1.3620000000000001</v>
      </c>
      <c r="H237" s="26">
        <v>1.75</v>
      </c>
    </row>
    <row r="238" spans="1:8" x14ac:dyDescent="0.3">
      <c r="A238">
        <v>202607</v>
      </c>
      <c r="B238" t="s">
        <v>27</v>
      </c>
      <c r="C238">
        <v>1768922314</v>
      </c>
      <c r="D238" t="s">
        <v>18</v>
      </c>
      <c r="E238" t="s">
        <v>24</v>
      </c>
      <c r="F238" t="s">
        <v>151</v>
      </c>
      <c r="G238" s="8">
        <v>5.3560650000000001</v>
      </c>
      <c r="H238" s="26">
        <v>0.5</v>
      </c>
    </row>
    <row r="239" spans="1:8" x14ac:dyDescent="0.3">
      <c r="A239">
        <v>202607</v>
      </c>
      <c r="B239" t="s">
        <v>27</v>
      </c>
      <c r="C239">
        <v>1768926182</v>
      </c>
      <c r="D239" t="s">
        <v>23</v>
      </c>
      <c r="E239" t="s">
        <v>34</v>
      </c>
      <c r="F239" t="s">
        <v>152</v>
      </c>
      <c r="G239" s="8">
        <v>7.0987449999999994E-2</v>
      </c>
      <c r="H239" s="26">
        <v>3</v>
      </c>
    </row>
    <row r="240" spans="1:8" x14ac:dyDescent="0.3">
      <c r="A240">
        <v>202607</v>
      </c>
      <c r="B240" t="s">
        <v>27</v>
      </c>
      <c r="C240">
        <v>1768934002</v>
      </c>
      <c r="D240" t="s">
        <v>23</v>
      </c>
      <c r="E240" t="s">
        <v>34</v>
      </c>
      <c r="F240" t="s">
        <v>152</v>
      </c>
      <c r="G240" s="8">
        <v>0.13291454999999999</v>
      </c>
      <c r="H240" s="26">
        <v>3.1</v>
      </c>
    </row>
    <row r="241" spans="1:8" x14ac:dyDescent="0.3">
      <c r="A241">
        <v>202607</v>
      </c>
      <c r="B241" t="s">
        <v>27</v>
      </c>
      <c r="C241">
        <v>1768944792</v>
      </c>
      <c r="D241" t="s">
        <v>23</v>
      </c>
      <c r="E241" t="s">
        <v>24</v>
      </c>
      <c r="F241" t="s">
        <v>152</v>
      </c>
      <c r="G241" s="8">
        <v>3.4</v>
      </c>
      <c r="H241" s="26">
        <v>3.05</v>
      </c>
    </row>
    <row r="242" spans="1:8" x14ac:dyDescent="0.3">
      <c r="A242">
        <v>202607</v>
      </c>
      <c r="B242" t="s">
        <v>27</v>
      </c>
      <c r="C242">
        <v>1768945276</v>
      </c>
      <c r="D242" t="s">
        <v>23</v>
      </c>
      <c r="E242" t="s">
        <v>19</v>
      </c>
      <c r="F242" t="s">
        <v>170</v>
      </c>
      <c r="G242" s="8">
        <v>3.38</v>
      </c>
      <c r="H242" s="26">
        <v>3.5</v>
      </c>
    </row>
    <row r="243" spans="1:8" x14ac:dyDescent="0.3">
      <c r="A243">
        <v>202607</v>
      </c>
      <c r="B243" t="s">
        <v>27</v>
      </c>
      <c r="C243">
        <v>1768957843</v>
      </c>
      <c r="D243" t="s">
        <v>18</v>
      </c>
      <c r="E243" t="s">
        <v>24</v>
      </c>
      <c r="F243" t="s">
        <v>187</v>
      </c>
      <c r="G243" s="8">
        <v>10.202999999999999</v>
      </c>
      <c r="H243" s="26">
        <v>0.7</v>
      </c>
    </row>
    <row r="244" spans="1:8" x14ac:dyDescent="0.3">
      <c r="A244">
        <v>202607</v>
      </c>
      <c r="B244" t="s">
        <v>114</v>
      </c>
      <c r="C244">
        <v>1764752333</v>
      </c>
      <c r="D244" t="s">
        <v>23</v>
      </c>
      <c r="E244" t="s">
        <v>34</v>
      </c>
      <c r="F244" t="s">
        <v>70</v>
      </c>
      <c r="G244" s="8">
        <v>0.28499999999999998</v>
      </c>
      <c r="H244" s="26">
        <v>10.08</v>
      </c>
    </row>
    <row r="245" spans="1:8" x14ac:dyDescent="0.3">
      <c r="A245">
        <v>202607</v>
      </c>
      <c r="B245" t="s">
        <v>114</v>
      </c>
      <c r="C245">
        <v>1768883106</v>
      </c>
      <c r="D245" t="s">
        <v>18</v>
      </c>
      <c r="E245" t="s">
        <v>24</v>
      </c>
      <c r="F245" t="s">
        <v>129</v>
      </c>
      <c r="G245" s="8">
        <v>1.36</v>
      </c>
      <c r="H245" s="26">
        <v>1.08</v>
      </c>
    </row>
    <row r="246" spans="1:8" x14ac:dyDescent="0.3">
      <c r="A246">
        <v>202607</v>
      </c>
      <c r="B246" t="s">
        <v>114</v>
      </c>
      <c r="C246">
        <v>1768905230</v>
      </c>
      <c r="D246" t="s">
        <v>18</v>
      </c>
      <c r="E246" t="s">
        <v>19</v>
      </c>
      <c r="F246" t="s">
        <v>130</v>
      </c>
      <c r="G246" s="8">
        <v>0.16930000000000001</v>
      </c>
      <c r="H246" s="26">
        <v>2.25</v>
      </c>
    </row>
    <row r="247" spans="1:8" x14ac:dyDescent="0.3">
      <c r="A247">
        <v>202607</v>
      </c>
      <c r="B247" t="s">
        <v>114</v>
      </c>
      <c r="C247">
        <v>1768959129</v>
      </c>
      <c r="D247" t="s">
        <v>23</v>
      </c>
      <c r="E247" t="s">
        <v>34</v>
      </c>
      <c r="F247" t="s">
        <v>188</v>
      </c>
      <c r="G247" s="8">
        <v>0.24660715</v>
      </c>
      <c r="H247" s="26">
        <v>3.21</v>
      </c>
    </row>
    <row r="248" spans="1:8" x14ac:dyDescent="0.3">
      <c r="A248">
        <v>202607</v>
      </c>
      <c r="B248" t="s">
        <v>114</v>
      </c>
      <c r="C248">
        <v>1769001557</v>
      </c>
      <c r="D248" t="s">
        <v>23</v>
      </c>
      <c r="E248" t="s">
        <v>34</v>
      </c>
      <c r="F248" t="s">
        <v>188</v>
      </c>
      <c r="G248" s="8">
        <v>0.15382208</v>
      </c>
      <c r="H248" s="26">
        <v>4.5</v>
      </c>
    </row>
    <row r="249" spans="1:8" x14ac:dyDescent="0.3">
      <c r="A249">
        <v>202607</v>
      </c>
      <c r="B249" t="s">
        <v>114</v>
      </c>
      <c r="C249">
        <v>1769029028</v>
      </c>
      <c r="D249" t="s">
        <v>23</v>
      </c>
      <c r="E249" t="s">
        <v>34</v>
      </c>
      <c r="F249" t="s">
        <v>70</v>
      </c>
      <c r="G249" s="8">
        <v>0.15001402</v>
      </c>
      <c r="H249" s="26">
        <v>10.18</v>
      </c>
    </row>
    <row r="250" spans="1:8" x14ac:dyDescent="0.3">
      <c r="A250">
        <v>202607</v>
      </c>
      <c r="B250" t="s">
        <v>114</v>
      </c>
      <c r="C250">
        <v>1769041516</v>
      </c>
      <c r="D250" t="s">
        <v>23</v>
      </c>
      <c r="E250" t="s">
        <v>34</v>
      </c>
      <c r="F250" t="s">
        <v>70</v>
      </c>
      <c r="G250" s="8">
        <v>0.32000354999999997</v>
      </c>
      <c r="H250" s="26">
        <v>10.23</v>
      </c>
    </row>
    <row r="251" spans="1:8" x14ac:dyDescent="0.3">
      <c r="A251">
        <v>202607</v>
      </c>
      <c r="B251" t="s">
        <v>56</v>
      </c>
      <c r="C251">
        <v>1764761286</v>
      </c>
      <c r="D251" t="s">
        <v>23</v>
      </c>
      <c r="E251" t="s">
        <v>19</v>
      </c>
      <c r="F251" t="s">
        <v>86</v>
      </c>
      <c r="G251" s="8">
        <v>1.7</v>
      </c>
      <c r="H251" s="26">
        <v>0.9</v>
      </c>
    </row>
    <row r="252" spans="1:8" x14ac:dyDescent="0.3">
      <c r="A252">
        <v>202607</v>
      </c>
      <c r="B252" t="s">
        <v>56</v>
      </c>
      <c r="C252">
        <v>1768850208</v>
      </c>
      <c r="D252" t="s">
        <v>18</v>
      </c>
      <c r="E252" t="s">
        <v>24</v>
      </c>
      <c r="F252" t="s">
        <v>104</v>
      </c>
      <c r="G252" s="8">
        <v>7.6350657110000002</v>
      </c>
      <c r="H252" s="26">
        <v>0.45</v>
      </c>
    </row>
    <row r="253" spans="1:8" x14ac:dyDescent="0.3">
      <c r="A253">
        <v>202607</v>
      </c>
      <c r="B253" t="s">
        <v>56</v>
      </c>
      <c r="C253">
        <v>1768911819</v>
      </c>
      <c r="D253" t="s">
        <v>18</v>
      </c>
      <c r="E253" t="s">
        <v>24</v>
      </c>
      <c r="F253" t="s">
        <v>153</v>
      </c>
      <c r="G253" s="8">
        <v>0.9135059647999999</v>
      </c>
      <c r="H253" s="26">
        <v>1.2</v>
      </c>
    </row>
    <row r="254" spans="1:8" x14ac:dyDescent="0.3">
      <c r="A254">
        <v>202607</v>
      </c>
      <c r="B254" t="s">
        <v>56</v>
      </c>
      <c r="C254">
        <v>1768911843</v>
      </c>
      <c r="D254" t="s">
        <v>18</v>
      </c>
      <c r="E254" t="s">
        <v>24</v>
      </c>
      <c r="F254" t="s">
        <v>153</v>
      </c>
      <c r="G254" s="8">
        <v>1.03003018752</v>
      </c>
      <c r="H254" s="26">
        <v>1.2</v>
      </c>
    </row>
    <row r="255" spans="1:8" x14ac:dyDescent="0.3">
      <c r="A255">
        <v>202607</v>
      </c>
      <c r="B255" t="s">
        <v>56</v>
      </c>
      <c r="C255">
        <v>1768916195</v>
      </c>
      <c r="D255" t="s">
        <v>18</v>
      </c>
      <c r="E255" t="s">
        <v>24</v>
      </c>
      <c r="F255" t="s">
        <v>154</v>
      </c>
      <c r="G255" s="8">
        <v>6.7839999999999998</v>
      </c>
      <c r="H255" s="26">
        <v>0.85</v>
      </c>
    </row>
    <row r="256" spans="1:8" x14ac:dyDescent="0.3">
      <c r="A256">
        <v>202607</v>
      </c>
      <c r="B256" t="s">
        <v>56</v>
      </c>
      <c r="C256">
        <v>1768917256</v>
      </c>
      <c r="D256" t="s">
        <v>18</v>
      </c>
      <c r="E256" t="s">
        <v>24</v>
      </c>
      <c r="F256" t="s">
        <v>155</v>
      </c>
      <c r="G256" s="8">
        <v>5.2444336467199992</v>
      </c>
      <c r="H256" s="26">
        <v>0.4</v>
      </c>
    </row>
    <row r="257" spans="1:8" x14ac:dyDescent="0.3">
      <c r="A257">
        <v>202607</v>
      </c>
      <c r="B257" t="s">
        <v>56</v>
      </c>
      <c r="C257">
        <v>1768918627</v>
      </c>
      <c r="D257" t="s">
        <v>18</v>
      </c>
      <c r="E257" t="s">
        <v>19</v>
      </c>
      <c r="F257" t="s">
        <v>156</v>
      </c>
      <c r="G257" s="8">
        <v>18.223559999999999</v>
      </c>
      <c r="H257" s="26">
        <v>0.25</v>
      </c>
    </row>
    <row r="258" spans="1:8" x14ac:dyDescent="0.3">
      <c r="A258">
        <v>202607</v>
      </c>
      <c r="B258" t="s">
        <v>56</v>
      </c>
      <c r="C258">
        <v>1768922470</v>
      </c>
      <c r="D258" t="s">
        <v>18</v>
      </c>
      <c r="E258" t="s">
        <v>19</v>
      </c>
      <c r="F258" t="s">
        <v>157</v>
      </c>
      <c r="G258" s="8">
        <v>3.4049999999999998</v>
      </c>
      <c r="H258" s="26">
        <v>1.6</v>
      </c>
    </row>
    <row r="259" spans="1:8" x14ac:dyDescent="0.3">
      <c r="A259">
        <v>202607</v>
      </c>
      <c r="B259" t="s">
        <v>56</v>
      </c>
      <c r="C259">
        <v>1768947953</v>
      </c>
      <c r="D259" t="s">
        <v>18</v>
      </c>
      <c r="E259" t="s">
        <v>24</v>
      </c>
      <c r="F259" t="s">
        <v>104</v>
      </c>
      <c r="G259" s="8">
        <v>3.7451589806400003</v>
      </c>
      <c r="H259" s="26">
        <v>0.4</v>
      </c>
    </row>
    <row r="260" spans="1:8" x14ac:dyDescent="0.3">
      <c r="A260">
        <v>202607</v>
      </c>
      <c r="B260" t="s">
        <v>56</v>
      </c>
      <c r="C260">
        <v>1768959420</v>
      </c>
      <c r="D260" t="s">
        <v>23</v>
      </c>
      <c r="E260" t="s">
        <v>19</v>
      </c>
      <c r="F260" t="s">
        <v>86</v>
      </c>
      <c r="G260" s="8">
        <v>3</v>
      </c>
      <c r="H260" s="26">
        <v>0.9</v>
      </c>
    </row>
    <row r="261" spans="1:8" x14ac:dyDescent="0.3">
      <c r="A261">
        <v>202607</v>
      </c>
      <c r="B261" t="s">
        <v>56</v>
      </c>
      <c r="C261">
        <v>1769028960</v>
      </c>
      <c r="D261" t="s">
        <v>23</v>
      </c>
      <c r="E261" t="s">
        <v>19</v>
      </c>
      <c r="F261" t="s">
        <v>86</v>
      </c>
      <c r="G261" s="8">
        <v>2</v>
      </c>
      <c r="H261" s="26">
        <v>0.9</v>
      </c>
    </row>
    <row r="262" spans="1:8" x14ac:dyDescent="0.3">
      <c r="A262">
        <v>202607</v>
      </c>
      <c r="B262" t="s">
        <v>56</v>
      </c>
      <c r="C262">
        <v>1769048420</v>
      </c>
      <c r="D262" t="s">
        <v>18</v>
      </c>
      <c r="E262" t="s">
        <v>24</v>
      </c>
      <c r="F262" t="s">
        <v>201</v>
      </c>
      <c r="G262" s="8">
        <v>21.427999295999999</v>
      </c>
      <c r="H262" s="26">
        <v>0.35</v>
      </c>
    </row>
    <row r="263" spans="1:8" x14ac:dyDescent="0.3">
      <c r="A263">
        <v>202607</v>
      </c>
      <c r="B263" t="s">
        <v>115</v>
      </c>
      <c r="C263">
        <v>1764780670</v>
      </c>
      <c r="D263" t="s">
        <v>23</v>
      </c>
      <c r="E263" t="s">
        <v>34</v>
      </c>
      <c r="F263" t="s">
        <v>59</v>
      </c>
      <c r="G263" s="8">
        <v>0.21680569</v>
      </c>
      <c r="H263" s="26">
        <v>1.51</v>
      </c>
    </row>
    <row r="264" spans="1:8" x14ac:dyDescent="0.3">
      <c r="A264">
        <v>202607</v>
      </c>
      <c r="B264" t="s">
        <v>115</v>
      </c>
      <c r="C264">
        <v>1768842035</v>
      </c>
      <c r="D264" t="s">
        <v>18</v>
      </c>
      <c r="E264" t="s">
        <v>19</v>
      </c>
      <c r="F264" t="s">
        <v>61</v>
      </c>
      <c r="G264" s="8">
        <v>2.3862999999999999</v>
      </c>
      <c r="H264" s="26">
        <v>0.55000000000000004</v>
      </c>
    </row>
    <row r="265" spans="1:8" x14ac:dyDescent="0.3">
      <c r="A265">
        <v>202607</v>
      </c>
      <c r="B265" t="s">
        <v>115</v>
      </c>
      <c r="C265">
        <v>1768849668</v>
      </c>
      <c r="D265" t="s">
        <v>18</v>
      </c>
      <c r="E265" t="s">
        <v>34</v>
      </c>
      <c r="F265" t="s">
        <v>59</v>
      </c>
      <c r="G265" s="8">
        <v>0.84780739119999993</v>
      </c>
      <c r="H265" s="26">
        <v>1.61</v>
      </c>
    </row>
    <row r="266" spans="1:8" x14ac:dyDescent="0.3">
      <c r="A266">
        <v>202607</v>
      </c>
      <c r="B266" t="s">
        <v>115</v>
      </c>
      <c r="C266">
        <v>1768850542</v>
      </c>
      <c r="D266" t="s">
        <v>23</v>
      </c>
      <c r="E266" t="s">
        <v>19</v>
      </c>
      <c r="F266" t="s">
        <v>62</v>
      </c>
      <c r="G266" s="8">
        <v>0.06</v>
      </c>
      <c r="H266" s="26">
        <v>9.35</v>
      </c>
    </row>
    <row r="267" spans="1:8" x14ac:dyDescent="0.3">
      <c r="A267">
        <v>202607</v>
      </c>
      <c r="B267" t="s">
        <v>115</v>
      </c>
      <c r="C267">
        <v>1768862508</v>
      </c>
      <c r="D267" t="s">
        <v>18</v>
      </c>
      <c r="E267" t="s">
        <v>19</v>
      </c>
      <c r="F267" t="s">
        <v>61</v>
      </c>
      <c r="G267" s="8">
        <v>0.97379099999999996</v>
      </c>
      <c r="H267" s="26">
        <v>0.55000000000000004</v>
      </c>
    </row>
    <row r="268" spans="1:8" x14ac:dyDescent="0.3">
      <c r="A268">
        <v>202607</v>
      </c>
      <c r="B268" t="s">
        <v>115</v>
      </c>
      <c r="C268">
        <v>1768881057</v>
      </c>
      <c r="D268" t="s">
        <v>23</v>
      </c>
      <c r="E268" t="s">
        <v>24</v>
      </c>
      <c r="F268" t="s">
        <v>60</v>
      </c>
      <c r="G268" s="8">
        <v>0.47</v>
      </c>
      <c r="H268" s="26">
        <v>2.4500000000000002</v>
      </c>
    </row>
    <row r="269" spans="1:8" x14ac:dyDescent="0.3">
      <c r="A269">
        <v>202607</v>
      </c>
      <c r="B269" t="s">
        <v>115</v>
      </c>
      <c r="C269">
        <v>1768881723</v>
      </c>
      <c r="D269" t="s">
        <v>18</v>
      </c>
      <c r="E269" t="s">
        <v>24</v>
      </c>
      <c r="F269" t="s">
        <v>105</v>
      </c>
      <c r="G269" s="8">
        <v>0.36375647999999999</v>
      </c>
      <c r="H269" s="26">
        <v>3.38</v>
      </c>
    </row>
    <row r="270" spans="1:8" x14ac:dyDescent="0.3">
      <c r="A270">
        <v>202607</v>
      </c>
      <c r="B270" t="s">
        <v>115</v>
      </c>
      <c r="C270">
        <v>1768921385</v>
      </c>
      <c r="D270" t="s">
        <v>18</v>
      </c>
      <c r="E270" t="s">
        <v>24</v>
      </c>
      <c r="F270" t="s">
        <v>158</v>
      </c>
      <c r="G270" s="8">
        <v>5.1074999999999999</v>
      </c>
      <c r="H270" s="26">
        <v>0.3</v>
      </c>
    </row>
    <row r="271" spans="1:8" x14ac:dyDescent="0.3">
      <c r="A271">
        <v>202607</v>
      </c>
      <c r="B271" t="s">
        <v>115</v>
      </c>
      <c r="C271">
        <v>1768922233</v>
      </c>
      <c r="D271" t="s">
        <v>18</v>
      </c>
      <c r="E271" t="s">
        <v>19</v>
      </c>
      <c r="F271" t="s">
        <v>159</v>
      </c>
      <c r="G271" s="8">
        <v>0.40860000000000002</v>
      </c>
      <c r="H271" s="26">
        <v>3.37</v>
      </c>
    </row>
    <row r="272" spans="1:8" x14ac:dyDescent="0.3">
      <c r="A272">
        <v>202607</v>
      </c>
      <c r="B272" t="s">
        <v>115</v>
      </c>
      <c r="C272">
        <v>1768933626</v>
      </c>
      <c r="D272" t="s">
        <v>18</v>
      </c>
      <c r="E272" t="s">
        <v>34</v>
      </c>
      <c r="F272" t="s">
        <v>59</v>
      </c>
      <c r="G272" s="8">
        <v>0.54959042122000001</v>
      </c>
      <c r="H272" s="26">
        <v>1.91</v>
      </c>
    </row>
    <row r="273" spans="1:8" x14ac:dyDescent="0.3">
      <c r="A273">
        <v>202607</v>
      </c>
      <c r="B273" t="s">
        <v>115</v>
      </c>
      <c r="C273">
        <v>1768958769</v>
      </c>
      <c r="D273" t="s">
        <v>18</v>
      </c>
      <c r="E273" t="s">
        <v>24</v>
      </c>
      <c r="F273" t="s">
        <v>189</v>
      </c>
      <c r="G273" s="8">
        <v>1.7004999999999999</v>
      </c>
      <c r="H273" s="26">
        <v>0.3</v>
      </c>
    </row>
    <row r="274" spans="1:8" x14ac:dyDescent="0.3">
      <c r="A274">
        <v>202607</v>
      </c>
      <c r="B274" t="s">
        <v>115</v>
      </c>
      <c r="C274">
        <v>1768958840</v>
      </c>
      <c r="D274" t="s">
        <v>18</v>
      </c>
      <c r="E274" t="s">
        <v>24</v>
      </c>
      <c r="F274" t="s">
        <v>189</v>
      </c>
      <c r="G274" s="8">
        <v>1.7004999999999999</v>
      </c>
      <c r="H274" s="26">
        <v>0.3</v>
      </c>
    </row>
    <row r="275" spans="1:8" x14ac:dyDescent="0.3">
      <c r="A275">
        <v>202607</v>
      </c>
      <c r="B275" t="s">
        <v>40</v>
      </c>
      <c r="C275">
        <v>1764767160</v>
      </c>
      <c r="D275" t="s">
        <v>18</v>
      </c>
      <c r="E275" t="s">
        <v>19</v>
      </c>
      <c r="F275" t="s">
        <v>58</v>
      </c>
      <c r="G275" s="8">
        <v>0.232763</v>
      </c>
      <c r="H275" s="26">
        <v>4.0999999999999996</v>
      </c>
    </row>
    <row r="276" spans="1:8" x14ac:dyDescent="0.3">
      <c r="A276">
        <v>202607</v>
      </c>
      <c r="B276" t="s">
        <v>40</v>
      </c>
      <c r="C276">
        <v>1768834120</v>
      </c>
      <c r="D276" t="s">
        <v>23</v>
      </c>
      <c r="E276" t="s">
        <v>34</v>
      </c>
      <c r="F276" t="s">
        <v>54</v>
      </c>
      <c r="G276" s="8">
        <v>8.0286240000000009E-2</v>
      </c>
      <c r="H276" s="26">
        <v>2.2000000000000002</v>
      </c>
    </row>
    <row r="277" spans="1:8" x14ac:dyDescent="0.3">
      <c r="A277">
        <v>202607</v>
      </c>
      <c r="B277" t="s">
        <v>40</v>
      </c>
      <c r="C277">
        <v>1768854904</v>
      </c>
      <c r="D277" t="s">
        <v>18</v>
      </c>
      <c r="E277" t="s">
        <v>19</v>
      </c>
      <c r="F277" t="s">
        <v>131</v>
      </c>
      <c r="G277" s="8">
        <v>4.0823999999999998</v>
      </c>
      <c r="H277" s="26">
        <v>0.35</v>
      </c>
    </row>
    <row r="278" spans="1:8" x14ac:dyDescent="0.3">
      <c r="A278">
        <v>202607</v>
      </c>
      <c r="B278" t="s">
        <v>40</v>
      </c>
      <c r="C278">
        <v>1768874050</v>
      </c>
      <c r="D278" t="s">
        <v>23</v>
      </c>
      <c r="E278" t="s">
        <v>19</v>
      </c>
      <c r="F278" t="s">
        <v>132</v>
      </c>
      <c r="G278" s="8">
        <v>12.638012</v>
      </c>
      <c r="H278" s="26">
        <v>2.9</v>
      </c>
    </row>
    <row r="279" spans="1:8" x14ac:dyDescent="0.3">
      <c r="A279">
        <v>202607</v>
      </c>
      <c r="B279" t="s">
        <v>40</v>
      </c>
      <c r="C279">
        <v>1768882827</v>
      </c>
      <c r="D279" t="s">
        <v>18</v>
      </c>
      <c r="E279" t="s">
        <v>34</v>
      </c>
      <c r="F279" t="s">
        <v>53</v>
      </c>
      <c r="G279" s="8">
        <v>3.0531290759999998</v>
      </c>
      <c r="H279" s="26">
        <v>3</v>
      </c>
    </row>
    <row r="280" spans="1:8" x14ac:dyDescent="0.3">
      <c r="A280">
        <v>202607</v>
      </c>
      <c r="B280" t="s">
        <v>40</v>
      </c>
      <c r="C280">
        <v>1768985626</v>
      </c>
      <c r="D280" t="s">
        <v>23</v>
      </c>
      <c r="E280" t="s">
        <v>19</v>
      </c>
      <c r="F280" t="s">
        <v>190</v>
      </c>
      <c r="G280" s="8">
        <v>1.6950000000000001</v>
      </c>
      <c r="H280" s="26">
        <v>1.2</v>
      </c>
    </row>
    <row r="281" spans="1:8" x14ac:dyDescent="0.3">
      <c r="A281">
        <v>202607</v>
      </c>
      <c r="B281" t="s">
        <v>40</v>
      </c>
      <c r="C281">
        <v>1768985723</v>
      </c>
      <c r="D281" t="s">
        <v>18</v>
      </c>
      <c r="E281" t="s">
        <v>34</v>
      </c>
      <c r="F281" t="s">
        <v>53</v>
      </c>
      <c r="G281" s="8">
        <v>5.9606675257500008</v>
      </c>
      <c r="H281" s="26">
        <v>2.9</v>
      </c>
    </row>
    <row r="282" spans="1:8" x14ac:dyDescent="0.3">
      <c r="A282">
        <v>202607</v>
      </c>
      <c r="B282" t="s">
        <v>40</v>
      </c>
      <c r="C282">
        <v>1768985740</v>
      </c>
      <c r="D282" t="s">
        <v>18</v>
      </c>
      <c r="E282" t="s">
        <v>34</v>
      </c>
      <c r="F282" t="s">
        <v>53</v>
      </c>
      <c r="G282" s="8">
        <v>1.5815576007000001</v>
      </c>
      <c r="H282" s="26">
        <v>2.9</v>
      </c>
    </row>
    <row r="283" spans="1:8" x14ac:dyDescent="0.3">
      <c r="A283">
        <v>202607</v>
      </c>
      <c r="B283" t="s">
        <v>40</v>
      </c>
      <c r="C283">
        <v>1769028722</v>
      </c>
      <c r="D283" t="s">
        <v>23</v>
      </c>
      <c r="E283" t="s">
        <v>19</v>
      </c>
      <c r="F283" t="s">
        <v>202</v>
      </c>
      <c r="G283" s="8">
        <v>0.22334599999999999</v>
      </c>
      <c r="H283" s="26">
        <v>3.25</v>
      </c>
    </row>
    <row r="284" spans="1:8" x14ac:dyDescent="0.3">
      <c r="A284">
        <v>202607</v>
      </c>
      <c r="B284" t="s">
        <v>40</v>
      </c>
      <c r="C284">
        <v>1769042423</v>
      </c>
      <c r="D284" t="s">
        <v>23</v>
      </c>
      <c r="E284" t="s">
        <v>19</v>
      </c>
      <c r="F284" t="s">
        <v>203</v>
      </c>
      <c r="G284" s="8">
        <v>1.3</v>
      </c>
      <c r="H284" s="26">
        <v>1.1000000000000001</v>
      </c>
    </row>
    <row r="285" spans="1:8" x14ac:dyDescent="0.3">
      <c r="A285">
        <v>202607</v>
      </c>
      <c r="B285" t="s">
        <v>116</v>
      </c>
      <c r="C285">
        <v>1764762479</v>
      </c>
      <c r="D285" t="s">
        <v>18</v>
      </c>
      <c r="E285" t="s">
        <v>24</v>
      </c>
      <c r="F285" t="s">
        <v>51</v>
      </c>
      <c r="G285" s="8">
        <v>0.67959999999999998</v>
      </c>
      <c r="H285" s="26">
        <v>2.65</v>
      </c>
    </row>
    <row r="286" spans="1:8" x14ac:dyDescent="0.3">
      <c r="A286">
        <v>202607</v>
      </c>
      <c r="B286" t="s">
        <v>116</v>
      </c>
      <c r="C286">
        <v>1768839522</v>
      </c>
      <c r="D286" t="s">
        <v>18</v>
      </c>
      <c r="E286" t="s">
        <v>24</v>
      </c>
      <c r="F286" t="s">
        <v>49</v>
      </c>
      <c r="G286" s="8">
        <v>0.68100000000000005</v>
      </c>
      <c r="H286" s="26">
        <v>1.1000000000000001</v>
      </c>
    </row>
    <row r="287" spans="1:8" x14ac:dyDescent="0.3">
      <c r="A287">
        <v>202607</v>
      </c>
      <c r="B287" t="s">
        <v>116</v>
      </c>
      <c r="C287">
        <v>1768839603</v>
      </c>
      <c r="D287" t="s">
        <v>18</v>
      </c>
      <c r="E287" t="s">
        <v>24</v>
      </c>
      <c r="F287" t="s">
        <v>49</v>
      </c>
      <c r="G287" s="8">
        <v>0.68100000000000005</v>
      </c>
      <c r="H287" s="26">
        <v>1.1000000000000001</v>
      </c>
    </row>
    <row r="288" spans="1:8" x14ac:dyDescent="0.3">
      <c r="A288">
        <v>202607</v>
      </c>
      <c r="B288" t="s">
        <v>116</v>
      </c>
      <c r="C288">
        <v>1768855617</v>
      </c>
      <c r="D288" t="s">
        <v>18</v>
      </c>
      <c r="E288" t="s">
        <v>48</v>
      </c>
      <c r="F288" t="s">
        <v>50</v>
      </c>
      <c r="G288" s="8">
        <v>1.1566799999999999</v>
      </c>
      <c r="H288" s="26">
        <v>3.15</v>
      </c>
    </row>
    <row r="289" spans="1:8" x14ac:dyDescent="0.3">
      <c r="A289">
        <v>202607</v>
      </c>
      <c r="B289" t="s">
        <v>116</v>
      </c>
      <c r="C289">
        <v>1768882169</v>
      </c>
      <c r="D289" t="s">
        <v>23</v>
      </c>
      <c r="E289" t="s">
        <v>34</v>
      </c>
      <c r="F289" t="s">
        <v>52</v>
      </c>
      <c r="G289" s="8">
        <v>4.1595E-2</v>
      </c>
      <c r="H289" s="26">
        <v>3.55</v>
      </c>
    </row>
    <row r="290" spans="1:8" x14ac:dyDescent="0.3">
      <c r="A290">
        <v>202607</v>
      </c>
      <c r="B290" t="s">
        <v>116</v>
      </c>
      <c r="C290">
        <v>1768897440</v>
      </c>
      <c r="D290" t="s">
        <v>23</v>
      </c>
      <c r="E290" t="s">
        <v>24</v>
      </c>
      <c r="F290" t="s">
        <v>71</v>
      </c>
      <c r="G290" s="8">
        <v>2.83</v>
      </c>
      <c r="H290" s="26">
        <v>0.5</v>
      </c>
    </row>
    <row r="291" spans="1:8" x14ac:dyDescent="0.3">
      <c r="A291">
        <v>202607</v>
      </c>
      <c r="B291" t="s">
        <v>116</v>
      </c>
      <c r="C291">
        <v>1768950970</v>
      </c>
      <c r="D291" t="s">
        <v>18</v>
      </c>
      <c r="E291" t="s">
        <v>19</v>
      </c>
      <c r="F291" t="s">
        <v>171</v>
      </c>
      <c r="G291" s="8">
        <v>1.0194000000000001</v>
      </c>
      <c r="H291" s="26">
        <v>1.05</v>
      </c>
    </row>
    <row r="292" spans="1:8" x14ac:dyDescent="0.3">
      <c r="A292">
        <v>202607</v>
      </c>
      <c r="B292" t="s">
        <v>116</v>
      </c>
      <c r="C292">
        <v>1768963410</v>
      </c>
      <c r="D292" t="s">
        <v>23</v>
      </c>
      <c r="E292" t="s">
        <v>19</v>
      </c>
      <c r="F292" t="s">
        <v>191</v>
      </c>
      <c r="G292" s="8">
        <v>0.68</v>
      </c>
      <c r="H292" s="26">
        <v>3.25</v>
      </c>
    </row>
    <row r="293" spans="1:8" x14ac:dyDescent="0.3">
      <c r="A293">
        <v>202607</v>
      </c>
      <c r="B293" t="s">
        <v>116</v>
      </c>
      <c r="C293">
        <v>1769022392</v>
      </c>
      <c r="D293" t="s">
        <v>23</v>
      </c>
      <c r="E293" t="s">
        <v>34</v>
      </c>
      <c r="F293" t="s">
        <v>204</v>
      </c>
      <c r="G293" s="8">
        <v>0.59020649999999997</v>
      </c>
      <c r="H293" s="26">
        <v>3.4</v>
      </c>
    </row>
    <row r="294" spans="1:8" x14ac:dyDescent="0.3">
      <c r="A294">
        <v>202607</v>
      </c>
      <c r="B294" t="s">
        <v>116</v>
      </c>
      <c r="C294">
        <v>1769033866</v>
      </c>
      <c r="D294" t="s">
        <v>23</v>
      </c>
      <c r="E294" t="s">
        <v>24</v>
      </c>
      <c r="F294" t="s">
        <v>205</v>
      </c>
      <c r="G294" s="8">
        <v>0.32500000000000001</v>
      </c>
      <c r="H294" s="26">
        <v>2.15</v>
      </c>
    </row>
    <row r="295" spans="1:8" x14ac:dyDescent="0.3">
      <c r="A295">
        <v>202607</v>
      </c>
      <c r="B295" t="s">
        <v>116</v>
      </c>
      <c r="C295">
        <v>1769042440</v>
      </c>
      <c r="D295" t="s">
        <v>18</v>
      </c>
      <c r="E295" t="s">
        <v>34</v>
      </c>
      <c r="F295" t="s">
        <v>52</v>
      </c>
      <c r="G295" s="8">
        <v>2.3337108240000001E-2</v>
      </c>
      <c r="H295" s="26">
        <v>3.95</v>
      </c>
    </row>
    <row r="296" spans="1:8" x14ac:dyDescent="0.3">
      <c r="A296">
        <v>202607</v>
      </c>
      <c r="B296" t="s">
        <v>42</v>
      </c>
      <c r="C296">
        <v>1764781392</v>
      </c>
      <c r="D296" t="s">
        <v>18</v>
      </c>
      <c r="E296" t="s">
        <v>24</v>
      </c>
      <c r="F296" t="s">
        <v>95</v>
      </c>
      <c r="G296" s="8">
        <v>0.68100000000000005</v>
      </c>
      <c r="H296" s="26">
        <v>1</v>
      </c>
    </row>
    <row r="297" spans="1:8" x14ac:dyDescent="0.3">
      <c r="A297">
        <v>202607</v>
      </c>
      <c r="B297" t="s">
        <v>42</v>
      </c>
      <c r="C297">
        <v>1768838712</v>
      </c>
      <c r="D297" t="s">
        <v>23</v>
      </c>
      <c r="E297" t="s">
        <v>34</v>
      </c>
      <c r="F297" t="s">
        <v>87</v>
      </c>
      <c r="G297" s="8">
        <v>2.9726990000000002E-2</v>
      </c>
      <c r="H297" s="26">
        <v>2.25</v>
      </c>
    </row>
    <row r="298" spans="1:8" x14ac:dyDescent="0.3">
      <c r="A298">
        <v>202607</v>
      </c>
      <c r="B298" t="s">
        <v>42</v>
      </c>
      <c r="C298">
        <v>1768845689</v>
      </c>
      <c r="D298" t="s">
        <v>23</v>
      </c>
      <c r="E298" t="s">
        <v>19</v>
      </c>
      <c r="F298" t="s">
        <v>133</v>
      </c>
      <c r="G298" s="8">
        <v>2.6339999999999999</v>
      </c>
      <c r="H298" s="26">
        <v>0.3</v>
      </c>
    </row>
    <row r="299" spans="1:8" x14ac:dyDescent="0.3">
      <c r="A299">
        <v>202607</v>
      </c>
      <c r="B299" t="s">
        <v>42</v>
      </c>
      <c r="C299">
        <v>1768857512</v>
      </c>
      <c r="D299" t="s">
        <v>23</v>
      </c>
      <c r="E299" t="s">
        <v>19</v>
      </c>
      <c r="F299" t="s">
        <v>134</v>
      </c>
      <c r="G299" s="8">
        <v>15</v>
      </c>
      <c r="H299" s="26">
        <v>0.3</v>
      </c>
    </row>
    <row r="300" spans="1:8" x14ac:dyDescent="0.3">
      <c r="A300">
        <v>202607</v>
      </c>
      <c r="B300" t="s">
        <v>42</v>
      </c>
      <c r="C300">
        <v>1768869189</v>
      </c>
      <c r="D300" t="s">
        <v>18</v>
      </c>
      <c r="E300" t="s">
        <v>34</v>
      </c>
      <c r="F300" t="s">
        <v>87</v>
      </c>
      <c r="G300" s="8">
        <v>4.3253692560000001E-2</v>
      </c>
      <c r="H300" s="26">
        <v>2.5</v>
      </c>
    </row>
    <row r="301" spans="1:8" x14ac:dyDescent="0.3">
      <c r="A301">
        <v>202607</v>
      </c>
      <c r="B301" t="s">
        <v>42</v>
      </c>
      <c r="C301">
        <v>1768869900</v>
      </c>
      <c r="D301" t="s">
        <v>18</v>
      </c>
      <c r="E301" t="s">
        <v>34</v>
      </c>
      <c r="F301" t="s">
        <v>87</v>
      </c>
      <c r="G301" s="8">
        <v>7.5999399839999995E-2</v>
      </c>
      <c r="H301" s="26">
        <v>2.5</v>
      </c>
    </row>
    <row r="302" spans="1:8" x14ac:dyDescent="0.3">
      <c r="A302">
        <v>202607</v>
      </c>
      <c r="B302" t="s">
        <v>42</v>
      </c>
      <c r="C302">
        <v>1768888604</v>
      </c>
      <c r="D302" t="s">
        <v>23</v>
      </c>
      <c r="E302" t="s">
        <v>34</v>
      </c>
      <c r="F302" t="s">
        <v>87</v>
      </c>
      <c r="G302" s="8">
        <v>9.1922440000000008E-2</v>
      </c>
      <c r="H302" s="26">
        <v>2.1</v>
      </c>
    </row>
    <row r="303" spans="1:8" x14ac:dyDescent="0.3">
      <c r="A303">
        <v>202607</v>
      </c>
      <c r="B303" t="s">
        <v>42</v>
      </c>
      <c r="C303">
        <v>1768896160</v>
      </c>
      <c r="D303" t="s">
        <v>23</v>
      </c>
      <c r="E303" t="s">
        <v>34</v>
      </c>
      <c r="F303" t="s">
        <v>87</v>
      </c>
      <c r="G303" s="8">
        <v>2.9726990000000002E-2</v>
      </c>
      <c r="H303" s="26">
        <v>2.1</v>
      </c>
    </row>
    <row r="304" spans="1:8" x14ac:dyDescent="0.3">
      <c r="A304">
        <v>202607</v>
      </c>
      <c r="B304" t="s">
        <v>42</v>
      </c>
      <c r="C304">
        <v>1768896275</v>
      </c>
      <c r="D304" t="s">
        <v>23</v>
      </c>
      <c r="E304" t="s">
        <v>34</v>
      </c>
      <c r="F304" t="s">
        <v>87</v>
      </c>
      <c r="G304" s="8">
        <v>5.412583E-2</v>
      </c>
      <c r="H304" s="26">
        <v>2.1</v>
      </c>
    </row>
    <row r="305" spans="1:8" x14ac:dyDescent="0.3">
      <c r="A305">
        <v>202607</v>
      </c>
      <c r="B305" t="s">
        <v>42</v>
      </c>
      <c r="C305">
        <v>1768907790</v>
      </c>
      <c r="D305" t="s">
        <v>23</v>
      </c>
      <c r="E305" t="s">
        <v>34</v>
      </c>
      <c r="F305" t="s">
        <v>88</v>
      </c>
      <c r="G305" s="8">
        <v>3.2949000000000002</v>
      </c>
      <c r="H305" s="26">
        <v>0.6</v>
      </c>
    </row>
    <row r="306" spans="1:8" x14ac:dyDescent="0.3">
      <c r="A306">
        <v>202607</v>
      </c>
      <c r="B306" t="s">
        <v>42</v>
      </c>
      <c r="C306">
        <v>1768909865</v>
      </c>
      <c r="D306" t="s">
        <v>23</v>
      </c>
      <c r="E306" t="s">
        <v>34</v>
      </c>
      <c r="F306" t="s">
        <v>87</v>
      </c>
      <c r="G306" s="8">
        <v>1.4862999999999999E-2</v>
      </c>
      <c r="H306" s="26">
        <v>2.1</v>
      </c>
    </row>
    <row r="307" spans="1:8" x14ac:dyDescent="0.3">
      <c r="A307">
        <v>202607</v>
      </c>
      <c r="B307" t="s">
        <v>42</v>
      </c>
      <c r="C307">
        <v>1768922160</v>
      </c>
      <c r="D307" t="s">
        <v>23</v>
      </c>
      <c r="E307" t="s">
        <v>19</v>
      </c>
      <c r="F307" t="s">
        <v>160</v>
      </c>
      <c r="G307" s="8">
        <v>6.5</v>
      </c>
      <c r="H307" s="26">
        <v>0.42</v>
      </c>
    </row>
    <row r="308" spans="1:8" x14ac:dyDescent="0.3">
      <c r="A308">
        <v>202607</v>
      </c>
      <c r="B308" t="s">
        <v>42</v>
      </c>
      <c r="C308">
        <v>1768924210</v>
      </c>
      <c r="D308" t="s">
        <v>23</v>
      </c>
      <c r="E308" t="s">
        <v>34</v>
      </c>
      <c r="F308" t="s">
        <v>87</v>
      </c>
      <c r="G308" s="8">
        <v>5.7773650000000003E-2</v>
      </c>
      <c r="H308" s="26">
        <v>2.1</v>
      </c>
    </row>
    <row r="309" spans="1:8" x14ac:dyDescent="0.3">
      <c r="A309">
        <v>202607</v>
      </c>
      <c r="B309" t="s">
        <v>42</v>
      </c>
      <c r="C309">
        <v>1768939497</v>
      </c>
      <c r="D309" t="s">
        <v>18</v>
      </c>
      <c r="E309" t="s">
        <v>24</v>
      </c>
      <c r="F309" t="s">
        <v>172</v>
      </c>
      <c r="G309" s="8">
        <v>0.47642000000000001</v>
      </c>
      <c r="H309" s="26">
        <v>1.01</v>
      </c>
    </row>
    <row r="310" spans="1:8" x14ac:dyDescent="0.3">
      <c r="A310">
        <v>202607</v>
      </c>
      <c r="B310" t="s">
        <v>42</v>
      </c>
      <c r="C310">
        <v>1768985677</v>
      </c>
      <c r="D310" t="s">
        <v>23</v>
      </c>
      <c r="E310" t="s">
        <v>34</v>
      </c>
      <c r="F310" t="s">
        <v>88</v>
      </c>
      <c r="G310" s="8">
        <v>3.5855100000000002</v>
      </c>
      <c r="H310" s="26">
        <v>0.6</v>
      </c>
    </row>
    <row r="311" spans="1:8" x14ac:dyDescent="0.3">
      <c r="A311">
        <v>202608</v>
      </c>
      <c r="B311" t="s">
        <v>17</v>
      </c>
      <c r="C311">
        <v>1769095012</v>
      </c>
      <c r="D311" t="s">
        <v>18</v>
      </c>
      <c r="E311" t="s">
        <v>34</v>
      </c>
      <c r="F311" t="s">
        <v>118</v>
      </c>
      <c r="G311" s="8">
        <v>0.12697850976</v>
      </c>
      <c r="H311" s="26">
        <v>2.8</v>
      </c>
    </row>
    <row r="312" spans="1:8" x14ac:dyDescent="0.3">
      <c r="A312">
        <v>202608</v>
      </c>
      <c r="B312" t="s">
        <v>17</v>
      </c>
      <c r="C312">
        <v>1769110186</v>
      </c>
      <c r="D312" t="s">
        <v>23</v>
      </c>
      <c r="E312" t="s">
        <v>19</v>
      </c>
      <c r="F312" t="s">
        <v>192</v>
      </c>
      <c r="G312" s="8">
        <v>1.671</v>
      </c>
      <c r="H312" s="26">
        <v>3</v>
      </c>
    </row>
    <row r="313" spans="1:8" x14ac:dyDescent="0.3">
      <c r="A313">
        <v>202608</v>
      </c>
      <c r="B313" t="s">
        <v>55</v>
      </c>
      <c r="C313">
        <v>1769112870</v>
      </c>
      <c r="D313" t="s">
        <v>18</v>
      </c>
      <c r="E313" t="s">
        <v>24</v>
      </c>
      <c r="F313" t="s">
        <v>65</v>
      </c>
      <c r="G313" s="8">
        <v>0.17014460200000001</v>
      </c>
      <c r="H313" s="26">
        <v>2.79</v>
      </c>
    </row>
    <row r="314" spans="1:8" x14ac:dyDescent="0.3">
      <c r="A314">
        <v>202608</v>
      </c>
      <c r="B314" t="s">
        <v>55</v>
      </c>
      <c r="C314">
        <v>1773154796</v>
      </c>
      <c r="D314" t="s">
        <v>18</v>
      </c>
      <c r="E314" t="s">
        <v>19</v>
      </c>
      <c r="F314" t="s">
        <v>63</v>
      </c>
      <c r="G314" s="8">
        <v>0.67359999999999998</v>
      </c>
      <c r="H314" s="26">
        <v>1</v>
      </c>
    </row>
    <row r="315" spans="1:8" x14ac:dyDescent="0.3">
      <c r="A315">
        <v>202608</v>
      </c>
      <c r="B315" t="s">
        <v>55</v>
      </c>
      <c r="C315">
        <v>1773157515</v>
      </c>
      <c r="D315" t="s">
        <v>23</v>
      </c>
      <c r="E315" t="s">
        <v>19</v>
      </c>
      <c r="F315" t="s">
        <v>174</v>
      </c>
      <c r="G315" s="8">
        <v>1.08</v>
      </c>
      <c r="H315" s="26">
        <v>2.0499999999999998</v>
      </c>
    </row>
    <row r="316" spans="1:8" x14ac:dyDescent="0.3">
      <c r="A316">
        <v>202608</v>
      </c>
      <c r="B316" t="s">
        <v>55</v>
      </c>
      <c r="C316">
        <v>1773166140</v>
      </c>
      <c r="D316" t="s">
        <v>18</v>
      </c>
      <c r="E316" t="s">
        <v>24</v>
      </c>
      <c r="F316" t="s">
        <v>65</v>
      </c>
      <c r="G316" s="8">
        <v>0.50731571399999997</v>
      </c>
      <c r="H316" s="26">
        <v>2.79</v>
      </c>
    </row>
    <row r="317" spans="1:8" x14ac:dyDescent="0.3">
      <c r="A317">
        <v>202608</v>
      </c>
      <c r="B317" t="s">
        <v>55</v>
      </c>
      <c r="C317">
        <v>1773175580</v>
      </c>
      <c r="D317" t="s">
        <v>18</v>
      </c>
      <c r="E317" t="s">
        <v>24</v>
      </c>
      <c r="F317" t="s">
        <v>227</v>
      </c>
      <c r="G317" s="8">
        <v>0.33660000000000001</v>
      </c>
      <c r="H317" s="26">
        <v>3.25</v>
      </c>
    </row>
    <row r="318" spans="1:8" x14ac:dyDescent="0.3">
      <c r="A318">
        <v>202608</v>
      </c>
      <c r="B318" t="s">
        <v>55</v>
      </c>
      <c r="C318">
        <v>1773186400</v>
      </c>
      <c r="D318" t="s">
        <v>18</v>
      </c>
      <c r="E318" t="s">
        <v>24</v>
      </c>
      <c r="F318" t="s">
        <v>65</v>
      </c>
      <c r="G318" s="8">
        <v>0.53934339200000003</v>
      </c>
      <c r="H318" s="26">
        <v>2.79</v>
      </c>
    </row>
    <row r="319" spans="1:8" x14ac:dyDescent="0.3">
      <c r="A319">
        <v>202608</v>
      </c>
      <c r="B319" t="s">
        <v>55</v>
      </c>
      <c r="C319">
        <v>1773230115</v>
      </c>
      <c r="D319" t="s">
        <v>18</v>
      </c>
      <c r="E319" t="s">
        <v>24</v>
      </c>
      <c r="F319" t="s">
        <v>65</v>
      </c>
      <c r="G319" s="8">
        <v>0.50441673151999999</v>
      </c>
      <c r="H319" s="26">
        <v>2.79</v>
      </c>
    </row>
    <row r="320" spans="1:8" x14ac:dyDescent="0.3">
      <c r="A320">
        <v>202608</v>
      </c>
      <c r="B320" t="s">
        <v>30</v>
      </c>
      <c r="C320">
        <v>1769078703</v>
      </c>
      <c r="D320" t="s">
        <v>18</v>
      </c>
      <c r="E320" t="s">
        <v>34</v>
      </c>
      <c r="F320" t="s">
        <v>109</v>
      </c>
      <c r="G320" s="8">
        <v>0.57523835488999997</v>
      </c>
      <c r="H320" s="26">
        <v>3.15</v>
      </c>
    </row>
    <row r="321" spans="1:8" x14ac:dyDescent="0.3">
      <c r="A321">
        <v>202608</v>
      </c>
      <c r="B321" t="s">
        <v>30</v>
      </c>
      <c r="C321">
        <v>1769086730</v>
      </c>
      <c r="D321" t="s">
        <v>18</v>
      </c>
      <c r="E321" t="s">
        <v>19</v>
      </c>
      <c r="F321" t="s">
        <v>206</v>
      </c>
      <c r="G321" s="8">
        <v>1.18685</v>
      </c>
      <c r="H321" s="26">
        <v>1.3</v>
      </c>
    </row>
    <row r="322" spans="1:8" x14ac:dyDescent="0.3">
      <c r="A322">
        <v>202608</v>
      </c>
      <c r="B322" t="s">
        <v>30</v>
      </c>
      <c r="C322">
        <v>1769094260</v>
      </c>
      <c r="D322" t="s">
        <v>18</v>
      </c>
      <c r="E322" t="s">
        <v>19</v>
      </c>
      <c r="F322" t="s">
        <v>207</v>
      </c>
      <c r="G322" s="8">
        <v>8.1335999999999995</v>
      </c>
      <c r="H322" s="26">
        <v>2.5499999999999998</v>
      </c>
    </row>
    <row r="323" spans="1:8" x14ac:dyDescent="0.3">
      <c r="A323">
        <v>202608</v>
      </c>
      <c r="B323" t="s">
        <v>30</v>
      </c>
      <c r="C323">
        <v>1773149148</v>
      </c>
      <c r="D323" t="s">
        <v>18</v>
      </c>
      <c r="E323" t="s">
        <v>19</v>
      </c>
      <c r="F323" t="s">
        <v>215</v>
      </c>
      <c r="G323" s="8">
        <v>0.28037400000000001</v>
      </c>
      <c r="H323" s="26">
        <v>3.75</v>
      </c>
    </row>
    <row r="324" spans="1:8" x14ac:dyDescent="0.3">
      <c r="A324">
        <v>202608</v>
      </c>
      <c r="B324" t="s">
        <v>30</v>
      </c>
      <c r="C324">
        <v>1773149260</v>
      </c>
      <c r="D324" t="s">
        <v>18</v>
      </c>
      <c r="E324" t="s">
        <v>19</v>
      </c>
      <c r="F324" t="s">
        <v>207</v>
      </c>
      <c r="G324" s="8">
        <v>5.0906459999999996</v>
      </c>
      <c r="H324" s="26">
        <v>2.5499999999999998</v>
      </c>
    </row>
    <row r="325" spans="1:8" x14ac:dyDescent="0.3">
      <c r="A325">
        <v>202608</v>
      </c>
      <c r="B325" t="s">
        <v>30</v>
      </c>
      <c r="C325">
        <v>1773155164</v>
      </c>
      <c r="D325" t="s">
        <v>23</v>
      </c>
      <c r="E325" t="s">
        <v>19</v>
      </c>
      <c r="F325" t="s">
        <v>221</v>
      </c>
      <c r="G325" s="8">
        <v>1</v>
      </c>
      <c r="H325" s="26">
        <v>2.17</v>
      </c>
    </row>
    <row r="326" spans="1:8" x14ac:dyDescent="0.3">
      <c r="A326">
        <v>202608</v>
      </c>
      <c r="B326" t="s">
        <v>30</v>
      </c>
      <c r="C326">
        <v>1773172069</v>
      </c>
      <c r="D326" t="s">
        <v>18</v>
      </c>
      <c r="E326" t="s">
        <v>24</v>
      </c>
      <c r="F326" t="s">
        <v>138</v>
      </c>
      <c r="G326" s="8">
        <v>0.1681</v>
      </c>
      <c r="H326" s="26">
        <v>5.45</v>
      </c>
    </row>
    <row r="327" spans="1:8" x14ac:dyDescent="0.3">
      <c r="A327">
        <v>202608</v>
      </c>
      <c r="B327" t="s">
        <v>96</v>
      </c>
      <c r="C327">
        <v>1773217712</v>
      </c>
      <c r="D327" t="s">
        <v>18</v>
      </c>
      <c r="E327" t="s">
        <v>34</v>
      </c>
      <c r="F327" t="s">
        <v>121</v>
      </c>
      <c r="G327" s="8">
        <v>2.945144328E-2</v>
      </c>
      <c r="H327" s="26">
        <v>9.15</v>
      </c>
    </row>
    <row r="328" spans="1:8" x14ac:dyDescent="0.3">
      <c r="A328">
        <v>202608</v>
      </c>
      <c r="B328" t="s">
        <v>96</v>
      </c>
      <c r="C328">
        <v>1773218360</v>
      </c>
      <c r="D328" t="s">
        <v>23</v>
      </c>
      <c r="E328" t="s">
        <v>34</v>
      </c>
      <c r="F328" t="s">
        <v>121</v>
      </c>
      <c r="G328" s="8">
        <v>5.8734580000000002E-2</v>
      </c>
      <c r="H328" s="26">
        <v>9.15</v>
      </c>
    </row>
    <row r="329" spans="1:8" x14ac:dyDescent="0.3">
      <c r="A329">
        <v>202608</v>
      </c>
      <c r="B329" t="s">
        <v>238</v>
      </c>
      <c r="C329">
        <v>1773241620</v>
      </c>
      <c r="D329" t="s">
        <v>23</v>
      </c>
      <c r="E329" t="s">
        <v>19</v>
      </c>
      <c r="F329" t="s">
        <v>239</v>
      </c>
      <c r="G329" s="8">
        <v>1</v>
      </c>
      <c r="H329" s="26">
        <v>1.2</v>
      </c>
    </row>
    <row r="330" spans="1:8" x14ac:dyDescent="0.3">
      <c r="A330">
        <v>202608</v>
      </c>
      <c r="B330" t="s">
        <v>25</v>
      </c>
      <c r="C330">
        <v>1769063340</v>
      </c>
      <c r="D330" t="s">
        <v>18</v>
      </c>
      <c r="E330" t="s">
        <v>24</v>
      </c>
      <c r="F330" t="s">
        <v>123</v>
      </c>
      <c r="G330" s="8">
        <v>3.3969999999999998</v>
      </c>
      <c r="H330" s="26">
        <v>2.1</v>
      </c>
    </row>
    <row r="331" spans="1:8" x14ac:dyDescent="0.3">
      <c r="A331">
        <v>202608</v>
      </c>
      <c r="B331" t="s">
        <v>25</v>
      </c>
      <c r="C331">
        <v>1769065768</v>
      </c>
      <c r="D331" t="s">
        <v>23</v>
      </c>
      <c r="E331" t="s">
        <v>19</v>
      </c>
      <c r="F331" t="s">
        <v>99</v>
      </c>
      <c r="G331" s="8">
        <v>5.2</v>
      </c>
      <c r="H331" s="26">
        <v>0.5</v>
      </c>
    </row>
    <row r="332" spans="1:8" x14ac:dyDescent="0.3">
      <c r="A332">
        <v>202608</v>
      </c>
      <c r="B332" t="s">
        <v>25</v>
      </c>
      <c r="C332">
        <v>1769099514</v>
      </c>
      <c r="D332" t="s">
        <v>18</v>
      </c>
      <c r="E332" t="s">
        <v>24</v>
      </c>
      <c r="F332" t="s">
        <v>123</v>
      </c>
      <c r="G332" s="8">
        <v>1.4539231591600001</v>
      </c>
      <c r="H332" s="26">
        <v>2.1</v>
      </c>
    </row>
    <row r="333" spans="1:8" x14ac:dyDescent="0.3">
      <c r="A333">
        <v>202608</v>
      </c>
      <c r="B333" t="s">
        <v>25</v>
      </c>
      <c r="C333">
        <v>1769099522</v>
      </c>
      <c r="D333" t="s">
        <v>18</v>
      </c>
      <c r="E333" t="s">
        <v>24</v>
      </c>
      <c r="F333" t="s">
        <v>123</v>
      </c>
      <c r="G333" s="8">
        <v>0.88116429913000005</v>
      </c>
      <c r="H333" s="26">
        <v>2.1</v>
      </c>
    </row>
    <row r="334" spans="1:8" x14ac:dyDescent="0.3">
      <c r="A334">
        <v>202608</v>
      </c>
      <c r="B334" t="s">
        <v>25</v>
      </c>
      <c r="C334">
        <v>1769100695</v>
      </c>
      <c r="D334" t="s">
        <v>18</v>
      </c>
      <c r="E334" t="s">
        <v>24</v>
      </c>
      <c r="F334" t="s">
        <v>122</v>
      </c>
      <c r="G334" s="8">
        <v>0.98280999999999996</v>
      </c>
      <c r="H334" s="26">
        <v>1.05</v>
      </c>
    </row>
    <row r="335" spans="1:8" x14ac:dyDescent="0.3">
      <c r="A335">
        <v>202608</v>
      </c>
      <c r="B335" t="s">
        <v>25</v>
      </c>
      <c r="C335">
        <v>1769117474</v>
      </c>
      <c r="D335" t="s">
        <v>18</v>
      </c>
      <c r="E335" t="s">
        <v>24</v>
      </c>
      <c r="F335" t="s">
        <v>73</v>
      </c>
      <c r="G335" s="8">
        <v>0.20357743780000001</v>
      </c>
      <c r="H335" s="26">
        <v>3.05</v>
      </c>
    </row>
    <row r="336" spans="1:8" x14ac:dyDescent="0.3">
      <c r="A336">
        <v>202608</v>
      </c>
      <c r="B336" t="s">
        <v>25</v>
      </c>
      <c r="C336">
        <v>1773163760</v>
      </c>
      <c r="D336" t="s">
        <v>18</v>
      </c>
      <c r="E336" t="s">
        <v>19</v>
      </c>
      <c r="F336" t="s">
        <v>222</v>
      </c>
      <c r="G336" s="8">
        <v>4.5723200000000004</v>
      </c>
      <c r="H336" s="26">
        <v>1.2</v>
      </c>
    </row>
    <row r="337" spans="1:8" x14ac:dyDescent="0.3">
      <c r="A337">
        <v>202608</v>
      </c>
      <c r="B337" t="s">
        <v>25</v>
      </c>
      <c r="C337">
        <v>1773164899</v>
      </c>
      <c r="D337" t="s">
        <v>18</v>
      </c>
      <c r="E337" t="s">
        <v>24</v>
      </c>
      <c r="F337" t="s">
        <v>123</v>
      </c>
      <c r="G337" s="8">
        <v>1.7520687800799999</v>
      </c>
      <c r="H337" s="26">
        <v>2.1</v>
      </c>
    </row>
    <row r="338" spans="1:8" x14ac:dyDescent="0.3">
      <c r="A338">
        <v>202608</v>
      </c>
      <c r="B338" t="s">
        <v>25</v>
      </c>
      <c r="C338">
        <v>1773192574</v>
      </c>
      <c r="D338" t="s">
        <v>18</v>
      </c>
      <c r="E338" t="s">
        <v>24</v>
      </c>
      <c r="F338" t="s">
        <v>122</v>
      </c>
      <c r="G338" s="8">
        <v>1.64836</v>
      </c>
      <c r="H338" s="26">
        <v>1.25</v>
      </c>
    </row>
    <row r="339" spans="1:8" x14ac:dyDescent="0.3">
      <c r="A339">
        <v>202608</v>
      </c>
      <c r="B339" t="s">
        <v>25</v>
      </c>
      <c r="C339">
        <v>1773214410</v>
      </c>
      <c r="D339" t="s">
        <v>18</v>
      </c>
      <c r="E339" t="s">
        <v>24</v>
      </c>
      <c r="F339" t="s">
        <v>72</v>
      </c>
      <c r="G339" s="8">
        <v>2.6871999999999998</v>
      </c>
      <c r="H339" s="26">
        <v>4.05</v>
      </c>
    </row>
    <row r="340" spans="1:8" x14ac:dyDescent="0.3">
      <c r="A340">
        <v>202608</v>
      </c>
      <c r="B340" t="s">
        <v>25</v>
      </c>
      <c r="C340">
        <v>1773229362</v>
      </c>
      <c r="D340" t="s">
        <v>18</v>
      </c>
      <c r="E340" t="s">
        <v>19</v>
      </c>
      <c r="F340" t="s">
        <v>99</v>
      </c>
      <c r="G340" s="8">
        <v>9.0665999999999993</v>
      </c>
      <c r="H340" s="26">
        <v>0.45</v>
      </c>
    </row>
    <row r="341" spans="1:8" x14ac:dyDescent="0.3">
      <c r="A341">
        <v>202608</v>
      </c>
      <c r="B341" t="s">
        <v>25</v>
      </c>
      <c r="C341">
        <v>1773230735</v>
      </c>
      <c r="D341" t="s">
        <v>23</v>
      </c>
      <c r="E341" t="s">
        <v>19</v>
      </c>
      <c r="F341" t="s">
        <v>179</v>
      </c>
      <c r="G341" s="8">
        <v>5</v>
      </c>
      <c r="H341" s="26">
        <v>0.65</v>
      </c>
    </row>
    <row r="342" spans="1:8" x14ac:dyDescent="0.3">
      <c r="A342">
        <v>202608</v>
      </c>
      <c r="B342" t="s">
        <v>25</v>
      </c>
      <c r="C342">
        <v>1773237357</v>
      </c>
      <c r="D342" t="s">
        <v>18</v>
      </c>
      <c r="E342" t="s">
        <v>34</v>
      </c>
      <c r="F342" t="s">
        <v>240</v>
      </c>
      <c r="G342" s="8">
        <v>3.9914283959999998E-2</v>
      </c>
      <c r="H342" s="26">
        <v>2.2999999999999998</v>
      </c>
    </row>
    <row r="343" spans="1:8" x14ac:dyDescent="0.3">
      <c r="A343">
        <v>202608</v>
      </c>
      <c r="B343" t="s">
        <v>25</v>
      </c>
      <c r="C343">
        <v>1773237390</v>
      </c>
      <c r="D343" t="s">
        <v>18</v>
      </c>
      <c r="E343" t="s">
        <v>24</v>
      </c>
      <c r="F343" t="s">
        <v>123</v>
      </c>
      <c r="G343" s="8">
        <v>2.0265253990800001</v>
      </c>
      <c r="H343" s="26">
        <v>0</v>
      </c>
    </row>
    <row r="344" spans="1:8" x14ac:dyDescent="0.3">
      <c r="A344">
        <v>202608</v>
      </c>
      <c r="B344" t="s">
        <v>25</v>
      </c>
      <c r="C344">
        <v>1773237403</v>
      </c>
      <c r="D344" t="s">
        <v>18</v>
      </c>
      <c r="E344" t="s">
        <v>34</v>
      </c>
      <c r="F344" t="s">
        <v>111</v>
      </c>
      <c r="G344" s="8">
        <v>7.1958143840000002E-2</v>
      </c>
      <c r="H344" s="26">
        <v>2.2999999999999998</v>
      </c>
    </row>
    <row r="345" spans="1:8" x14ac:dyDescent="0.3">
      <c r="A345">
        <v>202608</v>
      </c>
      <c r="B345" t="s">
        <v>25</v>
      </c>
      <c r="C345">
        <v>1773237500</v>
      </c>
      <c r="D345" t="s">
        <v>18</v>
      </c>
      <c r="E345" t="s">
        <v>34</v>
      </c>
      <c r="F345" t="s">
        <v>240</v>
      </c>
      <c r="G345" s="8">
        <v>4.1248193279999998E-2</v>
      </c>
      <c r="H345" s="26">
        <v>2.4</v>
      </c>
    </row>
    <row r="346" spans="1:8" x14ac:dyDescent="0.3">
      <c r="A346">
        <v>202608</v>
      </c>
      <c r="B346" t="s">
        <v>25</v>
      </c>
      <c r="C346">
        <v>1773237550</v>
      </c>
      <c r="D346" t="s">
        <v>18</v>
      </c>
      <c r="E346" t="s">
        <v>34</v>
      </c>
      <c r="F346" t="s">
        <v>111</v>
      </c>
      <c r="G346" s="8">
        <v>0.26529619636000001</v>
      </c>
      <c r="H346" s="26">
        <v>2.2999999999999998</v>
      </c>
    </row>
    <row r="347" spans="1:8" x14ac:dyDescent="0.3">
      <c r="A347">
        <v>202608</v>
      </c>
      <c r="B347" t="s">
        <v>25</v>
      </c>
      <c r="C347">
        <v>1773237586</v>
      </c>
      <c r="D347" t="s">
        <v>18</v>
      </c>
      <c r="E347" t="s">
        <v>34</v>
      </c>
      <c r="F347" t="s">
        <v>111</v>
      </c>
      <c r="G347" s="8">
        <v>9.1924531599999998E-2</v>
      </c>
      <c r="H347" s="26">
        <v>2.4</v>
      </c>
    </row>
    <row r="348" spans="1:8" x14ac:dyDescent="0.3">
      <c r="A348">
        <v>202608</v>
      </c>
      <c r="B348" t="s">
        <v>25</v>
      </c>
      <c r="C348">
        <v>1773240145</v>
      </c>
      <c r="D348" t="s">
        <v>23</v>
      </c>
      <c r="E348" t="s">
        <v>19</v>
      </c>
      <c r="F348" t="s">
        <v>179</v>
      </c>
      <c r="G348" s="8">
        <v>5</v>
      </c>
      <c r="H348" s="26">
        <v>0.65</v>
      </c>
    </row>
    <row r="349" spans="1:8" x14ac:dyDescent="0.3">
      <c r="A349">
        <v>202608</v>
      </c>
      <c r="B349" t="s">
        <v>36</v>
      </c>
      <c r="C349">
        <v>1769063935</v>
      </c>
      <c r="D349" t="s">
        <v>23</v>
      </c>
      <c r="E349" t="s">
        <v>19</v>
      </c>
      <c r="F349" t="s">
        <v>97</v>
      </c>
      <c r="G349" s="8">
        <v>0.12</v>
      </c>
      <c r="H349" s="26">
        <v>3</v>
      </c>
    </row>
    <row r="350" spans="1:8" x14ac:dyDescent="0.3">
      <c r="A350">
        <v>202608</v>
      </c>
      <c r="B350" t="s">
        <v>36</v>
      </c>
      <c r="C350">
        <v>1769094750</v>
      </c>
      <c r="D350" t="s">
        <v>23</v>
      </c>
      <c r="E350" t="s">
        <v>19</v>
      </c>
      <c r="F350" t="s">
        <v>97</v>
      </c>
      <c r="G350" s="8">
        <v>0.12</v>
      </c>
      <c r="H350" s="26">
        <v>3</v>
      </c>
    </row>
    <row r="351" spans="1:8" x14ac:dyDescent="0.3">
      <c r="A351">
        <v>202608</v>
      </c>
      <c r="B351" t="s">
        <v>36</v>
      </c>
      <c r="C351">
        <v>1773218336</v>
      </c>
      <c r="D351" t="s">
        <v>23</v>
      </c>
      <c r="E351" t="s">
        <v>19</v>
      </c>
      <c r="F351" t="s">
        <v>231</v>
      </c>
      <c r="G351" s="8">
        <v>1.04325</v>
      </c>
      <c r="H351" s="26">
        <v>1</v>
      </c>
    </row>
    <row r="352" spans="1:8" x14ac:dyDescent="0.3">
      <c r="A352">
        <v>202608</v>
      </c>
      <c r="B352" t="s">
        <v>36</v>
      </c>
      <c r="C352">
        <v>1773219375</v>
      </c>
      <c r="D352" t="s">
        <v>23</v>
      </c>
      <c r="E352" t="s">
        <v>24</v>
      </c>
      <c r="F352" t="s">
        <v>232</v>
      </c>
      <c r="G352" s="8">
        <v>0.215</v>
      </c>
      <c r="H352" s="26">
        <v>4.9000000000000004</v>
      </c>
    </row>
    <row r="353" spans="1:8" x14ac:dyDescent="0.3">
      <c r="A353">
        <v>202608</v>
      </c>
      <c r="B353" t="s">
        <v>36</v>
      </c>
      <c r="C353">
        <v>1773231987</v>
      </c>
      <c r="D353" t="s">
        <v>23</v>
      </c>
      <c r="E353" t="s">
        <v>19</v>
      </c>
      <c r="F353" t="s">
        <v>241</v>
      </c>
      <c r="G353" s="8">
        <v>0.8</v>
      </c>
      <c r="H353" s="26">
        <v>1.65</v>
      </c>
    </row>
    <row r="354" spans="1:8" x14ac:dyDescent="0.3">
      <c r="A354">
        <v>202608</v>
      </c>
      <c r="B354" t="s">
        <v>117</v>
      </c>
      <c r="C354">
        <v>1773204700</v>
      </c>
      <c r="D354" t="s">
        <v>23</v>
      </c>
      <c r="E354" t="s">
        <v>34</v>
      </c>
      <c r="F354" t="s">
        <v>100</v>
      </c>
      <c r="G354" s="8">
        <v>0.21104100000000001</v>
      </c>
      <c r="H354" s="26">
        <v>8.65</v>
      </c>
    </row>
    <row r="355" spans="1:8" x14ac:dyDescent="0.3">
      <c r="A355">
        <v>202608</v>
      </c>
      <c r="B355" t="s">
        <v>37</v>
      </c>
      <c r="C355">
        <v>1769110290</v>
      </c>
      <c r="D355" t="s">
        <v>18</v>
      </c>
      <c r="E355" t="s">
        <v>19</v>
      </c>
      <c r="F355" t="s">
        <v>183</v>
      </c>
      <c r="G355" s="8">
        <v>0.10149</v>
      </c>
      <c r="H355" s="26">
        <v>6.95</v>
      </c>
    </row>
    <row r="356" spans="1:8" x14ac:dyDescent="0.3">
      <c r="A356">
        <v>202608</v>
      </c>
      <c r="B356" t="s">
        <v>37</v>
      </c>
      <c r="C356">
        <v>1773149245</v>
      </c>
      <c r="D356" t="s">
        <v>18</v>
      </c>
      <c r="E356" t="s">
        <v>24</v>
      </c>
      <c r="F356" t="s">
        <v>47</v>
      </c>
      <c r="G356" s="8">
        <v>0.45940799999999998</v>
      </c>
      <c r="H356" s="26">
        <v>2.4</v>
      </c>
    </row>
    <row r="357" spans="1:8" x14ac:dyDescent="0.3">
      <c r="A357">
        <v>202608</v>
      </c>
      <c r="B357" t="s">
        <v>37</v>
      </c>
      <c r="C357">
        <v>1773168738</v>
      </c>
      <c r="D357" t="s">
        <v>23</v>
      </c>
      <c r="E357" t="s">
        <v>24</v>
      </c>
      <c r="F357" t="s">
        <v>46</v>
      </c>
      <c r="G357" s="8">
        <v>4.2999999999999997E-2</v>
      </c>
      <c r="H357" s="26">
        <v>4.1500000000000004</v>
      </c>
    </row>
    <row r="358" spans="1:8" x14ac:dyDescent="0.3">
      <c r="A358">
        <v>202608</v>
      </c>
      <c r="B358" t="s">
        <v>37</v>
      </c>
      <c r="C358">
        <v>1773168886</v>
      </c>
      <c r="D358" t="s">
        <v>23</v>
      </c>
      <c r="E358" t="s">
        <v>24</v>
      </c>
      <c r="F358" t="s">
        <v>46</v>
      </c>
      <c r="G358" s="8">
        <v>4.4999999999999998E-2</v>
      </c>
      <c r="H358" s="26">
        <v>4.1500000000000004</v>
      </c>
    </row>
    <row r="359" spans="1:8" x14ac:dyDescent="0.3">
      <c r="A359">
        <v>202608</v>
      </c>
      <c r="B359" t="s">
        <v>37</v>
      </c>
      <c r="C359">
        <v>1773184504</v>
      </c>
      <c r="D359" t="s">
        <v>23</v>
      </c>
      <c r="E359" t="s">
        <v>19</v>
      </c>
      <c r="F359" t="s">
        <v>125</v>
      </c>
      <c r="G359" s="8">
        <v>5</v>
      </c>
      <c r="H359" s="26">
        <v>1.1499999999999999</v>
      </c>
    </row>
    <row r="360" spans="1:8" x14ac:dyDescent="0.3">
      <c r="A360">
        <v>202608</v>
      </c>
      <c r="B360" t="s">
        <v>37</v>
      </c>
      <c r="C360">
        <v>1773192840</v>
      </c>
      <c r="D360" t="s">
        <v>18</v>
      </c>
      <c r="E360" t="s">
        <v>19</v>
      </c>
      <c r="F360" t="s">
        <v>183</v>
      </c>
      <c r="G360" s="8">
        <v>3.3640000000000003E-2</v>
      </c>
      <c r="H360" s="26">
        <v>6.95</v>
      </c>
    </row>
    <row r="361" spans="1:8" x14ac:dyDescent="0.3">
      <c r="A361">
        <v>202608</v>
      </c>
      <c r="B361" t="s">
        <v>145</v>
      </c>
      <c r="C361">
        <v>1773192205</v>
      </c>
      <c r="D361" t="s">
        <v>18</v>
      </c>
      <c r="E361" t="s">
        <v>24</v>
      </c>
      <c r="F361" t="s">
        <v>233</v>
      </c>
      <c r="G361" s="8">
        <v>1.72063153684</v>
      </c>
      <c r="H361" s="26">
        <v>0.9</v>
      </c>
    </row>
    <row r="362" spans="1:8" x14ac:dyDescent="0.3">
      <c r="A362">
        <v>202608</v>
      </c>
      <c r="B362" t="s">
        <v>145</v>
      </c>
      <c r="C362">
        <v>1773220969</v>
      </c>
      <c r="D362" t="s">
        <v>18</v>
      </c>
      <c r="E362" t="s">
        <v>19</v>
      </c>
      <c r="F362" t="s">
        <v>234</v>
      </c>
      <c r="G362" s="8">
        <v>0.67179999999999995</v>
      </c>
      <c r="H362" s="26">
        <v>3.7</v>
      </c>
    </row>
    <row r="363" spans="1:8" x14ac:dyDescent="0.3">
      <c r="A363">
        <v>202608</v>
      </c>
      <c r="B363" t="s">
        <v>32</v>
      </c>
      <c r="C363">
        <v>1769072322</v>
      </c>
      <c r="D363" t="s">
        <v>18</v>
      </c>
      <c r="E363" t="s">
        <v>24</v>
      </c>
      <c r="F363" t="s">
        <v>76</v>
      </c>
      <c r="G363" s="8">
        <v>0.84924999999999995</v>
      </c>
      <c r="H363" s="26">
        <v>2.48</v>
      </c>
    </row>
    <row r="364" spans="1:8" x14ac:dyDescent="0.3">
      <c r="A364">
        <v>202608</v>
      </c>
      <c r="B364" t="s">
        <v>32</v>
      </c>
      <c r="C364">
        <v>1769086617</v>
      </c>
      <c r="D364" t="s">
        <v>18</v>
      </c>
      <c r="E364" t="s">
        <v>24</v>
      </c>
      <c r="F364" t="s">
        <v>208</v>
      </c>
      <c r="G364" s="8">
        <v>0.33910000000000001</v>
      </c>
      <c r="H364" s="26">
        <v>6.07</v>
      </c>
    </row>
    <row r="365" spans="1:8" x14ac:dyDescent="0.3">
      <c r="A365">
        <v>202608</v>
      </c>
      <c r="B365" t="s">
        <v>32</v>
      </c>
      <c r="C365">
        <v>1769094229</v>
      </c>
      <c r="D365" t="s">
        <v>23</v>
      </c>
      <c r="E365" t="s">
        <v>19</v>
      </c>
      <c r="F365" t="s">
        <v>91</v>
      </c>
      <c r="G365" s="8">
        <v>1.5</v>
      </c>
      <c r="H365" s="26">
        <v>1</v>
      </c>
    </row>
    <row r="366" spans="1:8" x14ac:dyDescent="0.3">
      <c r="A366">
        <v>202608</v>
      </c>
      <c r="B366" t="s">
        <v>32</v>
      </c>
      <c r="C366">
        <v>1773186515</v>
      </c>
      <c r="D366" t="s">
        <v>18</v>
      </c>
      <c r="E366" t="s">
        <v>19</v>
      </c>
      <c r="F366" t="s">
        <v>235</v>
      </c>
      <c r="G366" s="8">
        <v>1.6819999999999999</v>
      </c>
      <c r="H366" s="26">
        <v>3.8</v>
      </c>
    </row>
    <row r="367" spans="1:8" x14ac:dyDescent="0.3">
      <c r="A367">
        <v>202608</v>
      </c>
      <c r="B367" t="s">
        <v>32</v>
      </c>
      <c r="C367">
        <v>1773230638</v>
      </c>
      <c r="D367" t="s">
        <v>18</v>
      </c>
      <c r="E367" t="s">
        <v>24</v>
      </c>
      <c r="F367" t="s">
        <v>242</v>
      </c>
      <c r="G367" s="8">
        <v>0.33915800000000002</v>
      </c>
      <c r="H367" s="26">
        <v>4.8</v>
      </c>
    </row>
    <row r="368" spans="1:8" x14ac:dyDescent="0.3">
      <c r="A368">
        <v>202608</v>
      </c>
      <c r="B368" t="s">
        <v>33</v>
      </c>
      <c r="C368">
        <v>1769063722</v>
      </c>
      <c r="D368" t="s">
        <v>23</v>
      </c>
      <c r="E368" t="s">
        <v>19</v>
      </c>
      <c r="F368" t="s">
        <v>77</v>
      </c>
      <c r="G368" s="8">
        <v>0.2</v>
      </c>
      <c r="H368" s="26">
        <v>3.6</v>
      </c>
    </row>
    <row r="369" spans="1:8" x14ac:dyDescent="0.3">
      <c r="A369">
        <v>202608</v>
      </c>
      <c r="B369" t="s">
        <v>33</v>
      </c>
      <c r="C369">
        <v>1769063820</v>
      </c>
      <c r="D369" t="s">
        <v>23</v>
      </c>
      <c r="E369" t="s">
        <v>19</v>
      </c>
      <c r="F369" t="s">
        <v>77</v>
      </c>
      <c r="G369" s="8">
        <v>0.20300000000000001</v>
      </c>
      <c r="H369" s="26">
        <v>3.6</v>
      </c>
    </row>
    <row r="370" spans="1:8" x14ac:dyDescent="0.3">
      <c r="A370">
        <v>202608</v>
      </c>
      <c r="B370" t="s">
        <v>33</v>
      </c>
      <c r="C370">
        <v>1769072560</v>
      </c>
      <c r="D370" t="s">
        <v>18</v>
      </c>
      <c r="E370" t="s">
        <v>24</v>
      </c>
      <c r="F370" t="s">
        <v>149</v>
      </c>
      <c r="G370" s="8">
        <v>0.40764</v>
      </c>
      <c r="H370" s="26">
        <v>3.3</v>
      </c>
    </row>
    <row r="371" spans="1:8" x14ac:dyDescent="0.3">
      <c r="A371">
        <v>202608</v>
      </c>
      <c r="B371" t="s">
        <v>33</v>
      </c>
      <c r="C371">
        <v>1769084428</v>
      </c>
      <c r="D371" t="s">
        <v>23</v>
      </c>
      <c r="E371" t="s">
        <v>19</v>
      </c>
      <c r="F371" t="s">
        <v>209</v>
      </c>
      <c r="G371" s="8">
        <v>1.2</v>
      </c>
      <c r="H371" s="26">
        <v>0.65</v>
      </c>
    </row>
    <row r="372" spans="1:8" x14ac:dyDescent="0.3">
      <c r="A372">
        <v>202608</v>
      </c>
      <c r="B372" t="s">
        <v>33</v>
      </c>
      <c r="C372">
        <v>1769095527</v>
      </c>
      <c r="D372" t="s">
        <v>18</v>
      </c>
      <c r="E372" t="s">
        <v>19</v>
      </c>
      <c r="F372" t="s">
        <v>79</v>
      </c>
      <c r="G372" s="8">
        <v>1.0166999999999999</v>
      </c>
      <c r="H372" s="26">
        <v>1</v>
      </c>
    </row>
    <row r="373" spans="1:8" x14ac:dyDescent="0.3">
      <c r="A373">
        <v>202608</v>
      </c>
      <c r="B373" t="s">
        <v>33</v>
      </c>
      <c r="C373">
        <v>1769111603</v>
      </c>
      <c r="D373" t="s">
        <v>18</v>
      </c>
      <c r="E373" t="s">
        <v>24</v>
      </c>
      <c r="F373" t="s">
        <v>92</v>
      </c>
      <c r="G373" s="8">
        <v>0.50744999999999996</v>
      </c>
      <c r="H373" s="26">
        <v>3.15</v>
      </c>
    </row>
    <row r="374" spans="1:8" x14ac:dyDescent="0.3">
      <c r="A374">
        <v>202608</v>
      </c>
      <c r="B374" t="s">
        <v>33</v>
      </c>
      <c r="C374">
        <v>1769114475</v>
      </c>
      <c r="D374" t="s">
        <v>23</v>
      </c>
      <c r="E374" t="s">
        <v>19</v>
      </c>
      <c r="F374" t="s">
        <v>216</v>
      </c>
      <c r="G374" s="8">
        <v>1.01649173</v>
      </c>
      <c r="H374" s="26">
        <v>5.05</v>
      </c>
    </row>
    <row r="375" spans="1:8" x14ac:dyDescent="0.3">
      <c r="A375">
        <v>202608</v>
      </c>
      <c r="B375" t="s">
        <v>33</v>
      </c>
      <c r="C375">
        <v>1773145060</v>
      </c>
      <c r="D375" t="s">
        <v>23</v>
      </c>
      <c r="E375" t="s">
        <v>19</v>
      </c>
      <c r="F375" t="s">
        <v>217</v>
      </c>
      <c r="G375" s="8">
        <v>0.16900000000000001</v>
      </c>
      <c r="H375" s="26">
        <v>4.5999999999999996</v>
      </c>
    </row>
    <row r="376" spans="1:8" x14ac:dyDescent="0.3">
      <c r="A376">
        <v>202608</v>
      </c>
      <c r="B376" t="s">
        <v>33</v>
      </c>
      <c r="C376">
        <v>1773169440</v>
      </c>
      <c r="D376" t="s">
        <v>18</v>
      </c>
      <c r="E376" t="s">
        <v>19</v>
      </c>
      <c r="F376" t="s">
        <v>82</v>
      </c>
      <c r="G376" s="8">
        <v>0.3362</v>
      </c>
      <c r="H376" s="26">
        <v>1.55</v>
      </c>
    </row>
    <row r="377" spans="1:8" x14ac:dyDescent="0.3">
      <c r="A377">
        <v>202608</v>
      </c>
      <c r="B377" t="s">
        <v>33</v>
      </c>
      <c r="C377">
        <v>1773176315</v>
      </c>
      <c r="D377" t="s">
        <v>23</v>
      </c>
      <c r="E377" t="s">
        <v>19</v>
      </c>
      <c r="F377" t="s">
        <v>82</v>
      </c>
      <c r="G377" s="8">
        <v>0.31</v>
      </c>
      <c r="H377" s="26">
        <v>1.55</v>
      </c>
    </row>
    <row r="378" spans="1:8" x14ac:dyDescent="0.3">
      <c r="A378">
        <v>202608</v>
      </c>
      <c r="B378" t="s">
        <v>33</v>
      </c>
      <c r="C378">
        <v>1773176919</v>
      </c>
      <c r="D378" t="s">
        <v>18</v>
      </c>
      <c r="E378" t="s">
        <v>19</v>
      </c>
      <c r="F378" t="s">
        <v>82</v>
      </c>
      <c r="G378" s="8">
        <v>0.33660000000000001</v>
      </c>
      <c r="H378" s="26">
        <v>1.55</v>
      </c>
    </row>
    <row r="379" spans="1:8" x14ac:dyDescent="0.3">
      <c r="A379">
        <v>202608</v>
      </c>
      <c r="B379" t="s">
        <v>33</v>
      </c>
      <c r="C379">
        <v>1773181092</v>
      </c>
      <c r="D379" t="s">
        <v>23</v>
      </c>
      <c r="E379" t="s">
        <v>19</v>
      </c>
      <c r="F379" t="s">
        <v>77</v>
      </c>
      <c r="G379" s="8">
        <v>0.23799999999999999</v>
      </c>
      <c r="H379" s="26">
        <v>3.6</v>
      </c>
    </row>
    <row r="380" spans="1:8" x14ac:dyDescent="0.3">
      <c r="A380">
        <v>202608</v>
      </c>
      <c r="B380" t="s">
        <v>33</v>
      </c>
      <c r="C380">
        <v>1773181777</v>
      </c>
      <c r="D380" t="s">
        <v>18</v>
      </c>
      <c r="E380" t="s">
        <v>19</v>
      </c>
      <c r="F380" t="s">
        <v>82</v>
      </c>
      <c r="G380" s="8">
        <v>0.33660000000000001</v>
      </c>
      <c r="H380" s="26">
        <v>1.55</v>
      </c>
    </row>
    <row r="381" spans="1:8" x14ac:dyDescent="0.3">
      <c r="A381">
        <v>202608</v>
      </c>
      <c r="B381" t="s">
        <v>33</v>
      </c>
      <c r="C381">
        <v>1773210270</v>
      </c>
      <c r="D381" t="s">
        <v>23</v>
      </c>
      <c r="E381" t="s">
        <v>19</v>
      </c>
      <c r="F381" t="s">
        <v>82</v>
      </c>
      <c r="G381" s="8">
        <v>0.35</v>
      </c>
      <c r="H381" s="26">
        <v>1.55</v>
      </c>
    </row>
    <row r="382" spans="1:8" x14ac:dyDescent="0.3">
      <c r="A382">
        <v>202608</v>
      </c>
      <c r="B382" t="s">
        <v>33</v>
      </c>
      <c r="C382">
        <v>1773220853</v>
      </c>
      <c r="D382" t="s">
        <v>23</v>
      </c>
      <c r="E382" t="s">
        <v>19</v>
      </c>
      <c r="F382" t="s">
        <v>82</v>
      </c>
      <c r="G382" s="8">
        <v>0.35</v>
      </c>
      <c r="H382" s="26">
        <v>1.55</v>
      </c>
    </row>
    <row r="383" spans="1:8" x14ac:dyDescent="0.3">
      <c r="A383">
        <v>202608</v>
      </c>
      <c r="B383" t="s">
        <v>107</v>
      </c>
      <c r="C383">
        <v>1769106316</v>
      </c>
      <c r="D383" t="s">
        <v>23</v>
      </c>
      <c r="E383" t="s">
        <v>19</v>
      </c>
      <c r="F383" t="s">
        <v>218</v>
      </c>
      <c r="G383" s="8">
        <v>1.69</v>
      </c>
      <c r="H383" s="26">
        <v>3.3</v>
      </c>
    </row>
    <row r="384" spans="1:8" x14ac:dyDescent="0.3">
      <c r="A384">
        <v>202608</v>
      </c>
      <c r="B384" t="s">
        <v>107</v>
      </c>
      <c r="C384">
        <v>1769113495</v>
      </c>
      <c r="D384" t="s">
        <v>18</v>
      </c>
      <c r="E384" t="s">
        <v>24</v>
      </c>
      <c r="F384" t="s">
        <v>66</v>
      </c>
      <c r="G384" s="8">
        <v>0.37414694459999998</v>
      </c>
      <c r="H384" s="26">
        <v>0.35</v>
      </c>
    </row>
    <row r="385" spans="1:8" x14ac:dyDescent="0.3">
      <c r="A385">
        <v>202608</v>
      </c>
      <c r="B385" t="s">
        <v>107</v>
      </c>
      <c r="C385">
        <v>1773160575</v>
      </c>
      <c r="D385" t="s">
        <v>18</v>
      </c>
      <c r="E385" t="s">
        <v>24</v>
      </c>
      <c r="F385" t="s">
        <v>223</v>
      </c>
      <c r="G385" s="8">
        <v>0.19926485720000001</v>
      </c>
      <c r="H385" s="26">
        <v>2.4500000000000002</v>
      </c>
    </row>
    <row r="386" spans="1:8" x14ac:dyDescent="0.3">
      <c r="A386">
        <v>202608</v>
      </c>
      <c r="B386" t="s">
        <v>107</v>
      </c>
      <c r="C386">
        <v>1773181386</v>
      </c>
      <c r="D386" t="s">
        <v>18</v>
      </c>
      <c r="E386" t="s">
        <v>24</v>
      </c>
      <c r="F386" t="s">
        <v>228</v>
      </c>
      <c r="G386" s="8">
        <v>0.26928000000000002</v>
      </c>
      <c r="H386" s="26">
        <v>4.8499999999999996</v>
      </c>
    </row>
    <row r="387" spans="1:8" x14ac:dyDescent="0.3">
      <c r="A387">
        <v>202608</v>
      </c>
      <c r="B387" t="s">
        <v>107</v>
      </c>
      <c r="C387">
        <v>1773181882</v>
      </c>
      <c r="D387" t="s">
        <v>18</v>
      </c>
      <c r="E387" t="s">
        <v>19</v>
      </c>
      <c r="F387" t="s">
        <v>223</v>
      </c>
      <c r="G387" s="8">
        <v>0.13167792</v>
      </c>
      <c r="H387" s="26">
        <v>2.4500000000000002</v>
      </c>
    </row>
    <row r="388" spans="1:8" x14ac:dyDescent="0.3">
      <c r="A388">
        <v>202608</v>
      </c>
      <c r="B388" t="s">
        <v>107</v>
      </c>
      <c r="C388">
        <v>1773182640</v>
      </c>
      <c r="D388" t="s">
        <v>18</v>
      </c>
      <c r="E388" t="s">
        <v>24</v>
      </c>
      <c r="F388" t="s">
        <v>229</v>
      </c>
      <c r="G388" s="8">
        <v>0.42209640000000004</v>
      </c>
      <c r="H388" s="26">
        <v>4.6500000000000004</v>
      </c>
    </row>
    <row r="389" spans="1:8" x14ac:dyDescent="0.3">
      <c r="A389">
        <v>202608</v>
      </c>
      <c r="B389" t="s">
        <v>107</v>
      </c>
      <c r="C389">
        <v>1773205706</v>
      </c>
      <c r="D389" t="s">
        <v>23</v>
      </c>
      <c r="E389" t="s">
        <v>34</v>
      </c>
      <c r="F389" t="s">
        <v>218</v>
      </c>
      <c r="G389" s="8">
        <v>0.46591367</v>
      </c>
      <c r="H389" s="26">
        <v>3.15</v>
      </c>
    </row>
    <row r="390" spans="1:8" x14ac:dyDescent="0.3">
      <c r="A390">
        <v>202608</v>
      </c>
      <c r="B390" t="s">
        <v>107</v>
      </c>
      <c r="C390">
        <v>1773214489</v>
      </c>
      <c r="D390" t="s">
        <v>18</v>
      </c>
      <c r="E390" t="s">
        <v>24</v>
      </c>
      <c r="F390" t="s">
        <v>223</v>
      </c>
      <c r="G390" s="8">
        <v>9.0692999999999996E-2</v>
      </c>
      <c r="H390" s="26">
        <v>2.4500000000000002</v>
      </c>
    </row>
    <row r="391" spans="1:8" x14ac:dyDescent="0.3">
      <c r="A391">
        <v>202608</v>
      </c>
      <c r="B391" t="s">
        <v>107</v>
      </c>
      <c r="C391">
        <v>1773217879</v>
      </c>
      <c r="D391" t="s">
        <v>18</v>
      </c>
      <c r="E391" t="s">
        <v>19</v>
      </c>
      <c r="F391" t="s">
        <v>223</v>
      </c>
      <c r="G391" s="8">
        <v>0.80951899999999999</v>
      </c>
      <c r="H391" s="26">
        <v>2.4500000000000002</v>
      </c>
    </row>
    <row r="392" spans="1:8" x14ac:dyDescent="0.3">
      <c r="A392">
        <v>202608</v>
      </c>
      <c r="B392" t="s">
        <v>107</v>
      </c>
      <c r="C392">
        <v>1773240110</v>
      </c>
      <c r="D392" t="s">
        <v>18</v>
      </c>
      <c r="E392" t="s">
        <v>24</v>
      </c>
      <c r="F392" t="s">
        <v>67</v>
      </c>
      <c r="G392" s="8">
        <v>0.83899999999999997</v>
      </c>
      <c r="H392" s="26">
        <v>4.99</v>
      </c>
    </row>
    <row r="393" spans="1:8" x14ac:dyDescent="0.3">
      <c r="A393">
        <v>202608</v>
      </c>
      <c r="B393" t="s">
        <v>41</v>
      </c>
      <c r="C393">
        <v>1769086757</v>
      </c>
      <c r="D393" t="s">
        <v>23</v>
      </c>
      <c r="E393" t="s">
        <v>19</v>
      </c>
      <c r="F393" t="s">
        <v>210</v>
      </c>
      <c r="G393" s="8">
        <v>0.99180000000000001</v>
      </c>
      <c r="H393" s="26">
        <v>1.1000000000000001</v>
      </c>
    </row>
    <row r="394" spans="1:8" x14ac:dyDescent="0.3">
      <c r="A394">
        <v>202608</v>
      </c>
      <c r="B394" t="s">
        <v>41</v>
      </c>
      <c r="C394">
        <v>1769100090</v>
      </c>
      <c r="D394" t="s">
        <v>23</v>
      </c>
      <c r="E394" t="s">
        <v>19</v>
      </c>
      <c r="F394" t="s">
        <v>211</v>
      </c>
      <c r="G394" s="8">
        <v>0.6</v>
      </c>
      <c r="H394" s="26">
        <v>1.5</v>
      </c>
    </row>
    <row r="395" spans="1:8" x14ac:dyDescent="0.3">
      <c r="A395">
        <v>202608</v>
      </c>
      <c r="B395" t="s">
        <v>41</v>
      </c>
      <c r="C395">
        <v>1769102370</v>
      </c>
      <c r="D395" t="s">
        <v>23</v>
      </c>
      <c r="E395" t="s">
        <v>19</v>
      </c>
      <c r="F395" t="s">
        <v>212</v>
      </c>
      <c r="G395" s="8">
        <v>1</v>
      </c>
      <c r="H395" s="26">
        <v>1.3</v>
      </c>
    </row>
    <row r="396" spans="1:8" x14ac:dyDescent="0.3">
      <c r="A396">
        <v>202608</v>
      </c>
      <c r="B396" t="s">
        <v>41</v>
      </c>
      <c r="C396">
        <v>1773158627</v>
      </c>
      <c r="D396" t="s">
        <v>23</v>
      </c>
      <c r="E396" t="s">
        <v>19</v>
      </c>
      <c r="F396" t="s">
        <v>211</v>
      </c>
      <c r="G396" s="8">
        <v>0.4</v>
      </c>
      <c r="H396" s="26">
        <v>1.5</v>
      </c>
    </row>
    <row r="397" spans="1:8" x14ac:dyDescent="0.3">
      <c r="A397">
        <v>202608</v>
      </c>
      <c r="B397" t="s">
        <v>41</v>
      </c>
      <c r="C397">
        <v>1773172123</v>
      </c>
      <c r="D397" t="s">
        <v>23</v>
      </c>
      <c r="E397" t="s">
        <v>19</v>
      </c>
      <c r="F397" t="s">
        <v>224</v>
      </c>
      <c r="G397" s="8">
        <v>0.86499999999999999</v>
      </c>
      <c r="H397" s="26">
        <v>1.25</v>
      </c>
    </row>
    <row r="398" spans="1:8" x14ac:dyDescent="0.3">
      <c r="A398">
        <v>202608</v>
      </c>
      <c r="B398" t="s">
        <v>41</v>
      </c>
      <c r="C398">
        <v>1773240560</v>
      </c>
      <c r="D398" t="s">
        <v>23</v>
      </c>
      <c r="E398" t="s">
        <v>19</v>
      </c>
      <c r="F398" t="s">
        <v>212</v>
      </c>
      <c r="G398" s="8">
        <v>0.5</v>
      </c>
      <c r="H398" s="26">
        <v>1.3</v>
      </c>
    </row>
    <row r="399" spans="1:8" x14ac:dyDescent="0.3">
      <c r="A399">
        <v>202608</v>
      </c>
      <c r="B399" t="s">
        <v>27</v>
      </c>
      <c r="C399">
        <v>1769087672</v>
      </c>
      <c r="D399" t="s">
        <v>18</v>
      </c>
      <c r="E399" t="s">
        <v>24</v>
      </c>
      <c r="F399" t="s">
        <v>213</v>
      </c>
      <c r="G399" s="8">
        <v>3.391</v>
      </c>
      <c r="H399" s="26">
        <v>0.65</v>
      </c>
    </row>
    <row r="400" spans="1:8" x14ac:dyDescent="0.3">
      <c r="A400">
        <v>202608</v>
      </c>
      <c r="B400" t="s">
        <v>27</v>
      </c>
      <c r="C400">
        <v>1769099506</v>
      </c>
      <c r="D400" t="s">
        <v>18</v>
      </c>
      <c r="E400" t="s">
        <v>24</v>
      </c>
      <c r="F400" t="s">
        <v>214</v>
      </c>
      <c r="G400" s="8">
        <v>1.0166999999999999</v>
      </c>
      <c r="H400" s="26">
        <v>3.95</v>
      </c>
    </row>
    <row r="401" spans="1:8" x14ac:dyDescent="0.3">
      <c r="A401">
        <v>202608</v>
      </c>
      <c r="B401" t="s">
        <v>27</v>
      </c>
      <c r="C401">
        <v>1773163159</v>
      </c>
      <c r="D401" t="s">
        <v>23</v>
      </c>
      <c r="E401" t="s">
        <v>19</v>
      </c>
      <c r="F401" t="s">
        <v>225</v>
      </c>
      <c r="G401" s="8">
        <v>3</v>
      </c>
      <c r="H401" s="26">
        <v>0.65</v>
      </c>
    </row>
    <row r="402" spans="1:8" x14ac:dyDescent="0.3">
      <c r="A402">
        <v>202608</v>
      </c>
      <c r="B402" t="s">
        <v>27</v>
      </c>
      <c r="C402">
        <v>1773163230</v>
      </c>
      <c r="D402" t="s">
        <v>23</v>
      </c>
      <c r="E402" t="s">
        <v>19</v>
      </c>
      <c r="F402" t="s">
        <v>225</v>
      </c>
      <c r="G402" s="8">
        <v>3</v>
      </c>
      <c r="H402" s="26">
        <v>0.65</v>
      </c>
    </row>
    <row r="403" spans="1:8" x14ac:dyDescent="0.3">
      <c r="A403">
        <v>202608</v>
      </c>
      <c r="B403" t="s">
        <v>27</v>
      </c>
      <c r="C403">
        <v>1773180126</v>
      </c>
      <c r="D403" t="s">
        <v>18</v>
      </c>
      <c r="E403" t="s">
        <v>24</v>
      </c>
      <c r="F403" t="s">
        <v>214</v>
      </c>
      <c r="G403" s="8">
        <v>1.0098</v>
      </c>
      <c r="H403" s="26">
        <v>3.95</v>
      </c>
    </row>
    <row r="404" spans="1:8" x14ac:dyDescent="0.3">
      <c r="A404">
        <v>202608</v>
      </c>
      <c r="B404" t="s">
        <v>27</v>
      </c>
      <c r="C404">
        <v>1773186639</v>
      </c>
      <c r="D404" t="s">
        <v>23</v>
      </c>
      <c r="E404" t="s">
        <v>19</v>
      </c>
      <c r="F404" t="s">
        <v>236</v>
      </c>
      <c r="G404" s="8">
        <v>6</v>
      </c>
      <c r="H404" s="26">
        <v>0.6</v>
      </c>
    </row>
    <row r="405" spans="1:8" x14ac:dyDescent="0.3">
      <c r="A405">
        <v>202608</v>
      </c>
      <c r="B405" t="s">
        <v>27</v>
      </c>
      <c r="C405">
        <v>1773192248</v>
      </c>
      <c r="D405" t="s">
        <v>18</v>
      </c>
      <c r="E405" t="s">
        <v>24</v>
      </c>
      <c r="F405" t="s">
        <v>214</v>
      </c>
      <c r="G405" s="8">
        <v>1.0092000000000001</v>
      </c>
      <c r="H405" s="26">
        <v>3.95</v>
      </c>
    </row>
    <row r="406" spans="1:8" x14ac:dyDescent="0.3">
      <c r="A406">
        <v>202608</v>
      </c>
      <c r="B406" t="s">
        <v>27</v>
      </c>
      <c r="C406">
        <v>1773220349</v>
      </c>
      <c r="D406" t="s">
        <v>18</v>
      </c>
      <c r="E406" t="s">
        <v>24</v>
      </c>
      <c r="F406" t="s">
        <v>214</v>
      </c>
      <c r="G406" s="8">
        <v>0.34933599999999998</v>
      </c>
      <c r="H406" s="26">
        <v>3.93</v>
      </c>
    </row>
    <row r="407" spans="1:8" x14ac:dyDescent="0.3">
      <c r="A407">
        <v>202608</v>
      </c>
      <c r="B407" t="s">
        <v>27</v>
      </c>
      <c r="C407">
        <v>1773220373</v>
      </c>
      <c r="D407" t="s">
        <v>18</v>
      </c>
      <c r="E407" t="s">
        <v>24</v>
      </c>
      <c r="F407" t="s">
        <v>214</v>
      </c>
      <c r="G407" s="8">
        <v>0.91700700000000002</v>
      </c>
      <c r="H407" s="26">
        <v>3.93</v>
      </c>
    </row>
    <row r="408" spans="1:8" x14ac:dyDescent="0.3">
      <c r="A408">
        <v>202608</v>
      </c>
      <c r="B408" t="s">
        <v>27</v>
      </c>
      <c r="C408">
        <v>1773224379</v>
      </c>
      <c r="D408" t="s">
        <v>18</v>
      </c>
      <c r="E408" t="s">
        <v>48</v>
      </c>
      <c r="F408" t="s">
        <v>84</v>
      </c>
      <c r="G408" s="8">
        <v>1.2491760000000001</v>
      </c>
      <c r="H408" s="26">
        <v>0.9</v>
      </c>
    </row>
    <row r="409" spans="1:8" x14ac:dyDescent="0.3">
      <c r="A409">
        <v>202608</v>
      </c>
      <c r="B409" t="s">
        <v>27</v>
      </c>
      <c r="C409">
        <v>1773228170</v>
      </c>
      <c r="D409" t="s">
        <v>18</v>
      </c>
      <c r="E409" t="s">
        <v>24</v>
      </c>
      <c r="F409" t="s">
        <v>214</v>
      </c>
      <c r="G409" s="8">
        <v>0.748834</v>
      </c>
      <c r="H409" s="26">
        <v>3.93</v>
      </c>
    </row>
    <row r="410" spans="1:8" x14ac:dyDescent="0.3">
      <c r="A410">
        <v>202608</v>
      </c>
      <c r="B410" t="s">
        <v>114</v>
      </c>
      <c r="C410">
        <v>1773181912</v>
      </c>
      <c r="D410" t="s">
        <v>23</v>
      </c>
      <c r="E410" t="s">
        <v>34</v>
      </c>
      <c r="F410" t="s">
        <v>70</v>
      </c>
      <c r="G410" s="8">
        <v>9.5000249999999994E-2</v>
      </c>
      <c r="H410" s="26">
        <v>10.18</v>
      </c>
    </row>
    <row r="411" spans="1:8" x14ac:dyDescent="0.3">
      <c r="A411">
        <v>202608</v>
      </c>
      <c r="B411" t="s">
        <v>56</v>
      </c>
      <c r="C411">
        <v>1769102388</v>
      </c>
      <c r="D411" t="s">
        <v>18</v>
      </c>
      <c r="E411" t="s">
        <v>24</v>
      </c>
      <c r="F411" t="s">
        <v>153</v>
      </c>
      <c r="G411" s="8">
        <v>0.76252500000000001</v>
      </c>
      <c r="H411" s="26">
        <v>1.25</v>
      </c>
    </row>
    <row r="412" spans="1:8" x14ac:dyDescent="0.3">
      <c r="A412">
        <v>202608</v>
      </c>
      <c r="B412" t="s">
        <v>56</v>
      </c>
      <c r="C412">
        <v>1769110178</v>
      </c>
      <c r="D412" t="s">
        <v>18</v>
      </c>
      <c r="E412" t="s">
        <v>19</v>
      </c>
      <c r="F412" t="s">
        <v>153</v>
      </c>
      <c r="G412" s="8">
        <v>0.84575</v>
      </c>
      <c r="H412" s="26">
        <v>1.4</v>
      </c>
    </row>
    <row r="413" spans="1:8" x14ac:dyDescent="0.3">
      <c r="A413">
        <v>202608</v>
      </c>
      <c r="B413" t="s">
        <v>56</v>
      </c>
      <c r="C413">
        <v>1773180819</v>
      </c>
      <c r="D413" t="s">
        <v>18</v>
      </c>
      <c r="E413" t="s">
        <v>24</v>
      </c>
      <c r="F413" t="s">
        <v>153</v>
      </c>
      <c r="G413" s="8">
        <v>0.40414417560000004</v>
      </c>
      <c r="H413" s="26">
        <v>1.25</v>
      </c>
    </row>
    <row r="414" spans="1:8" x14ac:dyDescent="0.3">
      <c r="A414">
        <v>202608</v>
      </c>
      <c r="B414" t="s">
        <v>56</v>
      </c>
      <c r="C414">
        <v>1773205803</v>
      </c>
      <c r="D414" t="s">
        <v>18</v>
      </c>
      <c r="E414" t="s">
        <v>24</v>
      </c>
      <c r="F414" t="s">
        <v>155</v>
      </c>
      <c r="G414" s="8">
        <v>4.1773472551499999</v>
      </c>
      <c r="H414" s="26">
        <v>0.4</v>
      </c>
    </row>
    <row r="415" spans="1:8" x14ac:dyDescent="0.3">
      <c r="A415">
        <v>202608</v>
      </c>
      <c r="B415" t="s">
        <v>56</v>
      </c>
      <c r="C415">
        <v>1773225260</v>
      </c>
      <c r="D415" t="s">
        <v>18</v>
      </c>
      <c r="E415" t="s">
        <v>19</v>
      </c>
      <c r="F415" t="s">
        <v>156</v>
      </c>
      <c r="G415" s="8">
        <v>29.960076000000001</v>
      </c>
      <c r="H415" s="26">
        <v>0.2</v>
      </c>
    </row>
    <row r="416" spans="1:8" x14ac:dyDescent="0.3">
      <c r="A416">
        <v>202608</v>
      </c>
      <c r="B416" t="s">
        <v>56</v>
      </c>
      <c r="C416">
        <v>1773229699</v>
      </c>
      <c r="D416" t="s">
        <v>23</v>
      </c>
      <c r="E416" t="s">
        <v>24</v>
      </c>
      <c r="F416" t="s">
        <v>243</v>
      </c>
      <c r="G416" s="8">
        <v>16.5</v>
      </c>
      <c r="H416" s="26">
        <v>1.4</v>
      </c>
    </row>
    <row r="417" spans="1:8" x14ac:dyDescent="0.3">
      <c r="A417">
        <v>202608</v>
      </c>
      <c r="B417" t="s">
        <v>115</v>
      </c>
      <c r="C417">
        <v>1769073990</v>
      </c>
      <c r="D417" t="s">
        <v>18</v>
      </c>
      <c r="E417" t="s">
        <v>24</v>
      </c>
      <c r="F417" t="s">
        <v>158</v>
      </c>
      <c r="G417" s="8">
        <v>2.3778999999999999</v>
      </c>
      <c r="H417" s="26">
        <v>0.3</v>
      </c>
    </row>
    <row r="418" spans="1:8" x14ac:dyDescent="0.3">
      <c r="A418">
        <v>202608</v>
      </c>
      <c r="B418" t="s">
        <v>115</v>
      </c>
      <c r="C418">
        <v>1769093930</v>
      </c>
      <c r="D418" t="s">
        <v>18</v>
      </c>
      <c r="E418" t="s">
        <v>24</v>
      </c>
      <c r="F418" t="s">
        <v>158</v>
      </c>
      <c r="G418" s="8">
        <v>2.54175</v>
      </c>
      <c r="H418" s="26">
        <v>0.3</v>
      </c>
    </row>
    <row r="419" spans="1:8" x14ac:dyDescent="0.3">
      <c r="A419">
        <v>202608</v>
      </c>
      <c r="B419" t="s">
        <v>115</v>
      </c>
      <c r="C419">
        <v>1769100377</v>
      </c>
      <c r="D419" t="s">
        <v>18</v>
      </c>
      <c r="E419" t="s">
        <v>24</v>
      </c>
      <c r="F419" t="s">
        <v>189</v>
      </c>
      <c r="G419" s="8">
        <v>1.6944999999999999</v>
      </c>
      <c r="H419" s="26">
        <v>0.3</v>
      </c>
    </row>
    <row r="420" spans="1:8" x14ac:dyDescent="0.3">
      <c r="A420">
        <v>202608</v>
      </c>
      <c r="B420" t="s">
        <v>115</v>
      </c>
      <c r="C420">
        <v>1769109129</v>
      </c>
      <c r="D420" t="s">
        <v>18</v>
      </c>
      <c r="E420" t="s">
        <v>19</v>
      </c>
      <c r="F420" t="s">
        <v>61</v>
      </c>
      <c r="G420" s="8">
        <v>0.55142899999999995</v>
      </c>
      <c r="H420" s="26">
        <v>0.65</v>
      </c>
    </row>
    <row r="421" spans="1:8" x14ac:dyDescent="0.3">
      <c r="A421">
        <v>202608</v>
      </c>
      <c r="B421" t="s">
        <v>115</v>
      </c>
      <c r="C421">
        <v>1769114520</v>
      </c>
      <c r="D421" t="s">
        <v>18</v>
      </c>
      <c r="E421" t="s">
        <v>24</v>
      </c>
      <c r="F421" t="s">
        <v>219</v>
      </c>
      <c r="G421" s="8">
        <v>0.84575</v>
      </c>
      <c r="H421" s="26">
        <v>0.5</v>
      </c>
    </row>
    <row r="422" spans="1:8" x14ac:dyDescent="0.3">
      <c r="A422">
        <v>202608</v>
      </c>
      <c r="B422" t="s">
        <v>115</v>
      </c>
      <c r="C422">
        <v>1769114548</v>
      </c>
      <c r="D422" t="s">
        <v>18</v>
      </c>
      <c r="E422" t="s">
        <v>24</v>
      </c>
      <c r="F422" t="s">
        <v>219</v>
      </c>
      <c r="G422" s="8">
        <v>0.84575</v>
      </c>
      <c r="H422" s="26">
        <v>0.5</v>
      </c>
    </row>
    <row r="423" spans="1:8" x14ac:dyDescent="0.3">
      <c r="A423">
        <v>202608</v>
      </c>
      <c r="B423" t="s">
        <v>115</v>
      </c>
      <c r="C423">
        <v>1773146963</v>
      </c>
      <c r="D423" t="s">
        <v>18</v>
      </c>
      <c r="E423" t="s">
        <v>24</v>
      </c>
      <c r="F423" t="s">
        <v>219</v>
      </c>
      <c r="G423" s="8">
        <v>0.84450000000000003</v>
      </c>
      <c r="H423" s="26">
        <v>0.5</v>
      </c>
    </row>
    <row r="424" spans="1:8" x14ac:dyDescent="0.3">
      <c r="A424">
        <v>202608</v>
      </c>
      <c r="B424" t="s">
        <v>115</v>
      </c>
      <c r="C424">
        <v>1773174400</v>
      </c>
      <c r="D424" t="s">
        <v>18</v>
      </c>
      <c r="E424" t="s">
        <v>24</v>
      </c>
      <c r="F424" t="s">
        <v>230</v>
      </c>
      <c r="G424" s="8">
        <v>0.67320000000000002</v>
      </c>
      <c r="H424" s="26">
        <v>2.5099999999999998</v>
      </c>
    </row>
    <row r="425" spans="1:8" x14ac:dyDescent="0.3">
      <c r="A425">
        <v>202608</v>
      </c>
      <c r="B425" t="s">
        <v>115</v>
      </c>
      <c r="C425">
        <v>1773190415</v>
      </c>
      <c r="D425" t="s">
        <v>18</v>
      </c>
      <c r="E425" t="s">
        <v>19</v>
      </c>
      <c r="F425" t="s">
        <v>61</v>
      </c>
      <c r="G425" s="8">
        <v>1.04284</v>
      </c>
      <c r="H425" s="26">
        <v>0.65</v>
      </c>
    </row>
    <row r="426" spans="1:8" x14ac:dyDescent="0.3">
      <c r="A426">
        <v>202608</v>
      </c>
      <c r="B426" t="s">
        <v>115</v>
      </c>
      <c r="C426">
        <v>1773193090</v>
      </c>
      <c r="D426" t="s">
        <v>18</v>
      </c>
      <c r="E426" t="s">
        <v>24</v>
      </c>
      <c r="F426" t="s">
        <v>219</v>
      </c>
      <c r="G426" s="8">
        <v>1.0092000000000001</v>
      </c>
      <c r="H426" s="26">
        <v>0.5</v>
      </c>
    </row>
    <row r="427" spans="1:8" x14ac:dyDescent="0.3">
      <c r="A427">
        <v>202608</v>
      </c>
      <c r="B427" t="s">
        <v>115</v>
      </c>
      <c r="C427">
        <v>1773205200</v>
      </c>
      <c r="D427" t="s">
        <v>18</v>
      </c>
      <c r="E427" t="s">
        <v>24</v>
      </c>
      <c r="F427" t="s">
        <v>158</v>
      </c>
      <c r="G427" s="8">
        <v>2.5222500000000001</v>
      </c>
      <c r="H427" s="26">
        <v>0.3</v>
      </c>
    </row>
    <row r="428" spans="1:8" x14ac:dyDescent="0.3">
      <c r="A428">
        <v>202608</v>
      </c>
      <c r="B428" t="s">
        <v>115</v>
      </c>
      <c r="C428">
        <v>1773222783</v>
      </c>
      <c r="D428" t="s">
        <v>18</v>
      </c>
      <c r="E428" t="s">
        <v>24</v>
      </c>
      <c r="F428" t="s">
        <v>237</v>
      </c>
      <c r="G428" s="8">
        <v>0.859904</v>
      </c>
      <c r="H428" s="26">
        <v>0.8</v>
      </c>
    </row>
    <row r="429" spans="1:8" x14ac:dyDescent="0.3">
      <c r="A429">
        <v>202608</v>
      </c>
      <c r="B429" t="s">
        <v>115</v>
      </c>
      <c r="C429">
        <v>1773240064</v>
      </c>
      <c r="D429" t="s">
        <v>18</v>
      </c>
      <c r="E429" t="s">
        <v>34</v>
      </c>
      <c r="F429" t="s">
        <v>59</v>
      </c>
      <c r="G429" s="8">
        <v>0.59633918464000002</v>
      </c>
      <c r="H429" s="26">
        <v>1.85</v>
      </c>
    </row>
    <row r="430" spans="1:8" x14ac:dyDescent="0.3">
      <c r="A430">
        <v>202608</v>
      </c>
      <c r="B430" t="s">
        <v>40</v>
      </c>
      <c r="C430">
        <v>1769116362</v>
      </c>
      <c r="D430" t="s">
        <v>18</v>
      </c>
      <c r="E430" t="s">
        <v>34</v>
      </c>
      <c r="F430" t="s">
        <v>53</v>
      </c>
      <c r="G430" s="8">
        <v>4.9153342817299999</v>
      </c>
      <c r="H430" s="26">
        <v>2.9</v>
      </c>
    </row>
    <row r="431" spans="1:8" x14ac:dyDescent="0.3">
      <c r="A431">
        <v>202608</v>
      </c>
      <c r="B431" t="s">
        <v>40</v>
      </c>
      <c r="C431">
        <v>1773241680</v>
      </c>
      <c r="D431" t="s">
        <v>23</v>
      </c>
      <c r="E431" t="s">
        <v>19</v>
      </c>
      <c r="F431" t="s">
        <v>244</v>
      </c>
      <c r="G431" s="8">
        <v>0.67</v>
      </c>
      <c r="H431" s="26">
        <v>4.25</v>
      </c>
    </row>
    <row r="432" spans="1:8" x14ac:dyDescent="0.3">
      <c r="A432">
        <v>202608</v>
      </c>
      <c r="B432" t="s">
        <v>116</v>
      </c>
      <c r="C432">
        <v>1773129627</v>
      </c>
      <c r="D432" t="s">
        <v>18</v>
      </c>
      <c r="E432" t="s">
        <v>24</v>
      </c>
      <c r="F432" t="s">
        <v>220</v>
      </c>
      <c r="G432" s="8">
        <v>0.50744999999999996</v>
      </c>
      <c r="H432" s="26">
        <v>2.8</v>
      </c>
    </row>
    <row r="433" spans="1:8" x14ac:dyDescent="0.3">
      <c r="A433">
        <v>202608</v>
      </c>
      <c r="B433" t="s">
        <v>116</v>
      </c>
      <c r="C433">
        <v>1773158856</v>
      </c>
      <c r="D433" t="s">
        <v>18</v>
      </c>
      <c r="E433" t="s">
        <v>24</v>
      </c>
      <c r="F433" t="s">
        <v>226</v>
      </c>
      <c r="G433" s="8">
        <v>3.3679999999999999</v>
      </c>
      <c r="H433" s="26">
        <v>0.2</v>
      </c>
    </row>
    <row r="434" spans="1:8" x14ac:dyDescent="0.3">
      <c r="A434">
        <v>202608</v>
      </c>
      <c r="B434" t="s">
        <v>116</v>
      </c>
      <c r="C434">
        <v>1773210289</v>
      </c>
      <c r="D434" t="s">
        <v>18</v>
      </c>
      <c r="E434" t="s">
        <v>19</v>
      </c>
      <c r="F434" t="s">
        <v>50</v>
      </c>
      <c r="G434" s="8">
        <v>0.73985999999999996</v>
      </c>
      <c r="H434" s="26">
        <v>5.0999999999999996</v>
      </c>
    </row>
    <row r="435" spans="1:8" x14ac:dyDescent="0.3">
      <c r="A435">
        <v>202608</v>
      </c>
      <c r="B435" t="s">
        <v>116</v>
      </c>
      <c r="C435">
        <v>1773210297</v>
      </c>
      <c r="D435" t="s">
        <v>18</v>
      </c>
      <c r="E435" t="s">
        <v>19</v>
      </c>
      <c r="F435" t="s">
        <v>50</v>
      </c>
      <c r="G435" s="8">
        <v>0.131157</v>
      </c>
      <c r="H435" s="26">
        <v>5.2</v>
      </c>
    </row>
    <row r="436" spans="1:8" x14ac:dyDescent="0.3">
      <c r="A436">
        <v>202608</v>
      </c>
      <c r="B436" t="s">
        <v>116</v>
      </c>
      <c r="C436">
        <v>1773210394</v>
      </c>
      <c r="D436" t="s">
        <v>18</v>
      </c>
      <c r="E436" t="s">
        <v>19</v>
      </c>
      <c r="F436" t="s">
        <v>50</v>
      </c>
      <c r="G436" s="8">
        <v>0.52462799999999998</v>
      </c>
      <c r="H436" s="26">
        <v>5</v>
      </c>
    </row>
    <row r="437" spans="1:8" x14ac:dyDescent="0.3">
      <c r="A437">
        <v>202608</v>
      </c>
      <c r="B437" t="s">
        <v>116</v>
      </c>
      <c r="C437">
        <v>1773210572</v>
      </c>
      <c r="D437" t="s">
        <v>18</v>
      </c>
      <c r="E437" t="s">
        <v>19</v>
      </c>
      <c r="F437" t="s">
        <v>50</v>
      </c>
      <c r="G437" s="8">
        <v>1.4259120000000001</v>
      </c>
      <c r="H437" s="26">
        <v>5.6</v>
      </c>
    </row>
    <row r="438" spans="1:8" x14ac:dyDescent="0.3">
      <c r="A438">
        <v>202608</v>
      </c>
      <c r="B438" t="s">
        <v>116</v>
      </c>
      <c r="C438">
        <v>1773225375</v>
      </c>
      <c r="D438" t="s">
        <v>23</v>
      </c>
      <c r="E438" t="s">
        <v>24</v>
      </c>
      <c r="F438" t="s">
        <v>245</v>
      </c>
      <c r="G438" s="8">
        <v>1.45383</v>
      </c>
      <c r="H438" s="26">
        <v>0.52</v>
      </c>
    </row>
    <row r="439" spans="1:8" x14ac:dyDescent="0.3">
      <c r="A439">
        <v>202608</v>
      </c>
      <c r="B439" t="s">
        <v>42</v>
      </c>
      <c r="C439">
        <v>1769078193</v>
      </c>
      <c r="D439" t="s">
        <v>23</v>
      </c>
      <c r="E439" t="s">
        <v>19</v>
      </c>
      <c r="F439" t="s">
        <v>160</v>
      </c>
      <c r="G439" s="8">
        <v>4</v>
      </c>
      <c r="H439" s="26">
        <v>0.42</v>
      </c>
    </row>
    <row r="440" spans="1:8" x14ac:dyDescent="0.3">
      <c r="A440">
        <v>202608</v>
      </c>
      <c r="B440" t="s">
        <v>42</v>
      </c>
      <c r="C440">
        <v>1769094865</v>
      </c>
      <c r="D440" t="s">
        <v>23</v>
      </c>
      <c r="E440" t="s">
        <v>19</v>
      </c>
      <c r="F440" t="s">
        <v>160</v>
      </c>
      <c r="G440" s="8">
        <v>9</v>
      </c>
      <c r="H440" s="26">
        <v>0.42</v>
      </c>
    </row>
    <row r="441" spans="1:8" x14ac:dyDescent="0.3">
      <c r="A441">
        <v>202608</v>
      </c>
      <c r="B441" t="s">
        <v>42</v>
      </c>
      <c r="C441">
        <v>1773147706</v>
      </c>
      <c r="D441" t="s">
        <v>23</v>
      </c>
      <c r="E441" t="s">
        <v>34</v>
      </c>
      <c r="F441" t="s">
        <v>87</v>
      </c>
      <c r="G441" s="8">
        <v>9.1922440000000008E-2</v>
      </c>
      <c r="H441" s="26">
        <v>2</v>
      </c>
    </row>
    <row r="442" spans="1:8" x14ac:dyDescent="0.3">
      <c r="A442">
        <v>202608</v>
      </c>
      <c r="B442" t="s">
        <v>42</v>
      </c>
      <c r="C442">
        <v>1773154559</v>
      </c>
      <c r="D442" t="s">
        <v>18</v>
      </c>
      <c r="E442" t="s">
        <v>34</v>
      </c>
      <c r="F442" t="s">
        <v>87</v>
      </c>
      <c r="G442" s="8">
        <v>4.6810686880000001E-2</v>
      </c>
      <c r="H442" s="26">
        <v>2.5</v>
      </c>
    </row>
    <row r="443" spans="1:8" x14ac:dyDescent="0.3">
      <c r="A443">
        <v>202608</v>
      </c>
      <c r="B443" t="s">
        <v>42</v>
      </c>
      <c r="C443">
        <v>1773164200</v>
      </c>
      <c r="D443" t="s">
        <v>23</v>
      </c>
      <c r="E443" t="s">
        <v>34</v>
      </c>
      <c r="F443" t="s">
        <v>88</v>
      </c>
      <c r="G443" s="8">
        <v>3.70458</v>
      </c>
      <c r="H443" s="26">
        <v>0.15</v>
      </c>
    </row>
    <row r="444" spans="1:8" x14ac:dyDescent="0.3">
      <c r="A444">
        <v>202608</v>
      </c>
      <c r="B444" t="s">
        <v>42</v>
      </c>
      <c r="C444">
        <v>1773180540</v>
      </c>
      <c r="D444" t="s">
        <v>23</v>
      </c>
      <c r="E444" t="s">
        <v>34</v>
      </c>
      <c r="F444" t="s">
        <v>87</v>
      </c>
      <c r="G444" s="8">
        <v>5.7773650000000003E-2</v>
      </c>
      <c r="H444" s="26">
        <v>2.1</v>
      </c>
    </row>
    <row r="445" spans="1:8" x14ac:dyDescent="0.3">
      <c r="A445">
        <v>202608</v>
      </c>
      <c r="B445" t="s">
        <v>42</v>
      </c>
      <c r="C445">
        <v>1773182595</v>
      </c>
      <c r="D445" t="s">
        <v>23</v>
      </c>
      <c r="E445" t="s">
        <v>34</v>
      </c>
      <c r="F445" t="s">
        <v>87</v>
      </c>
      <c r="G445" s="8">
        <v>5.4125849999999996E-2</v>
      </c>
      <c r="H445" s="26">
        <v>2.1</v>
      </c>
    </row>
    <row r="446" spans="1:8" x14ac:dyDescent="0.3">
      <c r="A446">
        <v>202608</v>
      </c>
      <c r="B446" t="s">
        <v>42</v>
      </c>
      <c r="C446">
        <v>1773182617</v>
      </c>
      <c r="D446" t="s">
        <v>23</v>
      </c>
      <c r="E446" t="s">
        <v>34</v>
      </c>
      <c r="F446" t="s">
        <v>87</v>
      </c>
      <c r="G446" s="8">
        <v>2.9726990000000002E-2</v>
      </c>
      <c r="H446" s="26">
        <v>2.1</v>
      </c>
    </row>
    <row r="447" spans="1:8" x14ac:dyDescent="0.3">
      <c r="A447">
        <v>202608</v>
      </c>
      <c r="B447" t="s">
        <v>42</v>
      </c>
      <c r="C447">
        <v>1773214860</v>
      </c>
      <c r="D447" t="s">
        <v>23</v>
      </c>
      <c r="E447" t="s">
        <v>34</v>
      </c>
      <c r="F447" t="s">
        <v>88</v>
      </c>
      <c r="G447" s="8">
        <v>1.9474158100000001</v>
      </c>
      <c r="H447" s="26">
        <v>0.8</v>
      </c>
    </row>
    <row r="448" spans="1:8" x14ac:dyDescent="0.3">
      <c r="A448">
        <v>202608</v>
      </c>
      <c r="B448" t="s">
        <v>42</v>
      </c>
      <c r="C448">
        <v>1773222708</v>
      </c>
      <c r="D448" t="s">
        <v>23</v>
      </c>
      <c r="E448" t="s">
        <v>34</v>
      </c>
      <c r="F448" t="s">
        <v>87</v>
      </c>
      <c r="G448" s="8">
        <v>1.7314490000000002E-2</v>
      </c>
      <c r="H448" s="26">
        <v>2.1</v>
      </c>
    </row>
    <row r="449" spans="7:8" x14ac:dyDescent="0.3">
      <c r="G449"/>
      <c r="H449"/>
    </row>
    <row r="450" spans="7:8" x14ac:dyDescent="0.3">
      <c r="G450"/>
      <c r="H450"/>
    </row>
    <row r="451" spans="7:8" x14ac:dyDescent="0.3">
      <c r="G451"/>
      <c r="H451"/>
    </row>
    <row r="452" spans="7:8" x14ac:dyDescent="0.3">
      <c r="G452"/>
      <c r="H452"/>
    </row>
    <row r="453" spans="7:8" x14ac:dyDescent="0.3">
      <c r="G453"/>
      <c r="H453"/>
    </row>
    <row r="454" spans="7:8" x14ac:dyDescent="0.3">
      <c r="G454"/>
      <c r="H454"/>
    </row>
    <row r="455" spans="7:8" x14ac:dyDescent="0.3">
      <c r="G455"/>
      <c r="H455"/>
    </row>
    <row r="456" spans="7:8" x14ac:dyDescent="0.3">
      <c r="G456"/>
      <c r="H456"/>
    </row>
    <row r="457" spans="7:8" x14ac:dyDescent="0.3">
      <c r="G457"/>
      <c r="H457"/>
    </row>
    <row r="458" spans="7:8" x14ac:dyDescent="0.3">
      <c r="G458"/>
      <c r="H458"/>
    </row>
    <row r="459" spans="7:8" x14ac:dyDescent="0.3">
      <c r="G459"/>
      <c r="H459"/>
    </row>
    <row r="460" spans="7:8" x14ac:dyDescent="0.3">
      <c r="G460"/>
      <c r="H460"/>
    </row>
    <row r="461" spans="7:8" x14ac:dyDescent="0.3">
      <c r="G461"/>
      <c r="H461"/>
    </row>
    <row r="462" spans="7:8" x14ac:dyDescent="0.3">
      <c r="G462"/>
      <c r="H462"/>
    </row>
    <row r="463" spans="7:8" x14ac:dyDescent="0.3">
      <c r="G463"/>
      <c r="H463"/>
    </row>
    <row r="464" spans="7:8" x14ac:dyDescent="0.3">
      <c r="G464"/>
      <c r="H464"/>
    </row>
    <row r="465" spans="7:8" x14ac:dyDescent="0.3">
      <c r="G465"/>
      <c r="H465"/>
    </row>
    <row r="466" spans="7:8" x14ac:dyDescent="0.3">
      <c r="G466"/>
      <c r="H466"/>
    </row>
    <row r="467" spans="7:8" x14ac:dyDescent="0.3">
      <c r="G467"/>
      <c r="H467"/>
    </row>
    <row r="468" spans="7:8" x14ac:dyDescent="0.3">
      <c r="G468"/>
      <c r="H468"/>
    </row>
    <row r="469" spans="7:8" x14ac:dyDescent="0.3">
      <c r="G469"/>
      <c r="H469"/>
    </row>
    <row r="470" spans="7:8" x14ac:dyDescent="0.3">
      <c r="G470"/>
      <c r="H470"/>
    </row>
    <row r="471" spans="7:8" x14ac:dyDescent="0.3">
      <c r="G471"/>
      <c r="H471"/>
    </row>
    <row r="472" spans="7:8" x14ac:dyDescent="0.3">
      <c r="G472"/>
      <c r="H472"/>
    </row>
    <row r="473" spans="7:8" x14ac:dyDescent="0.3">
      <c r="G473"/>
      <c r="H473"/>
    </row>
    <row r="474" spans="7:8" x14ac:dyDescent="0.3">
      <c r="G474"/>
      <c r="H474"/>
    </row>
    <row r="475" spans="7:8" x14ac:dyDescent="0.3">
      <c r="G475"/>
      <c r="H475"/>
    </row>
    <row r="476" spans="7:8" x14ac:dyDescent="0.3">
      <c r="G476"/>
      <c r="H476"/>
    </row>
    <row r="477" spans="7:8" x14ac:dyDescent="0.3">
      <c r="G477"/>
      <c r="H477"/>
    </row>
    <row r="478" spans="7:8" x14ac:dyDescent="0.3">
      <c r="G478"/>
      <c r="H478"/>
    </row>
    <row r="479" spans="7:8" x14ac:dyDescent="0.3">
      <c r="G479"/>
      <c r="H479"/>
    </row>
    <row r="480" spans="7:8" x14ac:dyDescent="0.3">
      <c r="G480"/>
      <c r="H480"/>
    </row>
    <row r="481" spans="7:8" x14ac:dyDescent="0.3">
      <c r="G481"/>
      <c r="H481"/>
    </row>
    <row r="482" spans="7:8" x14ac:dyDescent="0.3">
      <c r="G482"/>
      <c r="H482"/>
    </row>
    <row r="483" spans="7:8" x14ac:dyDescent="0.3">
      <c r="G483"/>
      <c r="H483"/>
    </row>
    <row r="484" spans="7:8" x14ac:dyDescent="0.3">
      <c r="G484"/>
      <c r="H484"/>
    </row>
    <row r="485" spans="7:8" x14ac:dyDescent="0.3">
      <c r="G485"/>
      <c r="H485"/>
    </row>
    <row r="486" spans="7:8" x14ac:dyDescent="0.3">
      <c r="G486"/>
      <c r="H486"/>
    </row>
    <row r="487" spans="7:8" x14ac:dyDescent="0.3">
      <c r="G487"/>
      <c r="H487"/>
    </row>
    <row r="488" spans="7:8" x14ac:dyDescent="0.3">
      <c r="G488"/>
      <c r="H488"/>
    </row>
    <row r="489" spans="7:8" x14ac:dyDescent="0.3">
      <c r="G489"/>
      <c r="H489"/>
    </row>
    <row r="490" spans="7:8" x14ac:dyDescent="0.3">
      <c r="G490"/>
      <c r="H490"/>
    </row>
    <row r="491" spans="7:8" x14ac:dyDescent="0.3">
      <c r="G491"/>
      <c r="H491"/>
    </row>
    <row r="492" spans="7:8" x14ac:dyDescent="0.3">
      <c r="G492"/>
      <c r="H492"/>
    </row>
    <row r="493" spans="7:8" x14ac:dyDescent="0.3">
      <c r="G493"/>
      <c r="H493"/>
    </row>
    <row r="494" spans="7:8" x14ac:dyDescent="0.3">
      <c r="G494"/>
      <c r="H494"/>
    </row>
    <row r="495" spans="7:8" x14ac:dyDescent="0.3">
      <c r="G495"/>
      <c r="H495"/>
    </row>
    <row r="496" spans="7:8" x14ac:dyDescent="0.3">
      <c r="G496"/>
      <c r="H496"/>
    </row>
    <row r="497" spans="7:8" x14ac:dyDescent="0.3">
      <c r="G497"/>
      <c r="H497"/>
    </row>
    <row r="498" spans="7:8" x14ac:dyDescent="0.3">
      <c r="G498"/>
      <c r="H498"/>
    </row>
    <row r="499" spans="7:8" x14ac:dyDescent="0.3">
      <c r="G499"/>
      <c r="H499"/>
    </row>
    <row r="500" spans="7:8" x14ac:dyDescent="0.3">
      <c r="G500"/>
      <c r="H500"/>
    </row>
    <row r="501" spans="7:8" x14ac:dyDescent="0.3">
      <c r="G501"/>
      <c r="H501"/>
    </row>
    <row r="502" spans="7:8" x14ac:dyDescent="0.3">
      <c r="G502"/>
      <c r="H502"/>
    </row>
    <row r="503" spans="7:8" x14ac:dyDescent="0.3">
      <c r="G503"/>
      <c r="H503"/>
    </row>
    <row r="504" spans="7:8" x14ac:dyDescent="0.3">
      <c r="G504"/>
      <c r="H504"/>
    </row>
    <row r="505" spans="7:8" x14ac:dyDescent="0.3">
      <c r="G505"/>
      <c r="H505"/>
    </row>
    <row r="506" spans="7:8" x14ac:dyDescent="0.3">
      <c r="G506"/>
      <c r="H506"/>
    </row>
    <row r="507" spans="7:8" x14ac:dyDescent="0.3">
      <c r="G507"/>
      <c r="H507"/>
    </row>
    <row r="508" spans="7:8" x14ac:dyDescent="0.3">
      <c r="G508"/>
      <c r="H508"/>
    </row>
    <row r="509" spans="7:8" x14ac:dyDescent="0.3">
      <c r="G509"/>
      <c r="H509"/>
    </row>
    <row r="510" spans="7:8" x14ac:dyDescent="0.3">
      <c r="G510"/>
      <c r="H510"/>
    </row>
    <row r="511" spans="7:8" x14ac:dyDescent="0.3">
      <c r="G511"/>
      <c r="H511"/>
    </row>
    <row r="512" spans="7:8" x14ac:dyDescent="0.3">
      <c r="G512"/>
      <c r="H512"/>
    </row>
    <row r="513" spans="7:8" x14ac:dyDescent="0.3">
      <c r="G513"/>
      <c r="H513"/>
    </row>
    <row r="514" spans="7:8" x14ac:dyDescent="0.3">
      <c r="G514"/>
      <c r="H514"/>
    </row>
    <row r="515" spans="7:8" x14ac:dyDescent="0.3">
      <c r="G515"/>
      <c r="H515"/>
    </row>
    <row r="516" spans="7:8" x14ac:dyDescent="0.3">
      <c r="G516"/>
      <c r="H516"/>
    </row>
    <row r="517" spans="7:8" x14ac:dyDescent="0.3">
      <c r="G517"/>
      <c r="H517"/>
    </row>
    <row r="518" spans="7:8" x14ac:dyDescent="0.3">
      <c r="G518"/>
      <c r="H518"/>
    </row>
    <row r="519" spans="7:8" x14ac:dyDescent="0.3">
      <c r="G519"/>
      <c r="H519"/>
    </row>
    <row r="520" spans="7:8" x14ac:dyDescent="0.3">
      <c r="G520"/>
      <c r="H520"/>
    </row>
    <row r="521" spans="7:8" x14ac:dyDescent="0.3">
      <c r="G521"/>
      <c r="H521"/>
    </row>
    <row r="522" spans="7:8" x14ac:dyDescent="0.3">
      <c r="G522"/>
      <c r="H522"/>
    </row>
    <row r="523" spans="7:8" x14ac:dyDescent="0.3">
      <c r="G523"/>
      <c r="H523"/>
    </row>
    <row r="524" spans="7:8" x14ac:dyDescent="0.3">
      <c r="G524"/>
      <c r="H524"/>
    </row>
    <row r="525" spans="7:8" x14ac:dyDescent="0.3">
      <c r="G525"/>
      <c r="H525"/>
    </row>
    <row r="526" spans="7:8" x14ac:dyDescent="0.3">
      <c r="G526"/>
      <c r="H526"/>
    </row>
    <row r="527" spans="7:8" x14ac:dyDescent="0.3">
      <c r="G527"/>
      <c r="H527"/>
    </row>
    <row r="528" spans="7:8" x14ac:dyDescent="0.3">
      <c r="G528"/>
      <c r="H528"/>
    </row>
    <row r="529" spans="7:8" x14ac:dyDescent="0.3">
      <c r="G529"/>
      <c r="H529"/>
    </row>
    <row r="530" spans="7:8" x14ac:dyDescent="0.3">
      <c r="G530"/>
      <c r="H530"/>
    </row>
    <row r="531" spans="7:8" x14ac:dyDescent="0.3">
      <c r="G531"/>
      <c r="H531"/>
    </row>
    <row r="532" spans="7:8" x14ac:dyDescent="0.3">
      <c r="G532"/>
      <c r="H532"/>
    </row>
    <row r="533" spans="7:8" x14ac:dyDescent="0.3">
      <c r="G533"/>
      <c r="H533"/>
    </row>
    <row r="534" spans="7:8" x14ac:dyDescent="0.3">
      <c r="G534"/>
      <c r="H534"/>
    </row>
    <row r="535" spans="7:8" x14ac:dyDescent="0.3">
      <c r="G535"/>
      <c r="H535"/>
    </row>
    <row r="536" spans="7:8" x14ac:dyDescent="0.3">
      <c r="G536"/>
      <c r="H536"/>
    </row>
    <row r="537" spans="7:8" x14ac:dyDescent="0.3">
      <c r="G537"/>
      <c r="H537"/>
    </row>
    <row r="538" spans="7:8" x14ac:dyDescent="0.3">
      <c r="G538"/>
      <c r="H538"/>
    </row>
    <row r="539" spans="7:8" x14ac:dyDescent="0.3">
      <c r="G539"/>
      <c r="H539"/>
    </row>
    <row r="540" spans="7:8" x14ac:dyDescent="0.3">
      <c r="G540"/>
      <c r="H540"/>
    </row>
    <row r="541" spans="7:8" x14ac:dyDescent="0.3">
      <c r="G541"/>
      <c r="H541"/>
    </row>
    <row r="542" spans="7:8" x14ac:dyDescent="0.3">
      <c r="G542"/>
      <c r="H542"/>
    </row>
    <row r="543" spans="7:8" x14ac:dyDescent="0.3">
      <c r="G543"/>
      <c r="H543"/>
    </row>
    <row r="544" spans="7:8" x14ac:dyDescent="0.3">
      <c r="G544"/>
      <c r="H544"/>
    </row>
    <row r="545" spans="7:8" x14ac:dyDescent="0.3">
      <c r="G545"/>
      <c r="H545"/>
    </row>
    <row r="546" spans="7:8" x14ac:dyDescent="0.3">
      <c r="G546"/>
      <c r="H546"/>
    </row>
    <row r="547" spans="7:8" x14ac:dyDescent="0.3">
      <c r="G547"/>
      <c r="H547"/>
    </row>
    <row r="548" spans="7:8" x14ac:dyDescent="0.3">
      <c r="G548"/>
      <c r="H548"/>
    </row>
    <row r="549" spans="7:8" x14ac:dyDescent="0.3">
      <c r="G549"/>
      <c r="H549"/>
    </row>
    <row r="550" spans="7:8" x14ac:dyDescent="0.3">
      <c r="G550"/>
      <c r="H550"/>
    </row>
    <row r="551" spans="7:8" x14ac:dyDescent="0.3">
      <c r="G551"/>
      <c r="H551"/>
    </row>
    <row r="552" spans="7:8" x14ac:dyDescent="0.3">
      <c r="G552"/>
      <c r="H552"/>
    </row>
    <row r="553" spans="7:8" x14ac:dyDescent="0.3">
      <c r="G553"/>
      <c r="H553"/>
    </row>
    <row r="554" spans="7:8" x14ac:dyDescent="0.3">
      <c r="G554"/>
      <c r="H554"/>
    </row>
    <row r="555" spans="7:8" x14ac:dyDescent="0.3">
      <c r="G555"/>
      <c r="H555"/>
    </row>
    <row r="556" spans="7:8" x14ac:dyDescent="0.3">
      <c r="G556"/>
      <c r="H556"/>
    </row>
    <row r="557" spans="7:8" x14ac:dyDescent="0.3">
      <c r="G557"/>
      <c r="H557"/>
    </row>
    <row r="558" spans="7:8" x14ac:dyDescent="0.3">
      <c r="G558"/>
      <c r="H558"/>
    </row>
    <row r="559" spans="7:8" x14ac:dyDescent="0.3">
      <c r="G559"/>
      <c r="H559"/>
    </row>
    <row r="560" spans="7:8" x14ac:dyDescent="0.3">
      <c r="G560"/>
      <c r="H560"/>
    </row>
    <row r="561" spans="7:8" x14ac:dyDescent="0.3">
      <c r="G561"/>
      <c r="H561"/>
    </row>
    <row r="562" spans="7:8" x14ac:dyDescent="0.3">
      <c r="G562"/>
      <c r="H562"/>
    </row>
    <row r="563" spans="7:8" x14ac:dyDescent="0.3">
      <c r="G563"/>
      <c r="H563"/>
    </row>
    <row r="564" spans="7:8" x14ac:dyDescent="0.3">
      <c r="G564"/>
      <c r="H564"/>
    </row>
    <row r="565" spans="7:8" x14ac:dyDescent="0.3">
      <c r="G565"/>
      <c r="H565"/>
    </row>
    <row r="566" spans="7:8" x14ac:dyDescent="0.3">
      <c r="G566"/>
      <c r="H566"/>
    </row>
    <row r="567" spans="7:8" x14ac:dyDescent="0.3">
      <c r="G567"/>
      <c r="H567"/>
    </row>
    <row r="568" spans="7:8" x14ac:dyDescent="0.3">
      <c r="G568"/>
      <c r="H568"/>
    </row>
    <row r="569" spans="7:8" x14ac:dyDescent="0.3">
      <c r="G569"/>
      <c r="H569"/>
    </row>
    <row r="570" spans="7:8" x14ac:dyDescent="0.3">
      <c r="G570"/>
      <c r="H570"/>
    </row>
    <row r="571" spans="7:8" x14ac:dyDescent="0.3">
      <c r="G571"/>
      <c r="H571"/>
    </row>
    <row r="572" spans="7:8" x14ac:dyDescent="0.3">
      <c r="G572"/>
      <c r="H572"/>
    </row>
    <row r="573" spans="7:8" x14ac:dyDescent="0.3">
      <c r="G573"/>
      <c r="H573"/>
    </row>
    <row r="574" spans="7:8" x14ac:dyDescent="0.3">
      <c r="G574"/>
      <c r="H574"/>
    </row>
    <row r="575" spans="7:8" x14ac:dyDescent="0.3">
      <c r="G575"/>
      <c r="H575"/>
    </row>
    <row r="576" spans="7:8" x14ac:dyDescent="0.3">
      <c r="G576"/>
      <c r="H576"/>
    </row>
    <row r="577" spans="7:8" x14ac:dyDescent="0.3">
      <c r="G577"/>
      <c r="H577"/>
    </row>
    <row r="578" spans="7:8" x14ac:dyDescent="0.3">
      <c r="G578"/>
      <c r="H578"/>
    </row>
    <row r="579" spans="7:8" x14ac:dyDescent="0.3">
      <c r="G579"/>
      <c r="H579"/>
    </row>
    <row r="580" spans="7:8" x14ac:dyDescent="0.3">
      <c r="G580"/>
      <c r="H580"/>
    </row>
    <row r="581" spans="7:8" x14ac:dyDescent="0.3">
      <c r="G581"/>
      <c r="H581"/>
    </row>
    <row r="582" spans="7:8" x14ac:dyDescent="0.3">
      <c r="G582"/>
      <c r="H582"/>
    </row>
    <row r="583" spans="7:8" x14ac:dyDescent="0.3">
      <c r="G583"/>
      <c r="H583"/>
    </row>
    <row r="584" spans="7:8" x14ac:dyDescent="0.3">
      <c r="G584"/>
      <c r="H584"/>
    </row>
    <row r="585" spans="7:8" x14ac:dyDescent="0.3">
      <c r="G585"/>
      <c r="H585"/>
    </row>
    <row r="586" spans="7:8" x14ac:dyDescent="0.3">
      <c r="G586"/>
      <c r="H586"/>
    </row>
    <row r="587" spans="7:8" x14ac:dyDescent="0.3">
      <c r="G587"/>
      <c r="H587"/>
    </row>
    <row r="588" spans="7:8" x14ac:dyDescent="0.3">
      <c r="G588"/>
      <c r="H588"/>
    </row>
    <row r="589" spans="7:8" x14ac:dyDescent="0.3">
      <c r="G589"/>
      <c r="H589"/>
    </row>
    <row r="590" spans="7:8" x14ac:dyDescent="0.3">
      <c r="G590"/>
      <c r="H590"/>
    </row>
    <row r="591" spans="7:8" x14ac:dyDescent="0.3">
      <c r="G591"/>
      <c r="H591"/>
    </row>
    <row r="592" spans="7:8" x14ac:dyDescent="0.3">
      <c r="G592"/>
      <c r="H592"/>
    </row>
    <row r="593" spans="7:8" x14ac:dyDescent="0.3">
      <c r="G593"/>
      <c r="H593"/>
    </row>
    <row r="594" spans="7:8" x14ac:dyDescent="0.3">
      <c r="G594"/>
      <c r="H594"/>
    </row>
    <row r="595" spans="7:8" x14ac:dyDescent="0.3">
      <c r="G595"/>
      <c r="H595"/>
    </row>
    <row r="596" spans="7:8" x14ac:dyDescent="0.3">
      <c r="G596"/>
      <c r="H596"/>
    </row>
    <row r="597" spans="7:8" x14ac:dyDescent="0.3">
      <c r="G597"/>
      <c r="H597"/>
    </row>
    <row r="598" spans="7:8" x14ac:dyDescent="0.3">
      <c r="G598"/>
      <c r="H598"/>
    </row>
    <row r="599" spans="7:8" x14ac:dyDescent="0.3">
      <c r="G599"/>
      <c r="H599"/>
    </row>
    <row r="600" spans="7:8" x14ac:dyDescent="0.3">
      <c r="G600"/>
      <c r="H600"/>
    </row>
    <row r="601" spans="7:8" x14ac:dyDescent="0.3">
      <c r="G601"/>
      <c r="H601"/>
    </row>
    <row r="602" spans="7:8" x14ac:dyDescent="0.3">
      <c r="G602"/>
      <c r="H602"/>
    </row>
    <row r="603" spans="7:8" x14ac:dyDescent="0.3">
      <c r="G603"/>
      <c r="H603"/>
    </row>
    <row r="604" spans="7:8" x14ac:dyDescent="0.3">
      <c r="G604"/>
      <c r="H604"/>
    </row>
    <row r="605" spans="7:8" x14ac:dyDescent="0.3">
      <c r="G605"/>
      <c r="H605"/>
    </row>
    <row r="606" spans="7:8" x14ac:dyDescent="0.3">
      <c r="G606"/>
      <c r="H606"/>
    </row>
    <row r="607" spans="7:8" x14ac:dyDescent="0.3">
      <c r="G607"/>
      <c r="H607"/>
    </row>
    <row r="608" spans="7:8" x14ac:dyDescent="0.3">
      <c r="G608"/>
      <c r="H608"/>
    </row>
    <row r="609" spans="7:8" x14ac:dyDescent="0.3">
      <c r="G609"/>
      <c r="H609"/>
    </row>
    <row r="610" spans="7:8" x14ac:dyDescent="0.3">
      <c r="G610"/>
      <c r="H610"/>
    </row>
    <row r="611" spans="7:8" x14ac:dyDescent="0.3">
      <c r="G611"/>
      <c r="H611"/>
    </row>
    <row r="612" spans="7:8" x14ac:dyDescent="0.3">
      <c r="G612"/>
      <c r="H612"/>
    </row>
    <row r="613" spans="7:8" x14ac:dyDescent="0.3">
      <c r="G613"/>
      <c r="H613"/>
    </row>
    <row r="614" spans="7:8" x14ac:dyDescent="0.3">
      <c r="G614"/>
      <c r="H614"/>
    </row>
    <row r="615" spans="7:8" x14ac:dyDescent="0.3">
      <c r="G615"/>
      <c r="H615"/>
    </row>
    <row r="616" spans="7:8" x14ac:dyDescent="0.3">
      <c r="G616"/>
      <c r="H616"/>
    </row>
    <row r="617" spans="7:8" x14ac:dyDescent="0.3">
      <c r="G617"/>
      <c r="H617"/>
    </row>
    <row r="618" spans="7:8" x14ac:dyDescent="0.3">
      <c r="G618"/>
      <c r="H618"/>
    </row>
    <row r="619" spans="7:8" x14ac:dyDescent="0.3">
      <c r="G619"/>
      <c r="H619"/>
    </row>
    <row r="620" spans="7:8" x14ac:dyDescent="0.3">
      <c r="G620"/>
      <c r="H620"/>
    </row>
    <row r="621" spans="7:8" x14ac:dyDescent="0.3">
      <c r="G621"/>
      <c r="H621"/>
    </row>
    <row r="622" spans="7:8" x14ac:dyDescent="0.3">
      <c r="G622"/>
      <c r="H622"/>
    </row>
    <row r="623" spans="7:8" x14ac:dyDescent="0.3">
      <c r="G623"/>
      <c r="H623"/>
    </row>
    <row r="624" spans="7:8" x14ac:dyDescent="0.3">
      <c r="G624"/>
      <c r="H624"/>
    </row>
    <row r="625" spans="7:8" x14ac:dyDescent="0.3">
      <c r="G625"/>
      <c r="H625"/>
    </row>
    <row r="626" spans="7:8" x14ac:dyDescent="0.3">
      <c r="G626"/>
      <c r="H626"/>
    </row>
    <row r="627" spans="7:8" x14ac:dyDescent="0.3">
      <c r="G627"/>
      <c r="H627"/>
    </row>
    <row r="628" spans="7:8" x14ac:dyDescent="0.3">
      <c r="G628"/>
      <c r="H628"/>
    </row>
    <row r="629" spans="7:8" x14ac:dyDescent="0.3">
      <c r="G629"/>
      <c r="H629"/>
    </row>
    <row r="630" spans="7:8" x14ac:dyDescent="0.3">
      <c r="G630"/>
      <c r="H630"/>
    </row>
    <row r="631" spans="7:8" x14ac:dyDescent="0.3">
      <c r="G631"/>
      <c r="H631"/>
    </row>
    <row r="632" spans="7:8" x14ac:dyDescent="0.3">
      <c r="G632"/>
      <c r="H632"/>
    </row>
    <row r="633" spans="7:8" x14ac:dyDescent="0.3">
      <c r="G633"/>
      <c r="H633"/>
    </row>
    <row r="634" spans="7:8" x14ac:dyDescent="0.3">
      <c r="G634"/>
      <c r="H634"/>
    </row>
    <row r="635" spans="7:8" x14ac:dyDescent="0.3">
      <c r="G635"/>
      <c r="H635"/>
    </row>
    <row r="636" spans="7:8" x14ac:dyDescent="0.3">
      <c r="G636"/>
      <c r="H636"/>
    </row>
    <row r="637" spans="7:8" x14ac:dyDescent="0.3">
      <c r="G637"/>
      <c r="H637"/>
    </row>
    <row r="638" spans="7:8" x14ac:dyDescent="0.3">
      <c r="G638"/>
      <c r="H638"/>
    </row>
    <row r="639" spans="7:8" x14ac:dyDescent="0.3">
      <c r="G639"/>
      <c r="H639"/>
    </row>
    <row r="640" spans="7:8" x14ac:dyDescent="0.3">
      <c r="G640"/>
      <c r="H640"/>
    </row>
    <row r="641" spans="7:8" x14ac:dyDescent="0.3">
      <c r="G641"/>
      <c r="H641"/>
    </row>
    <row r="642" spans="7:8" x14ac:dyDescent="0.3">
      <c r="G642"/>
      <c r="H642"/>
    </row>
    <row r="643" spans="7:8" x14ac:dyDescent="0.3">
      <c r="G643"/>
      <c r="H643"/>
    </row>
    <row r="644" spans="7:8" x14ac:dyDescent="0.3">
      <c r="G644"/>
      <c r="H644"/>
    </row>
    <row r="645" spans="7:8" x14ac:dyDescent="0.3">
      <c r="G645"/>
      <c r="H645"/>
    </row>
    <row r="646" spans="7:8" x14ac:dyDescent="0.3">
      <c r="G646"/>
      <c r="H646"/>
    </row>
    <row r="647" spans="7:8" x14ac:dyDescent="0.3">
      <c r="G647"/>
      <c r="H647"/>
    </row>
    <row r="648" spans="7:8" x14ac:dyDescent="0.3">
      <c r="G648"/>
      <c r="H648"/>
    </row>
    <row r="649" spans="7:8" x14ac:dyDescent="0.3">
      <c r="G649"/>
      <c r="H649"/>
    </row>
    <row r="650" spans="7:8" x14ac:dyDescent="0.3">
      <c r="G650"/>
      <c r="H650"/>
    </row>
    <row r="651" spans="7:8" x14ac:dyDescent="0.3">
      <c r="G651"/>
      <c r="H651"/>
    </row>
    <row r="652" spans="7:8" x14ac:dyDescent="0.3">
      <c r="G652"/>
      <c r="H652"/>
    </row>
    <row r="653" spans="7:8" x14ac:dyDescent="0.3">
      <c r="G653"/>
      <c r="H653"/>
    </row>
    <row r="654" spans="7:8" x14ac:dyDescent="0.3">
      <c r="G654"/>
      <c r="H654"/>
    </row>
    <row r="655" spans="7:8" x14ac:dyDescent="0.3">
      <c r="G655"/>
      <c r="H655"/>
    </row>
    <row r="656" spans="7:8" x14ac:dyDescent="0.3">
      <c r="G656"/>
      <c r="H656"/>
    </row>
    <row r="657" spans="7:8" x14ac:dyDescent="0.3">
      <c r="G657"/>
      <c r="H657"/>
    </row>
    <row r="658" spans="7:8" x14ac:dyDescent="0.3">
      <c r="G658"/>
      <c r="H658"/>
    </row>
    <row r="659" spans="7:8" x14ac:dyDescent="0.3">
      <c r="G659"/>
      <c r="H659"/>
    </row>
    <row r="660" spans="7:8" x14ac:dyDescent="0.3">
      <c r="G660"/>
      <c r="H660"/>
    </row>
    <row r="661" spans="7:8" x14ac:dyDescent="0.3">
      <c r="G661"/>
      <c r="H661"/>
    </row>
    <row r="662" spans="7:8" x14ac:dyDescent="0.3">
      <c r="G662"/>
      <c r="H662"/>
    </row>
    <row r="663" spans="7:8" x14ac:dyDescent="0.3">
      <c r="G663"/>
      <c r="H663"/>
    </row>
    <row r="664" spans="7:8" x14ac:dyDescent="0.3">
      <c r="G664"/>
      <c r="H664"/>
    </row>
    <row r="665" spans="7:8" x14ac:dyDescent="0.3">
      <c r="G665"/>
      <c r="H665"/>
    </row>
    <row r="666" spans="7:8" x14ac:dyDescent="0.3">
      <c r="G666"/>
      <c r="H666"/>
    </row>
    <row r="667" spans="7:8" x14ac:dyDescent="0.3">
      <c r="G667"/>
      <c r="H667"/>
    </row>
    <row r="668" spans="7:8" x14ac:dyDescent="0.3">
      <c r="G668"/>
      <c r="H668"/>
    </row>
    <row r="669" spans="7:8" x14ac:dyDescent="0.3">
      <c r="G669"/>
      <c r="H669"/>
    </row>
    <row r="670" spans="7:8" x14ac:dyDescent="0.3">
      <c r="G670"/>
      <c r="H670"/>
    </row>
    <row r="671" spans="7:8" x14ac:dyDescent="0.3">
      <c r="G671"/>
      <c r="H671"/>
    </row>
    <row r="672" spans="7:8" x14ac:dyDescent="0.3">
      <c r="G672"/>
      <c r="H672"/>
    </row>
    <row r="673" spans="7:8" x14ac:dyDescent="0.3">
      <c r="G673"/>
      <c r="H673"/>
    </row>
    <row r="674" spans="7:8" x14ac:dyDescent="0.3">
      <c r="G674"/>
      <c r="H674"/>
    </row>
    <row r="675" spans="7:8" x14ac:dyDescent="0.3">
      <c r="G675"/>
      <c r="H675"/>
    </row>
    <row r="676" spans="7:8" x14ac:dyDescent="0.3">
      <c r="G676"/>
      <c r="H676"/>
    </row>
    <row r="677" spans="7:8" x14ac:dyDescent="0.3">
      <c r="G677"/>
      <c r="H677"/>
    </row>
    <row r="678" spans="7:8" x14ac:dyDescent="0.3">
      <c r="G678"/>
      <c r="H678"/>
    </row>
    <row r="679" spans="7:8" x14ac:dyDescent="0.3">
      <c r="G679"/>
      <c r="H679"/>
    </row>
    <row r="680" spans="7:8" x14ac:dyDescent="0.3">
      <c r="G680"/>
      <c r="H680"/>
    </row>
    <row r="681" spans="7:8" x14ac:dyDescent="0.3">
      <c r="G681"/>
      <c r="H681"/>
    </row>
    <row r="682" spans="7:8" x14ac:dyDescent="0.3">
      <c r="G682"/>
      <c r="H682"/>
    </row>
    <row r="683" spans="7:8" x14ac:dyDescent="0.3">
      <c r="G683"/>
      <c r="H683"/>
    </row>
    <row r="684" spans="7:8" x14ac:dyDescent="0.3">
      <c r="G684"/>
      <c r="H684"/>
    </row>
    <row r="685" spans="7:8" x14ac:dyDescent="0.3">
      <c r="G685"/>
      <c r="H685"/>
    </row>
    <row r="686" spans="7:8" x14ac:dyDescent="0.3">
      <c r="G686"/>
      <c r="H686"/>
    </row>
    <row r="687" spans="7:8" x14ac:dyDescent="0.3">
      <c r="G687"/>
      <c r="H687"/>
    </row>
    <row r="688" spans="7:8" x14ac:dyDescent="0.3">
      <c r="G688"/>
      <c r="H688"/>
    </row>
    <row r="689" spans="7:8" x14ac:dyDescent="0.3">
      <c r="G689"/>
      <c r="H689"/>
    </row>
    <row r="690" spans="7:8" x14ac:dyDescent="0.3">
      <c r="G690"/>
      <c r="H690"/>
    </row>
    <row r="691" spans="7:8" x14ac:dyDescent="0.3">
      <c r="G691"/>
      <c r="H691"/>
    </row>
    <row r="692" spans="7:8" x14ac:dyDescent="0.3">
      <c r="G692"/>
      <c r="H692"/>
    </row>
    <row r="693" spans="7:8" x14ac:dyDescent="0.3">
      <c r="G693"/>
      <c r="H693"/>
    </row>
    <row r="694" spans="7:8" x14ac:dyDescent="0.3">
      <c r="G694"/>
      <c r="H694"/>
    </row>
    <row r="695" spans="7:8" x14ac:dyDescent="0.3">
      <c r="G695"/>
      <c r="H695"/>
    </row>
    <row r="696" spans="7:8" x14ac:dyDescent="0.3">
      <c r="G696"/>
      <c r="H696"/>
    </row>
    <row r="697" spans="7:8" x14ac:dyDescent="0.3">
      <c r="G697"/>
      <c r="H697"/>
    </row>
    <row r="698" spans="7:8" x14ac:dyDescent="0.3">
      <c r="G698"/>
      <c r="H698"/>
    </row>
    <row r="699" spans="7:8" x14ac:dyDescent="0.3">
      <c r="G699"/>
      <c r="H699"/>
    </row>
    <row r="700" spans="7:8" x14ac:dyDescent="0.3">
      <c r="G700"/>
      <c r="H700"/>
    </row>
    <row r="701" spans="7:8" x14ac:dyDescent="0.3">
      <c r="G701"/>
      <c r="H701"/>
    </row>
    <row r="702" spans="7:8" x14ac:dyDescent="0.3">
      <c r="G702"/>
      <c r="H702"/>
    </row>
    <row r="703" spans="7:8" x14ac:dyDescent="0.3">
      <c r="G703"/>
      <c r="H703"/>
    </row>
    <row r="704" spans="7:8" x14ac:dyDescent="0.3">
      <c r="G704"/>
      <c r="H704"/>
    </row>
    <row r="705" spans="7:8" x14ac:dyDescent="0.3">
      <c r="G705"/>
      <c r="H705"/>
    </row>
    <row r="706" spans="7:8" x14ac:dyDescent="0.3">
      <c r="G706"/>
      <c r="H706"/>
    </row>
    <row r="707" spans="7:8" x14ac:dyDescent="0.3">
      <c r="G707"/>
      <c r="H707"/>
    </row>
    <row r="708" spans="7:8" x14ac:dyDescent="0.3">
      <c r="G708"/>
      <c r="H708"/>
    </row>
    <row r="709" spans="7:8" x14ac:dyDescent="0.3">
      <c r="G709"/>
      <c r="H709"/>
    </row>
    <row r="710" spans="7:8" x14ac:dyDescent="0.3">
      <c r="G710"/>
      <c r="H710"/>
    </row>
    <row r="711" spans="7:8" x14ac:dyDescent="0.3">
      <c r="G711"/>
      <c r="H711"/>
    </row>
    <row r="712" spans="7:8" x14ac:dyDescent="0.3">
      <c r="G712"/>
      <c r="H712"/>
    </row>
    <row r="713" spans="7:8" x14ac:dyDescent="0.3">
      <c r="G713"/>
      <c r="H713"/>
    </row>
    <row r="714" spans="7:8" x14ac:dyDescent="0.3">
      <c r="G714"/>
      <c r="H714"/>
    </row>
    <row r="715" spans="7:8" x14ac:dyDescent="0.3">
      <c r="G715"/>
      <c r="H715"/>
    </row>
    <row r="716" spans="7:8" x14ac:dyDescent="0.3">
      <c r="G716"/>
      <c r="H716"/>
    </row>
    <row r="717" spans="7:8" x14ac:dyDescent="0.3">
      <c r="G717"/>
      <c r="H717"/>
    </row>
    <row r="718" spans="7:8" x14ac:dyDescent="0.3">
      <c r="G718"/>
      <c r="H718"/>
    </row>
    <row r="719" spans="7:8" x14ac:dyDescent="0.3">
      <c r="G719"/>
      <c r="H719"/>
    </row>
    <row r="720" spans="7:8" x14ac:dyDescent="0.3">
      <c r="G720"/>
      <c r="H720"/>
    </row>
    <row r="721" spans="7:8" x14ac:dyDescent="0.3">
      <c r="G721"/>
      <c r="H721"/>
    </row>
    <row r="722" spans="7:8" x14ac:dyDescent="0.3">
      <c r="G722"/>
      <c r="H722"/>
    </row>
    <row r="723" spans="7:8" x14ac:dyDescent="0.3">
      <c r="G723"/>
      <c r="H723"/>
    </row>
    <row r="724" spans="7:8" x14ac:dyDescent="0.3">
      <c r="G724"/>
      <c r="H724"/>
    </row>
    <row r="725" spans="7:8" x14ac:dyDescent="0.3">
      <c r="G725"/>
      <c r="H725"/>
    </row>
    <row r="726" spans="7:8" x14ac:dyDescent="0.3">
      <c r="G726"/>
      <c r="H726"/>
    </row>
    <row r="727" spans="7:8" x14ac:dyDescent="0.3">
      <c r="G727"/>
      <c r="H727"/>
    </row>
    <row r="728" spans="7:8" x14ac:dyDescent="0.3">
      <c r="G728"/>
      <c r="H728"/>
    </row>
    <row r="729" spans="7:8" x14ac:dyDescent="0.3">
      <c r="G729"/>
      <c r="H729"/>
    </row>
    <row r="730" spans="7:8" x14ac:dyDescent="0.3">
      <c r="G730"/>
      <c r="H730"/>
    </row>
    <row r="731" spans="7:8" x14ac:dyDescent="0.3">
      <c r="G731"/>
      <c r="H731"/>
    </row>
    <row r="732" spans="7:8" x14ac:dyDescent="0.3">
      <c r="G732"/>
      <c r="H732"/>
    </row>
    <row r="733" spans="7:8" x14ac:dyDescent="0.3">
      <c r="G733"/>
      <c r="H733"/>
    </row>
    <row r="734" spans="7:8" x14ac:dyDescent="0.3">
      <c r="G734"/>
      <c r="H734"/>
    </row>
    <row r="735" spans="7:8" x14ac:dyDescent="0.3">
      <c r="G735"/>
      <c r="H735"/>
    </row>
    <row r="736" spans="7:8" x14ac:dyDescent="0.3">
      <c r="G736"/>
      <c r="H736"/>
    </row>
  </sheetData>
  <mergeCells count="1">
    <mergeCell ref="A2:B2"/>
  </mergeCells>
  <pageMargins left="0.7" right="0.7" top="0.75" bottom="0.75" header="0.3" footer="0.3"/>
  <pageSetup paperSize="9" orientation="portrait" r:id="rId3"/>
  <headerFooter>
    <oddHeader>&amp;C&amp;G</oddHeader>
  </headerFooter>
  <drawing r:id="rId4"/>
  <legacyDrawingHF r:id="rId5"/>
  <tableParts count="1">
    <tablePart r:id="rId6"/>
  </tableParts>
  <extLst>
    <ext xmlns:x14="http://schemas.microsoft.com/office/spreadsheetml/2009/9/main" uri="{A8765BA9-456A-4dab-B4F3-ACF838C121DE}">
      <x14:slicerList>
        <x14:slicer r:id="rId7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2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3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4.xml><?xml version="1.0" encoding="utf-8"?>
<ds:datastoreItem xmlns:ds="http://schemas.openxmlformats.org/officeDocument/2006/customXml" ds:itemID="{5C296F3E-872C-4588-BFE9-FEE2D904D200}">
  <ds:schemaRefs/>
</ds:datastoreItem>
</file>

<file path=customXml/itemProps5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6.xml><?xml version="1.0" encoding="utf-8"?>
<ds:datastoreItem xmlns:ds="http://schemas.openxmlformats.org/officeDocument/2006/customXml" ds:itemID="{F890522B-B809-4584-BB7D-69B7B8492756}">
  <ds:schemaRefs/>
</ds:datastoreItem>
</file>

<file path=customXml/itemProps7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8.xml><?xml version="1.0" encoding="utf-8"?>
<ds:datastoreItem xmlns:ds="http://schemas.openxmlformats.org/officeDocument/2006/customXml" ds:itemID="{8ECF830E-FABB-4AA6-A50B-8C05E1ADF8A2}">
  <ds:schemaRefs/>
</ds:datastoreItem>
</file>

<file path=customXml/itemProps9.xml><?xml version="1.0" encoding="utf-8"?>
<ds:datastoreItem xmlns:ds="http://schemas.openxmlformats.org/officeDocument/2006/customXml" ds:itemID="{43B5A036-99A2-4232-BB79-C1F070A43125}">
  <ds:schemaRefs/>
</ds:datastoreItem>
</file>

<file path=customXml/itemProps10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11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12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13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14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15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16.xml><?xml version="1.0" encoding="utf-8"?>
<ds:datastoreItem xmlns:ds="http://schemas.openxmlformats.org/officeDocument/2006/customXml" ds:itemID="{17D126D2-06DB-4B21-AC0F-79FB3A2A39D5}">
  <ds:schemaRefs/>
</ds:datastoreItem>
</file>

<file path=customXml/itemProps17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2026-08-21T17:23:19Z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dac71-a7b2-4a5d-86b7-f0116d9e91ad_Enabled">
    <vt:lpwstr>true</vt:lpwstr>
  </property>
  <property fmtid="{D5CDD505-2E9C-101B-9397-08002B2CF9AE}" pid="3" name="MSIP_Label_f42dac71-a7b2-4a5d-86b7-f0116d9e91ad_SetDate">
    <vt:lpwstr>2026-06-22T16:55:38Z</vt:lpwstr>
  </property>
  <property fmtid="{D5CDD505-2E9C-101B-9397-08002B2CF9AE}" pid="4" name="MSIP_Label_f42dac71-a7b2-4a5d-86b7-f0116d9e91ad_Method">
    <vt:lpwstr>Standard</vt:lpwstr>
  </property>
  <property fmtid="{D5CDD505-2E9C-101B-9397-08002B2CF9AE}" pid="5" name="MSIP_Label_f42dac71-a7b2-4a5d-86b7-f0116d9e91ad_Name">
    <vt:lpwstr>Datos Personales</vt:lpwstr>
  </property>
  <property fmtid="{D5CDD505-2E9C-101B-9397-08002B2CF9AE}" pid="6" name="MSIP_Label_f42dac71-a7b2-4a5d-86b7-f0116d9e91ad_SiteId">
    <vt:lpwstr>517e0e98-94c4-4cdc-aedf-9a5d64ccdfb2</vt:lpwstr>
  </property>
  <property fmtid="{D5CDD505-2E9C-101B-9397-08002B2CF9AE}" pid="7" name="MSIP_Label_f42dac71-a7b2-4a5d-86b7-f0116d9e91ad_ActionId">
    <vt:lpwstr>f7ca107c-54a6-4780-a764-761ac4a235c7</vt:lpwstr>
  </property>
  <property fmtid="{D5CDD505-2E9C-101B-9397-08002B2CF9AE}" pid="8" name="MSIP_Label_f42dac71-a7b2-4a5d-86b7-f0116d9e91ad_ContentBits">
    <vt:lpwstr>4</vt:lpwstr>
  </property>
  <property fmtid="{D5CDD505-2E9C-101B-9397-08002B2CF9AE}" pid="9" name="MSIP_Label_f42dac71-a7b2-4a5d-86b7-f0116d9e91ad_Tag">
    <vt:lpwstr>10, 1, 2, 1</vt:lpwstr>
  </property>
</Properties>
</file>