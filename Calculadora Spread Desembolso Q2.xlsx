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51" documentId="8_{E9AFCAC9-B2A1-4EC4-B527-4B3219212ADD}" xr6:coauthVersionLast="47" xr6:coauthVersionMax="47" xr10:uidLastSave="{8ED94989-9B7B-4A45-8230-8E207F6286D1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 iterate="1"/>
  <pivotCaches>
    <pivotCache cacheId="11" r:id="rId2"/>
    <pivotCache cacheId="14" r:id="rId3"/>
  </pivotCaches>
  <extLst>
    <ext xmlns:x14="http://schemas.microsoft.com/office/spreadsheetml/2009/9/main" uri="{876F7934-8845-4945-9796-88D515C7AA90}">
      <x14:pivotCaches>
        <pivotCache cacheId="7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<sst xmlns="http://schemas.openxmlformats.org/spreadsheetml/2006/main" count="527" uniqueCount="104">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</sst>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17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0.4017775463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0.401853935182" createdVersion="5" refreshedVersion="8" minRefreshableVersion="3" recordCount="0" supportSubquery="1" supportAdvancedDrill="1" xr:uid="{E16E5F9E-3107-4537-AFA8-91AABA175D0D}">
  <cacheSource type="external" connectionId="2"/>
  <cacheFields count="10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71890" maxValue="1760177120" count="116"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937938"/>
        <n v="1755939850"/>
        <n v="1755939914"/>
        <n v="1760136590"/>
        <n v="1760148610"/>
        <n v="1760166324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142107"/>
        <n v="1760159735"/>
        <n v="1760167680"/>
        <n v="1760175780"/>
        <n v="1760147206"/>
      </sharedItems>
    </cacheField>
    <cacheField name="[Desem].[NombreFuncionario].[NombreFuncionario]" caption="NombreFuncionario" numFmtId="0" hierarchy="9" level="1">
      <sharedItems count="4">
        <s v="G.RAFFO"/>
        <s v="J.CARRERA"/>
        <s v="M.ROA"/>
        <s v="R.SOLIS"/>
      </sharedItems>
    </cacheField>
    <cacheField name="[Desem].[NombreCliente].[NombreCliente]" caption="NombreCliente" numFmtId="0" hierarchy="10" level="1">
      <sharedItems count="48"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DEUTSCHE PHARMA S A C"/>
        <s v="FITFLOW PERU SRL"/>
        <s v="ADIPLUS S A C"/>
        <s v="IMPLEMENTOS PERU S A C"/>
      </sharedItems>
    </cacheField>
    <cacheField name="[Desem].[Producto].[Producto]" caption="Producto" numFmtId="0" hierarchy="3" level="1">
      <sharedItems count="4">
        <s v="PRESTAMOS"/>
        <s v="DESCUENT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0.401775578706" createdVersion="3" refreshedVersion="8" minRefreshableVersion="3" recordCount="0" supportSubquery="1" supportAdvancedDrill="1" xr:uid="{8FFE9FF4-CD69-43EF-8EDE-54C67C9307A9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4186803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4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130" firstHeaderRow="0" firstDataRow="1" firstDataCol="6"/>
  <pivotFields count="10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116">
    <i>
      <x/>
      <x/>
      <x/>
      <x/>
      <x/>
      <x/>
    </i>
    <i r="2">
      <x v="1"/>
      <x/>
      <x v="1"/>
      <x v="1"/>
    </i>
    <i r="2">
      <x v="2"/>
      <x v="1"/>
      <x/>
      <x v="2"/>
    </i>
    <i r="2">
      <x v="3"/>
      <x/>
      <x v="2"/>
      <x v="3"/>
    </i>
    <i r="2">
      <x v="4"/>
      <x/>
      <x v="2"/>
      <x v="3"/>
    </i>
    <i r="2">
      <x v="5"/>
      <x/>
      <x v="2"/>
      <x v="4"/>
    </i>
    <i r="2">
      <x v="6"/>
      <x/>
      <x v="2"/>
      <x v="3"/>
    </i>
    <i r="2">
      <x v="7"/>
      <x v="1"/>
      <x/>
      <x v="5"/>
    </i>
    <i r="2">
      <x v="8"/>
      <x/>
      <x/>
      <x v="3"/>
    </i>
    <i r="2">
      <x v="9"/>
      <x/>
      <x/>
      <x v="6"/>
    </i>
    <i r="2">
      <x v="10"/>
      <x/>
      <x/>
      <x v="6"/>
    </i>
    <i r="2">
      <x v="11"/>
      <x v="1"/>
      <x v="1"/>
      <x v="1"/>
    </i>
    <i r="2">
      <x v="12"/>
      <x/>
      <x v="1"/>
      <x v="1"/>
    </i>
    <i r="1">
      <x v="1"/>
      <x v="13"/>
      <x/>
      <x v="2"/>
      <x v="7"/>
    </i>
    <i r="2">
      <x v="14"/>
      <x v="1"/>
      <x v="2"/>
      <x v="8"/>
    </i>
    <i r="2">
      <x v="15"/>
      <x v="1"/>
      <x v="2"/>
      <x v="8"/>
    </i>
    <i r="2">
      <x v="16"/>
      <x v="1"/>
      <x v="2"/>
      <x v="8"/>
    </i>
    <i r="2">
      <x v="17"/>
      <x/>
      <x v="2"/>
      <x v="9"/>
    </i>
    <i r="2">
      <x v="18"/>
      <x/>
      <x v="2"/>
      <x v="9"/>
    </i>
    <i r="2">
      <x v="19"/>
      <x v="1"/>
      <x v="2"/>
      <x v="8"/>
    </i>
    <i r="2">
      <x v="20"/>
      <x v="1"/>
      <x v="2"/>
      <x v="8"/>
    </i>
    <i r="2">
      <x v="21"/>
      <x v="1"/>
      <x v="2"/>
      <x v="8"/>
    </i>
    <i r="2">
      <x v="22"/>
      <x v="1"/>
      <x v="1"/>
      <x v="10"/>
    </i>
    <i r="2">
      <x v="23"/>
      <x v="1"/>
      <x v="2"/>
      <x v="8"/>
    </i>
    <i r="2">
      <x v="24"/>
      <x v="1"/>
      <x v="2"/>
      <x v="8"/>
    </i>
    <i r="2">
      <x v="25"/>
      <x v="1"/>
      <x v="2"/>
      <x v="8"/>
    </i>
    <i r="2">
      <x v="26"/>
      <x/>
      <x v="2"/>
      <x v="11"/>
    </i>
    <i r="2">
      <x v="27"/>
      <x/>
      <x v="1"/>
      <x v="11"/>
    </i>
    <i r="2">
      <x v="28"/>
      <x/>
      <x v="2"/>
      <x v="7"/>
    </i>
    <i r="2">
      <x v="29"/>
      <x v="1"/>
      <x v="2"/>
      <x v="12"/>
    </i>
    <i r="2">
      <x v="30"/>
      <x v="1"/>
      <x v="2"/>
      <x v="8"/>
    </i>
    <i r="2">
      <x v="31"/>
      <x v="1"/>
      <x v="2"/>
      <x v="8"/>
    </i>
    <i r="2">
      <x v="32"/>
      <x v="1"/>
      <x v="2"/>
      <x v="8"/>
    </i>
    <i r="2">
      <x v="33"/>
      <x/>
      <x v="2"/>
      <x v="13"/>
    </i>
    <i r="2">
      <x v="34"/>
      <x/>
      <x v="2"/>
      <x v="14"/>
    </i>
    <i r="2">
      <x v="35"/>
      <x v="1"/>
      <x v="1"/>
      <x v="15"/>
    </i>
    <i r="2">
      <x v="36"/>
      <x/>
      <x v="2"/>
      <x v="16"/>
    </i>
    <i r="2">
      <x v="37"/>
      <x/>
      <x v="2"/>
      <x v="13"/>
    </i>
    <i r="2">
      <x v="38"/>
      <x v="1"/>
      <x v="2"/>
      <x v="8"/>
    </i>
    <i r="2">
      <x v="39"/>
      <x v="1"/>
      <x v="2"/>
      <x v="8"/>
    </i>
    <i r="2">
      <x v="40"/>
      <x v="1"/>
      <x v="2"/>
      <x v="8"/>
    </i>
    <i r="2">
      <x v="41"/>
      <x/>
      <x/>
      <x v="17"/>
    </i>
    <i r="2">
      <x v="42"/>
      <x/>
      <x/>
      <x v="17"/>
    </i>
    <i r="2">
      <x v="43"/>
      <x/>
      <x/>
      <x v="17"/>
    </i>
    <i r="2">
      <x v="44"/>
      <x/>
      <x/>
      <x v="17"/>
    </i>
    <i r="2">
      <x v="45"/>
      <x v="1"/>
      <x v="2"/>
      <x v="8"/>
    </i>
    <i r="2">
      <x v="46"/>
      <x v="1"/>
      <x v="2"/>
      <x v="8"/>
    </i>
    <i r="2">
      <x v="47"/>
      <x v="1"/>
      <x v="2"/>
      <x v="8"/>
    </i>
    <i r="2">
      <x v="48"/>
      <x v="1"/>
      <x v="2"/>
      <x v="8"/>
    </i>
    <i r="2">
      <x v="49"/>
      <x/>
      <x v="1"/>
      <x v="11"/>
    </i>
    <i r="1">
      <x v="2"/>
      <x v="50"/>
      <x v="1"/>
      <x v="2"/>
      <x v="18"/>
    </i>
    <i r="2">
      <x v="51"/>
      <x v="1"/>
      <x v="2"/>
      <x v="19"/>
    </i>
    <i r="2">
      <x v="52"/>
      <x/>
      <x v="2"/>
      <x v="20"/>
    </i>
    <i r="2">
      <x v="53"/>
      <x/>
      <x v="2"/>
      <x v="21"/>
    </i>
    <i r="2">
      <x v="54"/>
      <x/>
      <x v="2"/>
      <x v="21"/>
    </i>
    <i r="2">
      <x v="55"/>
      <x/>
      <x v="2"/>
      <x v="22"/>
    </i>
    <i r="2">
      <x v="56"/>
      <x/>
      <x v="2"/>
      <x v="23"/>
    </i>
    <i r="2">
      <x v="57"/>
      <x/>
      <x v="2"/>
      <x v="24"/>
    </i>
    <i r="2">
      <x v="58"/>
      <x/>
      <x v="2"/>
      <x v="24"/>
    </i>
    <i r="2">
      <x v="59"/>
      <x/>
      <x v="2"/>
      <x v="24"/>
    </i>
    <i r="2">
      <x v="60"/>
      <x/>
      <x v="2"/>
      <x v="25"/>
    </i>
    <i r="2">
      <x v="61"/>
      <x/>
      <x v="2"/>
      <x v="22"/>
    </i>
    <i r="2">
      <x v="62"/>
      <x/>
      <x v="2"/>
      <x v="26"/>
    </i>
    <i r="2">
      <x v="63"/>
      <x v="1"/>
      <x v="2"/>
      <x v="27"/>
    </i>
    <i r="2">
      <x v="64"/>
      <x v="1"/>
      <x v="2"/>
      <x v="27"/>
    </i>
    <i r="2">
      <x v="65"/>
      <x v="1"/>
      <x v="2"/>
      <x v="27"/>
    </i>
    <i r="2">
      <x v="66"/>
      <x/>
      <x v="3"/>
      <x v="28"/>
    </i>
    <i r="2">
      <x v="67"/>
      <x/>
      <x v="2"/>
      <x v="25"/>
    </i>
    <i r="2">
      <x v="68"/>
      <x/>
      <x v="2"/>
      <x v="25"/>
    </i>
    <i r="2">
      <x v="69"/>
      <x v="1"/>
      <x/>
      <x v="29"/>
    </i>
    <i r="2">
      <x v="70"/>
      <x/>
      <x v="2"/>
      <x v="30"/>
    </i>
    <i r="2">
      <x v="71"/>
      <x/>
      <x v="2"/>
      <x v="31"/>
    </i>
    <i r="2">
      <x v="72"/>
      <x/>
      <x v="2"/>
      <x v="32"/>
    </i>
    <i r="2">
      <x v="73"/>
      <x/>
      <x/>
      <x v="33"/>
    </i>
    <i r="2">
      <x v="74"/>
      <x v="1"/>
      <x v="1"/>
      <x v="34"/>
    </i>
    <i r="1">
      <x v="3"/>
      <x v="75"/>
      <x v="1"/>
      <x/>
      <x v="35"/>
    </i>
    <i r="2">
      <x v="76"/>
      <x/>
      <x v="2"/>
      <x v="36"/>
    </i>
    <i r="2">
      <x v="77"/>
      <x v="1"/>
      <x/>
      <x v="37"/>
    </i>
    <i r="2">
      <x v="78"/>
      <x/>
      <x v="2"/>
      <x v="38"/>
    </i>
    <i r="2">
      <x v="79"/>
      <x/>
      <x v="1"/>
      <x v="39"/>
    </i>
    <i r="2">
      <x v="80"/>
      <x v="1"/>
      <x v="1"/>
      <x v="40"/>
    </i>
    <i r="2">
      <x v="81"/>
      <x v="1"/>
      <x/>
      <x v="41"/>
    </i>
    <i r="2">
      <x v="82"/>
      <x v="1"/>
      <x v="2"/>
      <x v="42"/>
    </i>
    <i r="2">
      <x v="83"/>
      <x/>
      <x v="2"/>
      <x v="38"/>
    </i>
    <i r="2">
      <x v="84"/>
      <x v="1"/>
      <x/>
      <x v="43"/>
    </i>
    <i>
      <x v="1"/>
      <x/>
      <x v="85"/>
      <x/>
      <x v="2"/>
      <x v="3"/>
    </i>
    <i r="2">
      <x v="86"/>
      <x/>
      <x/>
      <x v="6"/>
    </i>
    <i r="2">
      <x v="87"/>
      <x/>
      <x/>
      <x v="6"/>
    </i>
    <i r="2">
      <x v="88"/>
      <x v="1"/>
      <x v="1"/>
      <x v="1"/>
    </i>
    <i r="2">
      <x v="89"/>
      <x/>
      <x v="1"/>
      <x v="1"/>
    </i>
    <i r="2">
      <x v="90"/>
      <x v="1"/>
      <x/>
      <x v="5"/>
    </i>
    <i r="1">
      <x v="1"/>
      <x v="91"/>
      <x/>
      <x/>
      <x v="17"/>
    </i>
    <i r="2">
      <x v="92"/>
      <x v="1"/>
      <x v="2"/>
      <x v="12"/>
    </i>
    <i r="2">
      <x v="93"/>
      <x/>
      <x v="2"/>
      <x v="14"/>
    </i>
    <i r="2">
      <x v="94"/>
      <x v="1"/>
      <x/>
      <x v="44"/>
    </i>
    <i r="2">
      <x v="95"/>
      <x/>
      <x v="2"/>
      <x v="9"/>
    </i>
    <i r="2">
      <x v="96"/>
      <x v="1"/>
      <x v="2"/>
      <x v="8"/>
    </i>
    <i r="2">
      <x v="97"/>
      <x v="1"/>
      <x v="2"/>
      <x v="8"/>
    </i>
    <i r="2">
      <x v="98"/>
      <x v="1"/>
      <x v="2"/>
      <x v="8"/>
    </i>
    <i r="2">
      <x v="99"/>
      <x/>
      <x v="2"/>
      <x v="13"/>
    </i>
    <i r="2">
      <x v="100"/>
      <x/>
      <x v="2"/>
      <x v="14"/>
    </i>
    <i r="2">
      <x v="101"/>
      <x v="1"/>
      <x v="2"/>
      <x v="8"/>
    </i>
    <i r="2">
      <x v="102"/>
      <x v="1"/>
      <x v="2"/>
      <x v="8"/>
    </i>
    <i r="2">
      <x v="103"/>
      <x v="1"/>
      <x v="2"/>
      <x v="8"/>
    </i>
    <i r="2">
      <x v="104"/>
      <x v="1"/>
      <x v="2"/>
      <x v="8"/>
    </i>
    <i r="2">
      <x v="105"/>
      <x v="1"/>
      <x v="2"/>
      <x v="8"/>
    </i>
    <i r="2">
      <x v="106"/>
      <x v="1"/>
      <x v="2"/>
      <x v="8"/>
    </i>
    <i r="2">
      <x v="107"/>
      <x/>
      <x/>
      <x v="17"/>
    </i>
    <i r="2">
      <x v="108"/>
      <x/>
      <x v="2"/>
      <x v="45"/>
    </i>
    <i r="2">
      <x v="109"/>
      <x/>
      <x v="2"/>
      <x v="14"/>
    </i>
    <i r="2">
      <x v="110"/>
      <x/>
      <x v="2"/>
      <x v="9"/>
    </i>
    <i r="1">
      <x v="2"/>
      <x v="111"/>
      <x/>
      <x v="2"/>
      <x v="32"/>
    </i>
    <i r="2">
      <x v="112"/>
      <x/>
      <x v="2"/>
      <x v="32"/>
    </i>
    <i r="2">
      <x v="113"/>
      <x v="1"/>
      <x v="2"/>
      <x v="27"/>
    </i>
    <i r="2">
      <x v="114"/>
      <x/>
      <x v="2"/>
      <x v="46"/>
    </i>
    <i r="1">
      <x v="3"/>
      <x v="115"/>
      <x v="1"/>
      <x v="2"/>
      <x v="47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field="2" type="button" dataOnly="0" labelOnly="1" outline="0" axis="axisRow" fieldPosition="1"/>
    </format>
    <format dxfId="112">
      <pivotArea field="1" type="button" dataOnly="0" labelOnly="1" outline="0" axis="axisRow" fieldPosition="2"/>
    </format>
    <format dxfId="111">
      <pivotArea field="8" type="button" dataOnly="0" labelOnly="1" outline="0" axis="axisRow" fieldPosition="3"/>
    </format>
    <format dxfId="110">
      <pivotArea field="4" type="button" dataOnly="0" labelOnly="1" outline="0" axis="axisRow" fieldPosition="4"/>
    </format>
    <format dxfId="109">
      <pivotArea field="3" type="button" dataOnly="0" labelOnly="1" outline="0" axis="axisRow" fieldPosition="5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field="0" type="button" dataOnly="0" labelOnly="1" outline="0" axis="axisRow" fieldPosition="0"/>
    </format>
    <format dxfId="106">
      <pivotArea field="2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field="8" type="button" dataOnly="0" labelOnly="1" outline="0" axis="axisRow" fieldPosition="3"/>
    </format>
    <format dxfId="103">
      <pivotArea field="4" type="button" dataOnly="0" labelOnly="1" outline="0" axis="axisRow" fieldPosition="4"/>
    </format>
    <format dxfId="102">
      <pivotArea field="3" type="button" dataOnly="0" labelOnly="1" outline="0" axis="axisRow" fieldPosition="5"/>
    </format>
    <format dxfId="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">
      <pivotArea field="0" type="button" dataOnly="0" labelOnly="1" outline="0" axis="axisRow" fieldPosition="0"/>
    </format>
    <format dxfId="99">
      <pivotArea field="2" type="button" dataOnly="0" labelOnly="1" outline="0" axis="axisRow" fieldPosition="1"/>
    </format>
    <format dxfId="98">
      <pivotArea field="1" type="button" dataOnly="0" labelOnly="1" outline="0" axis="axisRow" fieldPosition="2"/>
    </format>
    <format dxfId="97">
      <pivotArea field="8" type="button" dataOnly="0" labelOnly="1" outline="0" axis="axisRow" fieldPosition="3"/>
    </format>
    <format dxfId="96">
      <pivotArea field="4" type="button" dataOnly="0" labelOnly="1" outline="0" axis="axisRow" fieldPosition="4"/>
    </format>
    <format dxfId="95">
      <pivotArea field="3" type="button" dataOnly="0" labelOnly="1" outline="0" axis="axisRow" fieldPosition="5"/>
    </format>
    <format dxfId="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">
      <pivotArea field="0" type="button" dataOnly="0" labelOnly="1" outline="0" axis="axisRow" fieldPosition="0"/>
    </format>
    <format dxfId="92">
      <pivotArea field="2" type="button" dataOnly="0" labelOnly="1" outline="0" axis="axisRow" fieldPosition="1"/>
    </format>
    <format dxfId="91">
      <pivotArea field="1" type="button" dataOnly="0" labelOnly="1" outline="0" axis="axisRow" fieldPosition="2"/>
    </format>
    <format dxfId="90">
      <pivotArea field="8" type="button" dataOnly="0" labelOnly="1" outline="0" axis="axisRow" fieldPosition="3"/>
    </format>
    <format dxfId="89">
      <pivotArea field="4" type="button" dataOnly="0" labelOnly="1" outline="0" axis="axisRow" fieldPosition="4"/>
    </format>
    <format dxfId="88">
      <pivotArea field="3" type="button" dataOnly="0" labelOnly="1" outline="0" axis="axisRow" fieldPosition="5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6">
      <pivotArea field="0" type="button" dataOnly="0" labelOnly="1" outline="0" axis="axisRow" fieldPosition="0"/>
    </format>
    <format dxfId="85">
      <pivotArea field="2" type="button" dataOnly="0" labelOnly="1" outline="0" axis="axisRow" fieldPosition="1"/>
    </format>
    <format dxfId="84">
      <pivotArea field="1" type="button" dataOnly="0" labelOnly="1" outline="0" axis="axisRow" fieldPosition="2"/>
    </format>
    <format dxfId="83">
      <pivotArea field="8" type="button" dataOnly="0" labelOnly="1" outline="0" axis="axisRow" fieldPosition="3"/>
    </format>
    <format dxfId="82">
      <pivotArea field="4" type="button" dataOnly="0" labelOnly="1" outline="0" axis="axisRow" fieldPosition="4"/>
    </format>
    <format dxfId="81">
      <pivotArea field="3" type="button" dataOnly="0" labelOnly="1" outline="0" axis="axisRow" fieldPosition="5"/>
    </format>
    <format dxfId="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1" level="1">
        <member name="[Desem].[Grupo].&amp;[C.YUCRA]"/>
      </members>
    </pivotHierarchy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341868034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G.RAFFO]" c="G.RAFFO"/>
              <i n="[Desem].[NombreFuncionario].&amp;[J.CARRERA]" c="J.CARRERA"/>
              <i n="[Desem].[NombreFuncionario].&amp;[M.ROA]" c="M.ROA"/>
              <i n="[Desem].[NombreFuncionario].&amp;[R.SOLIS]" c="R.SOLIS"/>
              <i n="[Desem].[NombreFuncionario].&amp;[A.ROJAS]" c="A.ROJAS" nd="1"/>
              <i n="[Desem].[NombreFuncionario].&amp;[C.ESPINOZA]" c="C.ESPINOZA" nd="1"/>
              <i n="[Desem].[NombreFuncionario].&amp;[C.MARKY*16024]" c="C.MARKY*16024" nd="1"/>
              <i n="[Desem].[NombreFuncionario].&amp;[C.MEJIA]" c="C.MEJIA" nd="1"/>
              <i n="[Desem].[NombreFuncionario].&amp;[D.HERRERA]" c="D.HERRERA" nd="1"/>
              <i n="[Desem].[NombreFuncionario].&amp;[E.NUNEZ]" c="E.NUNEZ" nd="1"/>
              <i n="[Desem].[NombreFuncionario].&amp;[F.AMANS*13178]" c="F.AMANS*13178" nd="1"/>
              <i n="[Desem].[NombreFuncionario].&amp;[G.BRAVO]" c="G.BRAVO" nd="1"/>
              <i n="[Desem].[NombreFuncionario].&amp;[J.GRANDEZ]" c="J.GRANDEZ" nd="1"/>
              <i n="[Desem].[NombreFuncionario].&amp;[J.NAVARRO]" c="J.NAVARRO" nd="1"/>
              <i n="[Desem].[NombreFuncionario].&amp;[J.NICOLI]" c="J.NICOLI" nd="1"/>
              <i n="[Desem].[NombreFuncionario].&amp;[J.RAFFO*14014]" c="J.RAFFO*14014" nd="1"/>
              <i n="[Desem].[NombreFuncionario].&amp;[M.CASTAÑEDA]" c="M.CASTAÑEDA" nd="1"/>
              <i n="[Desem].[NombreFuncionario].&amp;[M.LAZO]" c="M.LAZO" nd="1"/>
              <i n="[Desem].[NombreFuncionario].&amp;[M.RODRIGUEZ*16329]" c="M.RODRIGUEZ*16329" nd="1"/>
              <i n="[Desem].[NombreFuncionario].&amp;[P.VENEGAS]" c="P.VENEGAS" nd="1"/>
              <i n="[Desem].[NombreFuncionario].&amp;[W.MACHUCA]" c="W.MACHUCA" nd="1"/>
              <i n="[Desem].[NombreFuncionario].&amp;[W.MONTES]" c="W.MONTES" nd="1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341868034">
      <levels count="2">
        <level uniqueName="[Desem].[Lider].[(All)]" sourceCaption="(All)" count="0"/>
        <level uniqueName="[Desem].[Lider].[Lider]" sourceCaption="Lider" count="3">
          <ranges>
            <range startItem="0">
              <i n="[Desem].[Lider].&amp;[M.CARDENAS]" c="M.CARDENAS"/>
              <i n="[Desem].[Lider].&amp;[D.BARCO]" c="D.BARCO" nd="1"/>
              <i n="[Desem].[Lider].&amp;[S.RODRIGUEZ]" c="S.RODRIGUEZ" nd="1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341868034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&amp;[C.YUCRA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355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46159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63.658458268380002</v>
      </c>
      <c r="H6" s="21" cm="1">
        <f t="array" ref="H6">SUMPRODUCT(G15:G1005,H15:H1005*(A15:A1005=202604))/SUMIFS(G15:G1005,A15:A1005,202604)</f>
        <v>1.8732029203690388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16.277291077440001</v>
      </c>
      <c r="H7" s="21" cm="1">
        <f t="array" ref="H7">IFERROR(SUMPRODUCT(G15:G1005,H15:H1005*(A15:A1005=202605))/SUMIFS(G15:G1005,A15:A1005,202605),0)</f>
        <v>1.6352532205346693</v>
      </c>
      <c r="I7"/>
      <c r="J7"/>
      <c r="K7"/>
    </row>
    <row r="8" spans="1:22" x14ac:dyDescent="0.3">
      <c r="F8" s="13" t="s">
        <v>6</v>
      </c>
      <c r="G8" s="6">
        <f>+G7+SUM(J15:J999996)</f>
        <v>19.277291077440001</v>
      </c>
      <c r="H8" s="21">
        <f>+IFERROR(((G7*H7)+(SUM(J15:J1005)*(SUMPRODUCT(J15:J1005,K15:K1005)/SUM(J15:J1005))))/(G7+SUM(J15:J1005)),H7)</f>
        <v>1.4118940543371434</v>
      </c>
      <c r="I8"/>
      <c r="J8"/>
      <c r="K8"/>
    </row>
    <row r="9" spans="1:22" x14ac:dyDescent="0.3">
      <c r="F9" s="13" t="s">
        <v>7</v>
      </c>
      <c r="G9" s="6">
        <f>+SUM(G15:G999996)</f>
        <v>79.93574934582</v>
      </c>
      <c r="H9" s="21">
        <f>+SUMPRODUCT(G15:G1005,H15:H1005)/SUM(G15:G1005)</f>
        <v>1.8247492990833074</v>
      </c>
      <c r="I9"/>
      <c r="J9"/>
      <c r="K9"/>
    </row>
    <row r="10" spans="1:22" x14ac:dyDescent="0.3">
      <c r="F10" s="13" t="s">
        <v>8</v>
      </c>
      <c r="G10" s="6">
        <f>+G9+SUM(J15:J999996)</f>
        <v>82.93574934582</v>
      </c>
      <c r="H10" s="21">
        <f>+IFERROR(((G9*H9)+(SUM(J15:J1005)*(SUMPRODUCT(J15:J1005,K15:K1005)/SUM(J15:J1005))))/(G9+SUM(J15:J1005)),H9)</f>
        <v>1.7659779256322083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40</v>
      </c>
      <c r="C15">
        <v>1751403912</v>
      </c>
      <c r="D15" t="s">
        <v>21</v>
      </c>
      <c r="E15" t="s">
        <v>22</v>
      </c>
      <c r="F15" t="s">
        <v>50</v>
      </c>
      <c r="G15" s="8">
        <v>0.24024000000000001</v>
      </c>
      <c r="H15" s="25">
        <v>6.15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40</v>
      </c>
      <c r="C16">
        <v>1751417018</v>
      </c>
      <c r="D16" t="s">
        <v>21</v>
      </c>
      <c r="E16" t="s">
        <v>38</v>
      </c>
      <c r="F16" t="s">
        <v>51</v>
      </c>
      <c r="G16" s="8">
        <v>0.30089354270000002</v>
      </c>
      <c r="H16" s="25">
        <v>2.7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40</v>
      </c>
      <c r="C17">
        <v>1755672632</v>
      </c>
      <c r="D17" t="s">
        <v>26</v>
      </c>
      <c r="E17" t="s">
        <v>22</v>
      </c>
      <c r="F17" t="s">
        <v>52</v>
      </c>
      <c r="G17" s="8">
        <v>1</v>
      </c>
      <c r="H17" s="25">
        <v>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40</v>
      </c>
      <c r="C18">
        <v>1755678967</v>
      </c>
      <c r="D18" t="s">
        <v>21</v>
      </c>
      <c r="E18" t="s">
        <v>27</v>
      </c>
      <c r="F18" t="s">
        <v>53</v>
      </c>
      <c r="G18" s="8">
        <v>1.6910000000000001</v>
      </c>
      <c r="H18" s="25">
        <v>0.6</v>
      </c>
      <c r="J18" s="9"/>
      <c r="K18" s="9"/>
      <c r="S18" s="2" t="s">
        <v>98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40</v>
      </c>
      <c r="C19">
        <v>1755819994</v>
      </c>
      <c r="D19" t="s">
        <v>21</v>
      </c>
      <c r="E19" t="s">
        <v>27</v>
      </c>
      <c r="F19" t="s">
        <v>53</v>
      </c>
      <c r="G19" s="8">
        <v>1.7364999999999999</v>
      </c>
      <c r="H19" s="25">
        <v>0.6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40</v>
      </c>
      <c r="C20">
        <v>1755867662</v>
      </c>
      <c r="D20" t="s">
        <v>21</v>
      </c>
      <c r="E20" t="s">
        <v>27</v>
      </c>
      <c r="F20" t="s">
        <v>54</v>
      </c>
      <c r="G20" s="8">
        <v>5.274</v>
      </c>
      <c r="H20" s="25">
        <v>0.61</v>
      </c>
      <c r="J20" s="9"/>
      <c r="K20" s="9"/>
      <c r="S20" s="2" t="s">
        <v>95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40</v>
      </c>
      <c r="C21">
        <v>1755874995</v>
      </c>
      <c r="D21" t="s">
        <v>21</v>
      </c>
      <c r="E21" t="s">
        <v>27</v>
      </c>
      <c r="F21" t="s">
        <v>53</v>
      </c>
      <c r="G21" s="8">
        <v>0.88175000000000003</v>
      </c>
      <c r="H21" s="25">
        <v>0.6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40</v>
      </c>
      <c r="C22">
        <v>1755878540</v>
      </c>
      <c r="D22" t="s">
        <v>26</v>
      </c>
      <c r="E22" t="s">
        <v>22</v>
      </c>
      <c r="F22" t="s">
        <v>55</v>
      </c>
      <c r="G22" s="8">
        <v>0.1</v>
      </c>
      <c r="H22" s="25">
        <v>2.2000000000000002</v>
      </c>
      <c r="J22" s="9"/>
      <c r="K22" s="9"/>
      <c r="S22" s="2" t="s">
        <v>99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40</v>
      </c>
      <c r="C23">
        <v>1755883870</v>
      </c>
      <c r="D23" t="s">
        <v>21</v>
      </c>
      <c r="E23" t="s">
        <v>22</v>
      </c>
      <c r="F23" t="s">
        <v>53</v>
      </c>
      <c r="G23" s="8">
        <v>1.7585</v>
      </c>
      <c r="H23" s="25">
        <v>0.6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40</v>
      </c>
      <c r="C24">
        <v>1755890036</v>
      </c>
      <c r="D24" t="s">
        <v>21</v>
      </c>
      <c r="E24" t="s">
        <v>22</v>
      </c>
      <c r="F24" t="s">
        <v>56</v>
      </c>
      <c r="G24" s="8">
        <v>0.70340000000000003</v>
      </c>
      <c r="H24" s="25">
        <v>1.1000000000000001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40</v>
      </c>
      <c r="C25">
        <v>1755890087</v>
      </c>
      <c r="D25" t="s">
        <v>21</v>
      </c>
      <c r="E25" t="s">
        <v>22</v>
      </c>
      <c r="F25" t="s">
        <v>56</v>
      </c>
      <c r="G25" s="8">
        <v>0.70340000000000003</v>
      </c>
      <c r="H25" s="25">
        <v>1.1000000000000001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40</v>
      </c>
      <c r="C26">
        <v>1755895150</v>
      </c>
      <c r="D26" t="s">
        <v>26</v>
      </c>
      <c r="E26" t="s">
        <v>38</v>
      </c>
      <c r="F26" t="s">
        <v>51</v>
      </c>
      <c r="G26" s="8">
        <v>0.18401207999999999</v>
      </c>
      <c r="H26" s="25">
        <v>2.5499999999999998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ht="15" x14ac:dyDescent="0.3">
      <c r="A27">
        <v>202604</v>
      </c>
      <c r="B27" t="s">
        <v>40</v>
      </c>
      <c r="C27">
        <v>1755895194</v>
      </c>
      <c r="D27" t="s">
        <v>21</v>
      </c>
      <c r="E27" t="s">
        <v>38</v>
      </c>
      <c r="F27" t="s">
        <v>51</v>
      </c>
      <c r="G27" s="8">
        <v>0.26908292674000001</v>
      </c>
      <c r="H27" s="25">
        <v>1.9</v>
      </c>
      <c r="S27" s="2" t="s">
        <v>44</v>
      </c>
      <c r="U27" t="s">
        <v>29</v>
      </c>
      <c r="V27">
        <v>1.55</v>
      </c>
    </row>
    <row r="28" spans="1:22" ht="15" x14ac:dyDescent="0.3">
      <c r="A28">
        <v>202604</v>
      </c>
      <c r="B28" t="s">
        <v>41</v>
      </c>
      <c r="C28">
        <v>1751390357</v>
      </c>
      <c r="D28" t="s">
        <v>21</v>
      </c>
      <c r="E28" t="s">
        <v>27</v>
      </c>
      <c r="F28" t="s">
        <v>57</v>
      </c>
      <c r="G28" s="8">
        <v>0.27495999999999998</v>
      </c>
      <c r="H28" s="25">
        <v>5.55</v>
      </c>
      <c r="S28" s="2" t="s">
        <v>36</v>
      </c>
      <c r="U28" t="s">
        <v>31</v>
      </c>
      <c r="V28">
        <v>1.6</v>
      </c>
    </row>
    <row r="29" spans="1:22" ht="15" x14ac:dyDescent="0.3">
      <c r="A29">
        <v>202604</v>
      </c>
      <c r="B29" t="s">
        <v>41</v>
      </c>
      <c r="C29">
        <v>1751416224</v>
      </c>
      <c r="D29" t="s">
        <v>26</v>
      </c>
      <c r="E29" t="s">
        <v>27</v>
      </c>
      <c r="F29" t="s">
        <v>58</v>
      </c>
      <c r="G29" s="8">
        <v>0.05</v>
      </c>
      <c r="H29" s="25">
        <v>4.18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41</v>
      </c>
      <c r="C30">
        <v>1751416313</v>
      </c>
      <c r="D30" t="s">
        <v>26</v>
      </c>
      <c r="E30" t="s">
        <v>27</v>
      </c>
      <c r="F30" t="s">
        <v>58</v>
      </c>
      <c r="G30" s="8">
        <v>6.5000000000000002E-2</v>
      </c>
      <c r="H30" s="25">
        <v>4.18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41</v>
      </c>
      <c r="C31">
        <v>1751416330</v>
      </c>
      <c r="D31" t="s">
        <v>26</v>
      </c>
      <c r="E31" t="s">
        <v>27</v>
      </c>
      <c r="F31" t="s">
        <v>58</v>
      </c>
      <c r="G31" s="8">
        <v>5.5E-2</v>
      </c>
      <c r="H31" s="25">
        <v>4.18</v>
      </c>
      <c r="S31" s="2" t="s">
        <v>30</v>
      </c>
    </row>
    <row r="32" spans="1:22" x14ac:dyDescent="0.3">
      <c r="A32">
        <v>202604</v>
      </c>
      <c r="B32" t="s">
        <v>41</v>
      </c>
      <c r="C32">
        <v>1755674783</v>
      </c>
      <c r="D32" t="s">
        <v>21</v>
      </c>
      <c r="E32" t="s">
        <v>27</v>
      </c>
      <c r="F32" t="s">
        <v>59</v>
      </c>
      <c r="G32" s="8">
        <v>1.5219</v>
      </c>
      <c r="H32" s="25">
        <v>1.9</v>
      </c>
      <c r="S32" s="2" t="s">
        <v>43</v>
      </c>
    </row>
    <row r="33" spans="1:19" x14ac:dyDescent="0.3">
      <c r="A33">
        <v>202604</v>
      </c>
      <c r="B33" t="s">
        <v>41</v>
      </c>
      <c r="C33">
        <v>1755674848</v>
      </c>
      <c r="D33" t="s">
        <v>21</v>
      </c>
      <c r="E33" t="s">
        <v>27</v>
      </c>
      <c r="F33" t="s">
        <v>59</v>
      </c>
      <c r="G33" s="8">
        <v>1.8601000000000001</v>
      </c>
      <c r="H33" s="25">
        <v>1.9</v>
      </c>
      <c r="S33" s="2" t="s">
        <v>100</v>
      </c>
    </row>
    <row r="34" spans="1:19" x14ac:dyDescent="0.3">
      <c r="A34">
        <v>202604</v>
      </c>
      <c r="B34" t="s">
        <v>41</v>
      </c>
      <c r="C34">
        <v>1755713096</v>
      </c>
      <c r="D34" t="s">
        <v>26</v>
      </c>
      <c r="E34" t="s">
        <v>27</v>
      </c>
      <c r="F34" t="s">
        <v>58</v>
      </c>
      <c r="G34" s="8">
        <v>3.7999999999999999E-2</v>
      </c>
      <c r="H34" s="25">
        <v>4.25</v>
      </c>
      <c r="S34" s="2" t="s">
        <v>97</v>
      </c>
    </row>
    <row r="35" spans="1:19" x14ac:dyDescent="0.3">
      <c r="A35">
        <v>202604</v>
      </c>
      <c r="B35" t="s">
        <v>41</v>
      </c>
      <c r="C35">
        <v>1755713126</v>
      </c>
      <c r="D35" t="s">
        <v>26</v>
      </c>
      <c r="E35" t="s">
        <v>27</v>
      </c>
      <c r="F35" t="s">
        <v>58</v>
      </c>
      <c r="G35" s="8">
        <v>0.05</v>
      </c>
      <c r="H35" s="25">
        <v>4.25</v>
      </c>
      <c r="S35" s="2" t="s">
        <v>45</v>
      </c>
    </row>
    <row r="36" spans="1:19" x14ac:dyDescent="0.3">
      <c r="A36">
        <v>202604</v>
      </c>
      <c r="B36" t="s">
        <v>41</v>
      </c>
      <c r="C36">
        <v>1755713207</v>
      </c>
      <c r="D36" t="s">
        <v>26</v>
      </c>
      <c r="E36" t="s">
        <v>27</v>
      </c>
      <c r="F36" t="s">
        <v>58</v>
      </c>
      <c r="G36" s="8">
        <v>3.5999999999999997E-2</v>
      </c>
      <c r="H36" s="25">
        <v>4.5</v>
      </c>
      <c r="S36" s="2" t="s">
        <v>47</v>
      </c>
    </row>
    <row r="37" spans="1:19" x14ac:dyDescent="0.3">
      <c r="A37">
        <v>202604</v>
      </c>
      <c r="B37" t="s">
        <v>41</v>
      </c>
      <c r="C37">
        <v>1755733290</v>
      </c>
      <c r="D37" t="s">
        <v>26</v>
      </c>
      <c r="E37" t="s">
        <v>38</v>
      </c>
      <c r="F37" t="s">
        <v>60</v>
      </c>
      <c r="G37" s="8">
        <v>0.58905801000000002</v>
      </c>
      <c r="H37" s="25">
        <v>0.95</v>
      </c>
      <c r="S37" s="2" t="s">
        <v>48</v>
      </c>
    </row>
    <row r="38" spans="1:19" x14ac:dyDescent="0.3">
      <c r="A38">
        <v>202604</v>
      </c>
      <c r="B38" t="s">
        <v>41</v>
      </c>
      <c r="C38">
        <v>1755754582</v>
      </c>
      <c r="D38" t="s">
        <v>26</v>
      </c>
      <c r="E38" t="s">
        <v>27</v>
      </c>
      <c r="F38" t="s">
        <v>58</v>
      </c>
      <c r="G38" s="8">
        <v>6.0999999999999999E-2</v>
      </c>
      <c r="H38" s="25">
        <v>4.5</v>
      </c>
      <c r="S38" s="2" t="s">
        <v>49</v>
      </c>
    </row>
    <row r="39" spans="1:19" x14ac:dyDescent="0.3">
      <c r="A39">
        <v>202604</v>
      </c>
      <c r="B39" t="s">
        <v>41</v>
      </c>
      <c r="C39">
        <v>1755754639</v>
      </c>
      <c r="D39" t="s">
        <v>26</v>
      </c>
      <c r="E39" t="s">
        <v>27</v>
      </c>
      <c r="F39" t="s">
        <v>58</v>
      </c>
      <c r="G39" s="8">
        <v>6.6000000000000003E-2</v>
      </c>
      <c r="H39" s="25">
        <v>4.25</v>
      </c>
    </row>
    <row r="40" spans="1:19" x14ac:dyDescent="0.3">
      <c r="A40">
        <v>202604</v>
      </c>
      <c r="B40" t="s">
        <v>41</v>
      </c>
      <c r="C40">
        <v>1755754698</v>
      </c>
      <c r="D40" t="s">
        <v>26</v>
      </c>
      <c r="E40" t="s">
        <v>27</v>
      </c>
      <c r="F40" t="s">
        <v>58</v>
      </c>
      <c r="G40" s="8">
        <v>3.5000000000000003E-2</v>
      </c>
      <c r="H40" s="25">
        <v>4.25</v>
      </c>
    </row>
    <row r="41" spans="1:19" x14ac:dyDescent="0.3">
      <c r="A41">
        <v>202604</v>
      </c>
      <c r="B41" t="s">
        <v>41</v>
      </c>
      <c r="C41">
        <v>1755764260</v>
      </c>
      <c r="D41" t="s">
        <v>21</v>
      </c>
      <c r="E41" t="s">
        <v>27</v>
      </c>
      <c r="F41" t="s">
        <v>61</v>
      </c>
      <c r="G41" s="8">
        <v>0.30658569000000002</v>
      </c>
      <c r="H41" s="25">
        <v>0.7</v>
      </c>
    </row>
    <row r="42" spans="1:19" x14ac:dyDescent="0.3">
      <c r="A42">
        <v>202604</v>
      </c>
      <c r="B42" t="s">
        <v>41</v>
      </c>
      <c r="C42">
        <v>1755776250</v>
      </c>
      <c r="D42" t="s">
        <v>21</v>
      </c>
      <c r="E42" t="s">
        <v>38</v>
      </c>
      <c r="F42" t="s">
        <v>61</v>
      </c>
      <c r="G42" s="8">
        <v>0.72129954399999996</v>
      </c>
      <c r="H42" s="25">
        <v>0.51</v>
      </c>
    </row>
    <row r="43" spans="1:19" x14ac:dyDescent="0.3">
      <c r="A43">
        <v>202604</v>
      </c>
      <c r="B43" t="s">
        <v>41</v>
      </c>
      <c r="C43">
        <v>1755783639</v>
      </c>
      <c r="D43" t="s">
        <v>21</v>
      </c>
      <c r="E43" t="s">
        <v>27</v>
      </c>
      <c r="F43" t="s">
        <v>57</v>
      </c>
      <c r="G43" s="8">
        <v>0.34399999999999997</v>
      </c>
      <c r="H43" s="25">
        <v>5.55</v>
      </c>
    </row>
    <row r="44" spans="1:19" x14ac:dyDescent="0.3">
      <c r="A44">
        <v>202604</v>
      </c>
      <c r="B44" t="s">
        <v>41</v>
      </c>
      <c r="C44">
        <v>1755815130</v>
      </c>
      <c r="D44" t="s">
        <v>26</v>
      </c>
      <c r="E44" t="s">
        <v>27</v>
      </c>
      <c r="F44" t="s">
        <v>62</v>
      </c>
      <c r="G44" s="8">
        <v>0.25</v>
      </c>
      <c r="H44" s="25">
        <v>4.8</v>
      </c>
    </row>
    <row r="45" spans="1:19" x14ac:dyDescent="0.3">
      <c r="A45">
        <v>202604</v>
      </c>
      <c r="B45" t="s">
        <v>41</v>
      </c>
      <c r="C45">
        <v>1755849320</v>
      </c>
      <c r="D45" t="s">
        <v>26</v>
      </c>
      <c r="E45" t="s">
        <v>27</v>
      </c>
      <c r="F45" t="s">
        <v>58</v>
      </c>
      <c r="G45" s="8">
        <v>3.9E-2</v>
      </c>
      <c r="H45" s="25">
        <v>4.5</v>
      </c>
    </row>
    <row r="46" spans="1:19" x14ac:dyDescent="0.3">
      <c r="A46">
        <v>202604</v>
      </c>
      <c r="B46" t="s">
        <v>41</v>
      </c>
      <c r="C46">
        <v>1755849443</v>
      </c>
      <c r="D46" t="s">
        <v>26</v>
      </c>
      <c r="E46" t="s">
        <v>27</v>
      </c>
      <c r="F46" t="s">
        <v>58</v>
      </c>
      <c r="G46" s="8">
        <v>4.1000000000000002E-2</v>
      </c>
      <c r="H46" s="25">
        <v>4.25</v>
      </c>
    </row>
    <row r="47" spans="1:19" x14ac:dyDescent="0.3">
      <c r="A47">
        <v>202604</v>
      </c>
      <c r="B47" t="s">
        <v>41</v>
      </c>
      <c r="C47">
        <v>1755849540</v>
      </c>
      <c r="D47" t="s">
        <v>26</v>
      </c>
      <c r="E47" t="s">
        <v>27</v>
      </c>
      <c r="F47" t="s">
        <v>58</v>
      </c>
      <c r="G47" s="8">
        <v>0.06</v>
      </c>
      <c r="H47" s="25">
        <v>4.25</v>
      </c>
    </row>
    <row r="48" spans="1:19" x14ac:dyDescent="0.3">
      <c r="A48">
        <v>202604</v>
      </c>
      <c r="B48" t="s">
        <v>41</v>
      </c>
      <c r="C48">
        <v>1755862539</v>
      </c>
      <c r="D48" t="s">
        <v>21</v>
      </c>
      <c r="E48" t="s">
        <v>27</v>
      </c>
      <c r="F48" t="s">
        <v>63</v>
      </c>
      <c r="G48" s="8">
        <v>0.28127999999999997</v>
      </c>
      <c r="H48" s="25">
        <v>2.35</v>
      </c>
    </row>
    <row r="49" spans="1:8" x14ac:dyDescent="0.3">
      <c r="A49">
        <v>202604</v>
      </c>
      <c r="B49" t="s">
        <v>41</v>
      </c>
      <c r="C49">
        <v>1755867972</v>
      </c>
      <c r="D49" t="s">
        <v>21</v>
      </c>
      <c r="E49" t="s">
        <v>27</v>
      </c>
      <c r="F49" t="s">
        <v>64</v>
      </c>
      <c r="G49" s="8">
        <v>0.17580000000000001</v>
      </c>
      <c r="H49" s="25">
        <v>4.9000000000000004</v>
      </c>
    </row>
    <row r="50" spans="1:8" x14ac:dyDescent="0.3">
      <c r="A50">
        <v>202604</v>
      </c>
      <c r="B50" t="s">
        <v>41</v>
      </c>
      <c r="C50">
        <v>1755868383</v>
      </c>
      <c r="D50" t="s">
        <v>26</v>
      </c>
      <c r="E50" t="s">
        <v>38</v>
      </c>
      <c r="F50" t="s">
        <v>65</v>
      </c>
      <c r="G50" s="8">
        <v>0.13717810999999999</v>
      </c>
      <c r="H50" s="25">
        <v>2.5499999999999998</v>
      </c>
    </row>
    <row r="51" spans="1:8" x14ac:dyDescent="0.3">
      <c r="A51">
        <v>202604</v>
      </c>
      <c r="B51" t="s">
        <v>41</v>
      </c>
      <c r="C51">
        <v>1755868413</v>
      </c>
      <c r="D51" t="s">
        <v>21</v>
      </c>
      <c r="E51" t="s">
        <v>27</v>
      </c>
      <c r="F51" t="s">
        <v>66</v>
      </c>
      <c r="G51" s="8">
        <v>0.879</v>
      </c>
      <c r="H51" s="25">
        <v>1.3</v>
      </c>
    </row>
    <row r="52" spans="1:8" x14ac:dyDescent="0.3">
      <c r="A52">
        <v>202604</v>
      </c>
      <c r="B52" t="s">
        <v>41</v>
      </c>
      <c r="C52">
        <v>1755870272</v>
      </c>
      <c r="D52" t="s">
        <v>21</v>
      </c>
      <c r="E52" t="s">
        <v>27</v>
      </c>
      <c r="F52" t="s">
        <v>63</v>
      </c>
      <c r="G52" s="8">
        <v>0.24689</v>
      </c>
      <c r="H52" s="25">
        <v>2.35</v>
      </c>
    </row>
    <row r="53" spans="1:8" x14ac:dyDescent="0.3">
      <c r="A53">
        <v>202604</v>
      </c>
      <c r="B53" t="s">
        <v>41</v>
      </c>
      <c r="C53">
        <v>1755871058</v>
      </c>
      <c r="D53" t="s">
        <v>26</v>
      </c>
      <c r="E53" t="s">
        <v>27</v>
      </c>
      <c r="F53" t="s">
        <v>58</v>
      </c>
      <c r="G53" s="8">
        <v>0.03</v>
      </c>
      <c r="H53" s="25">
        <v>4.25</v>
      </c>
    </row>
    <row r="54" spans="1:8" x14ac:dyDescent="0.3">
      <c r="A54">
        <v>202604</v>
      </c>
      <c r="B54" t="s">
        <v>41</v>
      </c>
      <c r="C54">
        <v>1755871287</v>
      </c>
      <c r="D54" t="s">
        <v>26</v>
      </c>
      <c r="E54" t="s">
        <v>27</v>
      </c>
      <c r="F54" t="s">
        <v>58</v>
      </c>
      <c r="G54" s="8">
        <v>3.5000000000000003E-2</v>
      </c>
      <c r="H54" s="25">
        <v>4.25</v>
      </c>
    </row>
    <row r="55" spans="1:8" x14ac:dyDescent="0.3">
      <c r="A55">
        <v>202604</v>
      </c>
      <c r="B55" t="s">
        <v>41</v>
      </c>
      <c r="C55">
        <v>1755871317</v>
      </c>
      <c r="D55" t="s">
        <v>26</v>
      </c>
      <c r="E55" t="s">
        <v>27</v>
      </c>
      <c r="F55" t="s">
        <v>58</v>
      </c>
      <c r="G55" s="8">
        <v>3.6999999999999998E-2</v>
      </c>
      <c r="H55" s="25">
        <v>4.25</v>
      </c>
    </row>
    <row r="56" spans="1:8" x14ac:dyDescent="0.3">
      <c r="A56">
        <v>202604</v>
      </c>
      <c r="B56" t="s">
        <v>41</v>
      </c>
      <c r="C56">
        <v>1755879075</v>
      </c>
      <c r="D56" t="s">
        <v>21</v>
      </c>
      <c r="E56" t="s">
        <v>22</v>
      </c>
      <c r="F56" t="s">
        <v>67</v>
      </c>
      <c r="G56" s="8">
        <v>0.10581</v>
      </c>
      <c r="H56" s="25">
        <v>5.65</v>
      </c>
    </row>
    <row r="57" spans="1:8" x14ac:dyDescent="0.3">
      <c r="A57">
        <v>202604</v>
      </c>
      <c r="B57" t="s">
        <v>41</v>
      </c>
      <c r="C57">
        <v>1755879105</v>
      </c>
      <c r="D57" t="s">
        <v>21</v>
      </c>
      <c r="E57" t="s">
        <v>22</v>
      </c>
      <c r="F57" t="s">
        <v>67</v>
      </c>
      <c r="G57" s="8">
        <v>0.10581</v>
      </c>
      <c r="H57" s="25">
        <v>5.65</v>
      </c>
    </row>
    <row r="58" spans="1:8" x14ac:dyDescent="0.3">
      <c r="A58">
        <v>202604</v>
      </c>
      <c r="B58" t="s">
        <v>41</v>
      </c>
      <c r="C58">
        <v>1755879120</v>
      </c>
      <c r="D58" t="s">
        <v>21</v>
      </c>
      <c r="E58" t="s">
        <v>22</v>
      </c>
      <c r="F58" t="s">
        <v>67</v>
      </c>
      <c r="G58" s="8">
        <v>0.10581</v>
      </c>
      <c r="H58" s="25">
        <v>5.65</v>
      </c>
    </row>
    <row r="59" spans="1:8" x14ac:dyDescent="0.3">
      <c r="A59">
        <v>202604</v>
      </c>
      <c r="B59" t="s">
        <v>41</v>
      </c>
      <c r="C59">
        <v>1755879156</v>
      </c>
      <c r="D59" t="s">
        <v>21</v>
      </c>
      <c r="E59" t="s">
        <v>22</v>
      </c>
      <c r="F59" t="s">
        <v>67</v>
      </c>
      <c r="G59" s="8">
        <v>3.5270000000000003E-2</v>
      </c>
      <c r="H59" s="25">
        <v>5.65</v>
      </c>
    </row>
    <row r="60" spans="1:8" x14ac:dyDescent="0.3">
      <c r="A60">
        <v>202604</v>
      </c>
      <c r="B60" t="s">
        <v>41</v>
      </c>
      <c r="C60">
        <v>1755881680</v>
      </c>
      <c r="D60" t="s">
        <v>26</v>
      </c>
      <c r="E60" t="s">
        <v>27</v>
      </c>
      <c r="F60" t="s">
        <v>58</v>
      </c>
      <c r="G60" s="8">
        <v>6.8000000000000005E-2</v>
      </c>
      <c r="H60" s="25">
        <v>4</v>
      </c>
    </row>
    <row r="61" spans="1:8" x14ac:dyDescent="0.3">
      <c r="A61">
        <v>202604</v>
      </c>
      <c r="B61" t="s">
        <v>41</v>
      </c>
      <c r="C61">
        <v>1755881843</v>
      </c>
      <c r="D61" t="s">
        <v>26</v>
      </c>
      <c r="E61" t="s">
        <v>27</v>
      </c>
      <c r="F61" t="s">
        <v>58</v>
      </c>
      <c r="G61" s="8">
        <v>7.0000000000000007E-2</v>
      </c>
      <c r="H61" s="25">
        <v>4</v>
      </c>
    </row>
    <row r="62" spans="1:8" x14ac:dyDescent="0.3">
      <c r="A62">
        <v>202604</v>
      </c>
      <c r="B62" t="s">
        <v>41</v>
      </c>
      <c r="C62">
        <v>1755881894</v>
      </c>
      <c r="D62" t="s">
        <v>26</v>
      </c>
      <c r="E62" t="s">
        <v>27</v>
      </c>
      <c r="F62" t="s">
        <v>58</v>
      </c>
      <c r="G62" s="8">
        <v>7.1999999999999995E-2</v>
      </c>
      <c r="H62" s="25">
        <v>3.75</v>
      </c>
    </row>
    <row r="63" spans="1:8" x14ac:dyDescent="0.3">
      <c r="A63">
        <v>202604</v>
      </c>
      <c r="B63" t="s">
        <v>41</v>
      </c>
      <c r="C63">
        <v>1755881924</v>
      </c>
      <c r="D63" t="s">
        <v>26</v>
      </c>
      <c r="E63" t="s">
        <v>27</v>
      </c>
      <c r="F63" t="s">
        <v>58</v>
      </c>
      <c r="G63" s="8">
        <v>0.14000000000000001</v>
      </c>
      <c r="H63" s="25">
        <v>3.75</v>
      </c>
    </row>
    <row r="64" spans="1:8" x14ac:dyDescent="0.3">
      <c r="A64">
        <v>202604</v>
      </c>
      <c r="B64" t="s">
        <v>41</v>
      </c>
      <c r="C64">
        <v>1755895402</v>
      </c>
      <c r="D64" t="s">
        <v>21</v>
      </c>
      <c r="E64" t="s">
        <v>38</v>
      </c>
      <c r="F64" t="s">
        <v>61</v>
      </c>
      <c r="G64" s="8">
        <v>0.49396919162000003</v>
      </c>
      <c r="H64" s="25">
        <v>1.2</v>
      </c>
    </row>
    <row r="65" spans="1:8" x14ac:dyDescent="0.3">
      <c r="A65">
        <v>202604</v>
      </c>
      <c r="B65" t="s">
        <v>43</v>
      </c>
      <c r="C65">
        <v>1751371890</v>
      </c>
      <c r="D65" t="s">
        <v>26</v>
      </c>
      <c r="E65" t="s">
        <v>27</v>
      </c>
      <c r="F65" t="s">
        <v>69</v>
      </c>
      <c r="G65" s="8">
        <v>0.46025899999999997</v>
      </c>
      <c r="H65" s="25">
        <v>1</v>
      </c>
    </row>
    <row r="66" spans="1:8" x14ac:dyDescent="0.3">
      <c r="A66">
        <v>202604</v>
      </c>
      <c r="B66" t="s">
        <v>43</v>
      </c>
      <c r="C66">
        <v>1751389073</v>
      </c>
      <c r="D66" t="s">
        <v>26</v>
      </c>
      <c r="E66" t="s">
        <v>27</v>
      </c>
      <c r="F66" t="s">
        <v>70</v>
      </c>
      <c r="G66" s="8">
        <v>1.1449199999999999</v>
      </c>
      <c r="H66" s="25">
        <v>0.5</v>
      </c>
    </row>
    <row r="67" spans="1:8" x14ac:dyDescent="0.3">
      <c r="A67">
        <v>202604</v>
      </c>
      <c r="B67" t="s">
        <v>43</v>
      </c>
      <c r="C67">
        <v>1751390748</v>
      </c>
      <c r="D67" t="s">
        <v>21</v>
      </c>
      <c r="E67" t="s">
        <v>27</v>
      </c>
      <c r="F67" t="s">
        <v>71</v>
      </c>
      <c r="G67" s="8">
        <v>0.51554999999999995</v>
      </c>
      <c r="H67" s="25">
        <v>1</v>
      </c>
    </row>
    <row r="68" spans="1:8" x14ac:dyDescent="0.3">
      <c r="A68">
        <v>202604</v>
      </c>
      <c r="B68" t="s">
        <v>43</v>
      </c>
      <c r="C68">
        <v>1755659880</v>
      </c>
      <c r="D68" t="s">
        <v>21</v>
      </c>
      <c r="E68" t="s">
        <v>27</v>
      </c>
      <c r="F68" t="s">
        <v>72</v>
      </c>
      <c r="G68" s="8">
        <v>0.59150000000000003</v>
      </c>
      <c r="H68" s="25">
        <v>2.4</v>
      </c>
    </row>
    <row r="69" spans="1:8" x14ac:dyDescent="0.3">
      <c r="A69">
        <v>202604</v>
      </c>
      <c r="B69" t="s">
        <v>43</v>
      </c>
      <c r="C69">
        <v>1755659946</v>
      </c>
      <c r="D69" t="s">
        <v>21</v>
      </c>
      <c r="E69" t="s">
        <v>27</v>
      </c>
      <c r="F69" t="s">
        <v>72</v>
      </c>
      <c r="G69" s="8">
        <v>0.59150000000000003</v>
      </c>
      <c r="H69" s="25">
        <v>2.4</v>
      </c>
    </row>
    <row r="70" spans="1:8" x14ac:dyDescent="0.3">
      <c r="A70">
        <v>202604</v>
      </c>
      <c r="B70" t="s">
        <v>43</v>
      </c>
      <c r="C70">
        <v>1755706200</v>
      </c>
      <c r="D70" t="s">
        <v>21</v>
      </c>
      <c r="E70" t="s">
        <v>27</v>
      </c>
      <c r="F70" t="s">
        <v>73</v>
      </c>
      <c r="G70" s="8">
        <v>0.13896143999999999</v>
      </c>
      <c r="H70" s="25">
        <v>4.5999999999999996</v>
      </c>
    </row>
    <row r="71" spans="1:8" x14ac:dyDescent="0.3">
      <c r="A71">
        <v>202604</v>
      </c>
      <c r="B71" t="s">
        <v>43</v>
      </c>
      <c r="C71">
        <v>1755717075</v>
      </c>
      <c r="D71" t="s">
        <v>21</v>
      </c>
      <c r="E71" t="s">
        <v>27</v>
      </c>
      <c r="F71" t="s">
        <v>74</v>
      </c>
      <c r="G71" s="8">
        <v>0.68620000000000003</v>
      </c>
      <c r="H71" s="25">
        <v>1.1499999999999999</v>
      </c>
    </row>
    <row r="72" spans="1:8" x14ac:dyDescent="0.3">
      <c r="A72">
        <v>202604</v>
      </c>
      <c r="B72" t="s">
        <v>43</v>
      </c>
      <c r="C72">
        <v>1755727216</v>
      </c>
      <c r="D72" t="s">
        <v>21</v>
      </c>
      <c r="E72" t="s">
        <v>27</v>
      </c>
      <c r="F72" t="s">
        <v>75</v>
      </c>
      <c r="G72" s="8">
        <v>1.0296000000000001</v>
      </c>
      <c r="H72" s="25">
        <v>2.95</v>
      </c>
    </row>
    <row r="73" spans="1:8" x14ac:dyDescent="0.3">
      <c r="A73">
        <v>202604</v>
      </c>
      <c r="B73" t="s">
        <v>43</v>
      </c>
      <c r="C73">
        <v>1755727283</v>
      </c>
      <c r="D73" t="s">
        <v>21</v>
      </c>
      <c r="E73" t="s">
        <v>27</v>
      </c>
      <c r="F73" t="s">
        <v>75</v>
      </c>
      <c r="G73" s="8">
        <v>1.0296000000000001</v>
      </c>
      <c r="H73" s="25">
        <v>2.95</v>
      </c>
    </row>
    <row r="74" spans="1:8" x14ac:dyDescent="0.3">
      <c r="A74">
        <v>202604</v>
      </c>
      <c r="B74" t="s">
        <v>43</v>
      </c>
      <c r="C74">
        <v>1755727290</v>
      </c>
      <c r="D74" t="s">
        <v>21</v>
      </c>
      <c r="E74" t="s">
        <v>27</v>
      </c>
      <c r="F74" t="s">
        <v>75</v>
      </c>
      <c r="G74" s="8">
        <v>0.68640000000000001</v>
      </c>
      <c r="H74" s="25">
        <v>2.95</v>
      </c>
    </row>
    <row r="75" spans="1:8" x14ac:dyDescent="0.3">
      <c r="A75">
        <v>202604</v>
      </c>
      <c r="B75" t="s">
        <v>43</v>
      </c>
      <c r="C75">
        <v>1755733003</v>
      </c>
      <c r="D75" t="s">
        <v>21</v>
      </c>
      <c r="E75" t="s">
        <v>27</v>
      </c>
      <c r="F75" t="s">
        <v>76</v>
      </c>
      <c r="G75" s="8">
        <v>0.83081495640000003</v>
      </c>
      <c r="H75" s="25">
        <v>5.0999999999999996</v>
      </c>
    </row>
    <row r="76" spans="1:8" x14ac:dyDescent="0.3">
      <c r="A76">
        <v>202604</v>
      </c>
      <c r="B76" t="s">
        <v>43</v>
      </c>
      <c r="C76">
        <v>1755741870</v>
      </c>
      <c r="D76" t="s">
        <v>21</v>
      </c>
      <c r="E76" t="s">
        <v>27</v>
      </c>
      <c r="F76" t="s">
        <v>73</v>
      </c>
      <c r="G76" s="8">
        <v>0.21995395740000001</v>
      </c>
      <c r="H76" s="25">
        <v>4.5999999999999996</v>
      </c>
    </row>
    <row r="77" spans="1:8" x14ac:dyDescent="0.3">
      <c r="A77">
        <v>202604</v>
      </c>
      <c r="B77" t="s">
        <v>43</v>
      </c>
      <c r="C77">
        <v>1755742746</v>
      </c>
      <c r="D77" t="s">
        <v>21</v>
      </c>
      <c r="E77" t="s">
        <v>27</v>
      </c>
      <c r="F77" t="s">
        <v>77</v>
      </c>
      <c r="G77" s="8">
        <v>0.51570000000000005</v>
      </c>
      <c r="H77" s="25">
        <v>3.05</v>
      </c>
    </row>
    <row r="78" spans="1:8" x14ac:dyDescent="0.3">
      <c r="A78">
        <v>202604</v>
      </c>
      <c r="B78" t="s">
        <v>43</v>
      </c>
      <c r="C78">
        <v>1755774575</v>
      </c>
      <c r="D78" t="s">
        <v>26</v>
      </c>
      <c r="E78" t="s">
        <v>27</v>
      </c>
      <c r="F78" t="s">
        <v>78</v>
      </c>
      <c r="G78" s="8">
        <v>0.3</v>
      </c>
      <c r="H78" s="25">
        <v>2.2000000000000002</v>
      </c>
    </row>
    <row r="79" spans="1:8" x14ac:dyDescent="0.3">
      <c r="A79">
        <v>202604</v>
      </c>
      <c r="B79" t="s">
        <v>43</v>
      </c>
      <c r="C79">
        <v>1755774613</v>
      </c>
      <c r="D79" t="s">
        <v>26</v>
      </c>
      <c r="E79" t="s">
        <v>27</v>
      </c>
      <c r="F79" t="s">
        <v>78</v>
      </c>
      <c r="G79" s="8">
        <v>0.3</v>
      </c>
      <c r="H79" s="25">
        <v>2.2000000000000002</v>
      </c>
    </row>
    <row r="80" spans="1:8" x14ac:dyDescent="0.3">
      <c r="A80">
        <v>202604</v>
      </c>
      <c r="B80" t="s">
        <v>43</v>
      </c>
      <c r="C80">
        <v>1755774630</v>
      </c>
      <c r="D80" t="s">
        <v>26</v>
      </c>
      <c r="E80" t="s">
        <v>27</v>
      </c>
      <c r="F80" t="s">
        <v>78</v>
      </c>
      <c r="G80" s="8">
        <v>0.3</v>
      </c>
      <c r="H80" s="25">
        <v>2.2000000000000002</v>
      </c>
    </row>
    <row r="81" spans="1:8" x14ac:dyDescent="0.3">
      <c r="A81">
        <v>202604</v>
      </c>
      <c r="B81" t="s">
        <v>43</v>
      </c>
      <c r="C81">
        <v>1755781075</v>
      </c>
      <c r="D81" t="s">
        <v>21</v>
      </c>
      <c r="E81" t="s">
        <v>68</v>
      </c>
      <c r="F81" t="s">
        <v>79</v>
      </c>
      <c r="G81" s="8">
        <v>2.4079999999999999</v>
      </c>
      <c r="H81" s="25">
        <v>5.5</v>
      </c>
    </row>
    <row r="82" spans="1:8" x14ac:dyDescent="0.3">
      <c r="A82">
        <v>202604</v>
      </c>
      <c r="B82" t="s">
        <v>43</v>
      </c>
      <c r="C82">
        <v>1755813465</v>
      </c>
      <c r="D82" t="s">
        <v>21</v>
      </c>
      <c r="E82" t="s">
        <v>27</v>
      </c>
      <c r="F82" t="s">
        <v>76</v>
      </c>
      <c r="G82" s="8">
        <v>0.49784729143000001</v>
      </c>
      <c r="H82" s="25">
        <v>5</v>
      </c>
    </row>
    <row r="83" spans="1:8" x14ac:dyDescent="0.3">
      <c r="A83">
        <v>202604</v>
      </c>
      <c r="B83" t="s">
        <v>43</v>
      </c>
      <c r="C83">
        <v>1755813473</v>
      </c>
      <c r="D83" t="s">
        <v>21</v>
      </c>
      <c r="E83" t="s">
        <v>27</v>
      </c>
      <c r="F83" t="s">
        <v>76</v>
      </c>
      <c r="G83" s="8">
        <v>0.14473286428999999</v>
      </c>
      <c r="H83" s="25">
        <v>5</v>
      </c>
    </row>
    <row r="84" spans="1:8" x14ac:dyDescent="0.3">
      <c r="A84">
        <v>202604</v>
      </c>
      <c r="B84" t="s">
        <v>43</v>
      </c>
      <c r="C84">
        <v>1755817126</v>
      </c>
      <c r="D84" t="s">
        <v>26</v>
      </c>
      <c r="E84" t="s">
        <v>22</v>
      </c>
      <c r="F84" t="s">
        <v>80</v>
      </c>
      <c r="G84" s="8">
        <v>0.68</v>
      </c>
      <c r="H84" s="25">
        <v>3.3</v>
      </c>
    </row>
    <row r="85" spans="1:8" x14ac:dyDescent="0.3">
      <c r="A85">
        <v>202604</v>
      </c>
      <c r="B85" t="s">
        <v>43</v>
      </c>
      <c r="C85">
        <v>1755870949</v>
      </c>
      <c r="D85" t="s">
        <v>21</v>
      </c>
      <c r="E85" t="s">
        <v>27</v>
      </c>
      <c r="F85" t="s">
        <v>81</v>
      </c>
      <c r="G85" s="8">
        <v>1.7635000000000001</v>
      </c>
      <c r="H85" s="25">
        <v>1.1499999999999999</v>
      </c>
    </row>
    <row r="86" spans="1:8" x14ac:dyDescent="0.3">
      <c r="A86">
        <v>202604</v>
      </c>
      <c r="B86" t="s">
        <v>43</v>
      </c>
      <c r="C86">
        <v>1755873140</v>
      </c>
      <c r="D86" t="s">
        <v>21</v>
      </c>
      <c r="E86" t="s">
        <v>27</v>
      </c>
      <c r="F86" t="s">
        <v>82</v>
      </c>
      <c r="G86" s="8">
        <v>3.4564599999999999</v>
      </c>
      <c r="H86" s="25">
        <v>2.35</v>
      </c>
    </row>
    <row r="87" spans="1:8" x14ac:dyDescent="0.3">
      <c r="A87">
        <v>202604</v>
      </c>
      <c r="B87" t="s">
        <v>43</v>
      </c>
      <c r="C87">
        <v>1755883200</v>
      </c>
      <c r="D87" t="s">
        <v>21</v>
      </c>
      <c r="E87" t="s">
        <v>27</v>
      </c>
      <c r="F87" t="s">
        <v>83</v>
      </c>
      <c r="G87" s="8">
        <v>0.52754999999999996</v>
      </c>
      <c r="H87" s="25">
        <v>3.8</v>
      </c>
    </row>
    <row r="88" spans="1:8" x14ac:dyDescent="0.3">
      <c r="A88">
        <v>202604</v>
      </c>
      <c r="B88" t="s">
        <v>43</v>
      </c>
      <c r="C88">
        <v>1755884168</v>
      </c>
      <c r="D88" t="s">
        <v>21</v>
      </c>
      <c r="E88" t="s">
        <v>22</v>
      </c>
      <c r="F88" t="s">
        <v>84</v>
      </c>
      <c r="G88" s="8">
        <v>3.5169999999999999</v>
      </c>
      <c r="H88" s="25">
        <v>0.4</v>
      </c>
    </row>
    <row r="89" spans="1:8" x14ac:dyDescent="0.3">
      <c r="A89">
        <v>202604</v>
      </c>
      <c r="B89" t="s">
        <v>43</v>
      </c>
      <c r="C89">
        <v>1755884450</v>
      </c>
      <c r="D89" t="s">
        <v>26</v>
      </c>
      <c r="E89" t="s">
        <v>38</v>
      </c>
      <c r="F89" t="s">
        <v>85</v>
      </c>
      <c r="G89" s="8">
        <v>0.10133753</v>
      </c>
      <c r="H89" s="25">
        <v>3.55</v>
      </c>
    </row>
    <row r="90" spans="1:8" x14ac:dyDescent="0.3">
      <c r="A90">
        <v>202604</v>
      </c>
      <c r="B90" t="s">
        <v>45</v>
      </c>
      <c r="C90">
        <v>1751390969</v>
      </c>
      <c r="D90" t="s">
        <v>26</v>
      </c>
      <c r="E90" t="s">
        <v>22</v>
      </c>
      <c r="F90" t="s">
        <v>86</v>
      </c>
      <c r="G90" s="8">
        <v>0.34899999999999998</v>
      </c>
      <c r="H90" s="25">
        <v>3.3</v>
      </c>
    </row>
    <row r="91" spans="1:8" x14ac:dyDescent="0.3">
      <c r="A91">
        <v>202604</v>
      </c>
      <c r="B91" t="s">
        <v>45</v>
      </c>
      <c r="C91">
        <v>1755662793</v>
      </c>
      <c r="D91" t="s">
        <v>21</v>
      </c>
      <c r="E91" t="s">
        <v>27</v>
      </c>
      <c r="F91" t="s">
        <v>87</v>
      </c>
      <c r="G91" s="8">
        <v>1.8251999999999999</v>
      </c>
      <c r="H91" s="25">
        <v>0.55000000000000004</v>
      </c>
    </row>
    <row r="92" spans="1:8" x14ac:dyDescent="0.3">
      <c r="A92">
        <v>202604</v>
      </c>
      <c r="B92" t="s">
        <v>45</v>
      </c>
      <c r="C92">
        <v>1755697090</v>
      </c>
      <c r="D92" t="s">
        <v>26</v>
      </c>
      <c r="E92" t="s">
        <v>22</v>
      </c>
      <c r="F92" t="s">
        <v>88</v>
      </c>
      <c r="G92" s="8">
        <v>2</v>
      </c>
      <c r="H92" s="25">
        <v>1.08</v>
      </c>
    </row>
    <row r="93" spans="1:8" x14ac:dyDescent="0.3">
      <c r="A93">
        <v>202604</v>
      </c>
      <c r="B93" t="s">
        <v>45</v>
      </c>
      <c r="C93">
        <v>1755819706</v>
      </c>
      <c r="D93" t="s">
        <v>21</v>
      </c>
      <c r="E93" t="s">
        <v>27</v>
      </c>
      <c r="F93" t="s">
        <v>89</v>
      </c>
      <c r="G93" s="8">
        <v>1.7364999999999999</v>
      </c>
      <c r="H93" s="25">
        <v>0.5</v>
      </c>
    </row>
    <row r="94" spans="1:8" x14ac:dyDescent="0.3">
      <c r="A94">
        <v>202604</v>
      </c>
      <c r="B94" t="s">
        <v>45</v>
      </c>
      <c r="C94">
        <v>1755852037</v>
      </c>
      <c r="D94" t="s">
        <v>21</v>
      </c>
      <c r="E94" t="s">
        <v>38</v>
      </c>
      <c r="F94" t="s">
        <v>90</v>
      </c>
      <c r="G94" s="8">
        <v>5.9861851538000002</v>
      </c>
      <c r="H94" s="25">
        <v>2.7</v>
      </c>
    </row>
    <row r="95" spans="1:8" x14ac:dyDescent="0.3">
      <c r="A95">
        <v>202604</v>
      </c>
      <c r="B95" t="s">
        <v>45</v>
      </c>
      <c r="C95">
        <v>1755867565</v>
      </c>
      <c r="D95" t="s">
        <v>26</v>
      </c>
      <c r="E95" t="s">
        <v>38</v>
      </c>
      <c r="F95" t="s">
        <v>91</v>
      </c>
      <c r="G95" s="8">
        <v>0.43018698</v>
      </c>
      <c r="H95" s="25">
        <v>2.35</v>
      </c>
    </row>
    <row r="96" spans="1:8" x14ac:dyDescent="0.3">
      <c r="A96">
        <v>202604</v>
      </c>
      <c r="B96" t="s">
        <v>45</v>
      </c>
      <c r="C96">
        <v>1755868308</v>
      </c>
      <c r="D96" t="s">
        <v>26</v>
      </c>
      <c r="E96" t="s">
        <v>22</v>
      </c>
      <c r="F96" t="s">
        <v>92</v>
      </c>
      <c r="G96" s="8">
        <v>0.1</v>
      </c>
      <c r="H96" s="25">
        <v>0.85</v>
      </c>
    </row>
    <row r="97" spans="1:8" x14ac:dyDescent="0.3">
      <c r="A97">
        <v>202604</v>
      </c>
      <c r="B97" t="s">
        <v>45</v>
      </c>
      <c r="C97">
        <v>1755871066</v>
      </c>
      <c r="D97" t="s">
        <v>26</v>
      </c>
      <c r="E97" t="s">
        <v>27</v>
      </c>
      <c r="F97" t="s">
        <v>93</v>
      </c>
      <c r="G97" s="8">
        <v>1.7</v>
      </c>
      <c r="H97" s="25">
        <v>2.1800000000000002</v>
      </c>
    </row>
    <row r="98" spans="1:8" x14ac:dyDescent="0.3">
      <c r="A98">
        <v>202604</v>
      </c>
      <c r="B98" t="s">
        <v>45</v>
      </c>
      <c r="C98">
        <v>1755895267</v>
      </c>
      <c r="D98" t="s">
        <v>21</v>
      </c>
      <c r="E98" t="s">
        <v>27</v>
      </c>
      <c r="F98" t="s">
        <v>89</v>
      </c>
      <c r="G98" s="8">
        <v>1.7585</v>
      </c>
      <c r="H98" s="25">
        <v>0.5</v>
      </c>
    </row>
    <row r="99" spans="1:8" x14ac:dyDescent="0.3">
      <c r="A99">
        <v>202604</v>
      </c>
      <c r="B99" t="s">
        <v>45</v>
      </c>
      <c r="C99">
        <v>1755895585</v>
      </c>
      <c r="D99" t="s">
        <v>26</v>
      </c>
      <c r="E99" t="s">
        <v>22</v>
      </c>
      <c r="F99" t="s">
        <v>94</v>
      </c>
      <c r="G99" s="8">
        <v>1.01</v>
      </c>
      <c r="H99" s="25">
        <v>1.25</v>
      </c>
    </row>
    <row r="100" spans="1:8" x14ac:dyDescent="0.3">
      <c r="A100">
        <v>202605</v>
      </c>
      <c r="B100" t="s">
        <v>40</v>
      </c>
      <c r="C100">
        <v>1755937938</v>
      </c>
      <c r="D100" t="s">
        <v>21</v>
      </c>
      <c r="E100" t="s">
        <v>27</v>
      </c>
      <c r="F100" t="s">
        <v>53</v>
      </c>
      <c r="G100" s="8">
        <v>2.4276</v>
      </c>
      <c r="H100" s="25">
        <v>0.6</v>
      </c>
    </row>
    <row r="101" spans="1:8" x14ac:dyDescent="0.3">
      <c r="A101">
        <v>202605</v>
      </c>
      <c r="B101" t="s">
        <v>40</v>
      </c>
      <c r="C101">
        <v>1755939850</v>
      </c>
      <c r="D101" t="s">
        <v>21</v>
      </c>
      <c r="E101" t="s">
        <v>22</v>
      </c>
      <c r="F101" t="s">
        <v>56</v>
      </c>
      <c r="G101" s="8">
        <v>1.0404</v>
      </c>
      <c r="H101" s="25">
        <v>1.2</v>
      </c>
    </row>
    <row r="102" spans="1:8" x14ac:dyDescent="0.3">
      <c r="A102">
        <v>202605</v>
      </c>
      <c r="B102" t="s">
        <v>40</v>
      </c>
      <c r="C102">
        <v>1755939914</v>
      </c>
      <c r="D102" t="s">
        <v>21</v>
      </c>
      <c r="E102" t="s">
        <v>22</v>
      </c>
      <c r="F102" t="s">
        <v>56</v>
      </c>
      <c r="G102" s="8">
        <v>0.67625999999999997</v>
      </c>
      <c r="H102" s="25">
        <v>1.2</v>
      </c>
    </row>
    <row r="103" spans="1:8" x14ac:dyDescent="0.3">
      <c r="A103">
        <v>202605</v>
      </c>
      <c r="B103" t="s">
        <v>40</v>
      </c>
      <c r="C103">
        <v>1760136590</v>
      </c>
      <c r="D103" t="s">
        <v>26</v>
      </c>
      <c r="E103" t="s">
        <v>38</v>
      </c>
      <c r="F103" t="s">
        <v>51</v>
      </c>
      <c r="G103" s="8">
        <v>0.18259047</v>
      </c>
      <c r="H103" s="25">
        <v>2.0699999999999998</v>
      </c>
    </row>
    <row r="104" spans="1:8" x14ac:dyDescent="0.3">
      <c r="A104">
        <v>202605</v>
      </c>
      <c r="B104" t="s">
        <v>40</v>
      </c>
      <c r="C104">
        <v>1760148610</v>
      </c>
      <c r="D104" t="s">
        <v>21</v>
      </c>
      <c r="E104" t="s">
        <v>38</v>
      </c>
      <c r="F104" t="s">
        <v>51</v>
      </c>
      <c r="G104" s="8">
        <v>0.39890260744</v>
      </c>
      <c r="H104" s="25">
        <v>3.1</v>
      </c>
    </row>
    <row r="105" spans="1:8" x14ac:dyDescent="0.3">
      <c r="A105">
        <v>202605</v>
      </c>
      <c r="B105" t="s">
        <v>40</v>
      </c>
      <c r="C105">
        <v>1760166324</v>
      </c>
      <c r="D105" t="s">
        <v>26</v>
      </c>
      <c r="E105" t="s">
        <v>22</v>
      </c>
      <c r="F105" t="s">
        <v>55</v>
      </c>
      <c r="G105" s="8">
        <v>0.245</v>
      </c>
      <c r="H105" s="25">
        <v>1.8</v>
      </c>
    </row>
    <row r="106" spans="1:8" x14ac:dyDescent="0.3">
      <c r="A106">
        <v>202605</v>
      </c>
      <c r="B106" t="s">
        <v>41</v>
      </c>
      <c r="C106">
        <v>1755943873</v>
      </c>
      <c r="D106" t="s">
        <v>21</v>
      </c>
      <c r="E106" t="s">
        <v>22</v>
      </c>
      <c r="F106" t="s">
        <v>67</v>
      </c>
      <c r="G106" s="8">
        <v>0.10403999999999999</v>
      </c>
      <c r="H106" s="25">
        <v>5.9</v>
      </c>
    </row>
    <row r="107" spans="1:8" x14ac:dyDescent="0.3">
      <c r="A107">
        <v>202605</v>
      </c>
      <c r="B107" t="s">
        <v>41</v>
      </c>
      <c r="C107">
        <v>1755949758</v>
      </c>
      <c r="D107" t="s">
        <v>26</v>
      </c>
      <c r="E107" t="s">
        <v>27</v>
      </c>
      <c r="F107" t="s">
        <v>62</v>
      </c>
      <c r="G107" s="8">
        <v>8.3000000000000004E-2</v>
      </c>
      <c r="H107" s="25">
        <v>4.9000000000000004</v>
      </c>
    </row>
    <row r="108" spans="1:8" x14ac:dyDescent="0.3">
      <c r="A108">
        <v>202605</v>
      </c>
      <c r="B108" t="s">
        <v>41</v>
      </c>
      <c r="C108">
        <v>1755953313</v>
      </c>
      <c r="D108" t="s">
        <v>21</v>
      </c>
      <c r="E108" t="s">
        <v>27</v>
      </c>
      <c r="F108" t="s">
        <v>64</v>
      </c>
      <c r="G108" s="8">
        <v>0.17294999999999999</v>
      </c>
      <c r="H108" s="25">
        <v>4.95</v>
      </c>
    </row>
    <row r="109" spans="1:8" x14ac:dyDescent="0.3">
      <c r="A109">
        <v>202605</v>
      </c>
      <c r="B109" t="s">
        <v>41</v>
      </c>
      <c r="C109">
        <v>1755954786</v>
      </c>
      <c r="D109" t="s">
        <v>26</v>
      </c>
      <c r="E109" t="s">
        <v>22</v>
      </c>
      <c r="F109" t="s">
        <v>96</v>
      </c>
      <c r="G109" s="8">
        <v>0.39</v>
      </c>
      <c r="H109" s="25">
        <v>1.2</v>
      </c>
    </row>
    <row r="110" spans="1:8" x14ac:dyDescent="0.3">
      <c r="A110">
        <v>202605</v>
      </c>
      <c r="B110" t="s">
        <v>41</v>
      </c>
      <c r="C110">
        <v>1760114960</v>
      </c>
      <c r="D110" t="s">
        <v>21</v>
      </c>
      <c r="E110" t="s">
        <v>27</v>
      </c>
      <c r="F110" t="s">
        <v>59</v>
      </c>
      <c r="G110" s="8">
        <v>0.68920000000000003</v>
      </c>
      <c r="H110" s="25">
        <v>1.93</v>
      </c>
    </row>
    <row r="111" spans="1:8" x14ac:dyDescent="0.3">
      <c r="A111">
        <v>202605</v>
      </c>
      <c r="B111" t="s">
        <v>41</v>
      </c>
      <c r="C111">
        <v>1760130249</v>
      </c>
      <c r="D111" t="s">
        <v>26</v>
      </c>
      <c r="E111" t="s">
        <v>27</v>
      </c>
      <c r="F111" t="s">
        <v>58</v>
      </c>
      <c r="G111" s="8">
        <v>3.5000000000000003E-2</v>
      </c>
      <c r="H111" s="25">
        <v>4.25</v>
      </c>
    </row>
    <row r="112" spans="1:8" x14ac:dyDescent="0.3">
      <c r="A112">
        <v>202605</v>
      </c>
      <c r="B112" t="s">
        <v>41</v>
      </c>
      <c r="C112">
        <v>1760130354</v>
      </c>
      <c r="D112" t="s">
        <v>26</v>
      </c>
      <c r="E112" t="s">
        <v>27</v>
      </c>
      <c r="F112" t="s">
        <v>58</v>
      </c>
      <c r="G112" s="8">
        <v>0.04</v>
      </c>
      <c r="H112" s="25">
        <v>4.25</v>
      </c>
    </row>
    <row r="113" spans="1:8" x14ac:dyDescent="0.3">
      <c r="A113">
        <v>202605</v>
      </c>
      <c r="B113" t="s">
        <v>41</v>
      </c>
      <c r="C113">
        <v>1760130389</v>
      </c>
      <c r="D113" t="s">
        <v>26</v>
      </c>
      <c r="E113" t="s">
        <v>27</v>
      </c>
      <c r="F113" t="s">
        <v>58</v>
      </c>
      <c r="G113" s="8">
        <v>5.5E-2</v>
      </c>
      <c r="H113" s="25">
        <v>4.25</v>
      </c>
    </row>
    <row r="114" spans="1:8" x14ac:dyDescent="0.3">
      <c r="A114">
        <v>202605</v>
      </c>
      <c r="B114" t="s">
        <v>41</v>
      </c>
      <c r="C114">
        <v>1760142920</v>
      </c>
      <c r="D114" t="s">
        <v>21</v>
      </c>
      <c r="E114" t="s">
        <v>27</v>
      </c>
      <c r="F114" t="s">
        <v>63</v>
      </c>
      <c r="G114" s="8">
        <v>0.19899800000000001</v>
      </c>
      <c r="H114" s="25">
        <v>2.35</v>
      </c>
    </row>
    <row r="115" spans="1:8" x14ac:dyDescent="0.3">
      <c r="A115">
        <v>202605</v>
      </c>
      <c r="B115" t="s">
        <v>41</v>
      </c>
      <c r="C115">
        <v>1760144100</v>
      </c>
      <c r="D115" t="s">
        <v>21</v>
      </c>
      <c r="E115" t="s">
        <v>27</v>
      </c>
      <c r="F115" t="s">
        <v>64</v>
      </c>
      <c r="G115" s="8">
        <v>0.17155000000000001</v>
      </c>
      <c r="H115" s="25">
        <v>4.95</v>
      </c>
    </row>
    <row r="116" spans="1:8" x14ac:dyDescent="0.3">
      <c r="A116">
        <v>202605</v>
      </c>
      <c r="B116" t="s">
        <v>41</v>
      </c>
      <c r="C116">
        <v>1760154090</v>
      </c>
      <c r="D116" t="s">
        <v>26</v>
      </c>
      <c r="E116" t="s">
        <v>27</v>
      </c>
      <c r="F116" t="s">
        <v>58</v>
      </c>
      <c r="G116" s="8">
        <v>2.9000000000000001E-2</v>
      </c>
      <c r="H116" s="25">
        <v>4.25</v>
      </c>
    </row>
    <row r="117" spans="1:8" x14ac:dyDescent="0.3">
      <c r="A117">
        <v>202605</v>
      </c>
      <c r="B117" t="s">
        <v>41</v>
      </c>
      <c r="C117">
        <v>1760154156</v>
      </c>
      <c r="D117" t="s">
        <v>26</v>
      </c>
      <c r="E117" t="s">
        <v>27</v>
      </c>
      <c r="F117" t="s">
        <v>58</v>
      </c>
      <c r="G117" s="8">
        <v>3.5000000000000003E-2</v>
      </c>
      <c r="H117" s="25">
        <v>4.25</v>
      </c>
    </row>
    <row r="118" spans="1:8" x14ac:dyDescent="0.3">
      <c r="A118">
        <v>202605</v>
      </c>
      <c r="B118" t="s">
        <v>41</v>
      </c>
      <c r="C118">
        <v>1760154164</v>
      </c>
      <c r="D118" t="s">
        <v>26</v>
      </c>
      <c r="E118" t="s">
        <v>27</v>
      </c>
      <c r="F118" t="s">
        <v>58</v>
      </c>
      <c r="G118" s="8">
        <v>0.05</v>
      </c>
      <c r="H118" s="25">
        <v>4.25</v>
      </c>
    </row>
    <row r="119" spans="1:8" x14ac:dyDescent="0.3">
      <c r="A119">
        <v>202605</v>
      </c>
      <c r="B119" t="s">
        <v>41</v>
      </c>
      <c r="C119">
        <v>1760164844</v>
      </c>
      <c r="D119" t="s">
        <v>26</v>
      </c>
      <c r="E119" t="s">
        <v>27</v>
      </c>
      <c r="F119" t="s">
        <v>58</v>
      </c>
      <c r="G119" s="8">
        <v>2.5000000000000001E-2</v>
      </c>
      <c r="H119" s="25">
        <v>4.25</v>
      </c>
    </row>
    <row r="120" spans="1:8" x14ac:dyDescent="0.3">
      <c r="A120">
        <v>202605</v>
      </c>
      <c r="B120" t="s">
        <v>41</v>
      </c>
      <c r="C120">
        <v>1760164879</v>
      </c>
      <c r="D120" t="s">
        <v>26</v>
      </c>
      <c r="E120" t="s">
        <v>27</v>
      </c>
      <c r="F120" t="s">
        <v>58</v>
      </c>
      <c r="G120" s="8">
        <v>2.7E-2</v>
      </c>
      <c r="H120" s="25">
        <v>4.25</v>
      </c>
    </row>
    <row r="121" spans="1:8" x14ac:dyDescent="0.3">
      <c r="A121">
        <v>202605</v>
      </c>
      <c r="B121" t="s">
        <v>41</v>
      </c>
      <c r="C121">
        <v>1760164984</v>
      </c>
      <c r="D121" t="s">
        <v>26</v>
      </c>
      <c r="E121" t="s">
        <v>27</v>
      </c>
      <c r="F121" t="s">
        <v>58</v>
      </c>
      <c r="G121" s="8">
        <v>0.04</v>
      </c>
      <c r="H121" s="25">
        <v>4.25</v>
      </c>
    </row>
    <row r="122" spans="1:8" x14ac:dyDescent="0.3">
      <c r="A122">
        <v>202605</v>
      </c>
      <c r="B122" t="s">
        <v>41</v>
      </c>
      <c r="C122">
        <v>1760165875</v>
      </c>
      <c r="D122" t="s">
        <v>21</v>
      </c>
      <c r="E122" t="s">
        <v>22</v>
      </c>
      <c r="F122" t="s">
        <v>67</v>
      </c>
      <c r="G122" s="8">
        <v>0.10248</v>
      </c>
      <c r="H122" s="25">
        <v>5.75</v>
      </c>
    </row>
    <row r="123" spans="1:8" x14ac:dyDescent="0.3">
      <c r="A123">
        <v>202605</v>
      </c>
      <c r="B123" t="s">
        <v>41</v>
      </c>
      <c r="C123">
        <v>1760167703</v>
      </c>
      <c r="D123" t="s">
        <v>21</v>
      </c>
      <c r="E123" t="s">
        <v>27</v>
      </c>
      <c r="F123" t="s">
        <v>101</v>
      </c>
      <c r="G123" s="8">
        <v>0.30743999999999999</v>
      </c>
      <c r="H123" s="25">
        <v>2.15</v>
      </c>
    </row>
    <row r="124" spans="1:8" x14ac:dyDescent="0.3">
      <c r="A124">
        <v>202605</v>
      </c>
      <c r="B124" t="s">
        <v>41</v>
      </c>
      <c r="C124">
        <v>1760170550</v>
      </c>
      <c r="D124" t="s">
        <v>21</v>
      </c>
      <c r="E124" t="s">
        <v>27</v>
      </c>
      <c r="F124" t="s">
        <v>64</v>
      </c>
      <c r="G124" s="8">
        <v>0.17080000000000001</v>
      </c>
      <c r="H124" s="25">
        <v>5.05</v>
      </c>
    </row>
    <row r="125" spans="1:8" x14ac:dyDescent="0.3">
      <c r="A125">
        <v>202605</v>
      </c>
      <c r="B125" t="s">
        <v>41</v>
      </c>
      <c r="C125">
        <v>1760177120</v>
      </c>
      <c r="D125" t="s">
        <v>21</v>
      </c>
      <c r="E125" t="s">
        <v>27</v>
      </c>
      <c r="F125" t="s">
        <v>59</v>
      </c>
      <c r="G125" s="8">
        <v>1.3720000000000001</v>
      </c>
      <c r="H125" s="25">
        <v>1.93</v>
      </c>
    </row>
    <row r="126" spans="1:8" x14ac:dyDescent="0.3">
      <c r="A126">
        <v>202605</v>
      </c>
      <c r="B126" t="s">
        <v>43</v>
      </c>
      <c r="C126">
        <v>1760142107</v>
      </c>
      <c r="D126" t="s">
        <v>21</v>
      </c>
      <c r="E126" t="s">
        <v>27</v>
      </c>
      <c r="F126" t="s">
        <v>83</v>
      </c>
      <c r="G126" s="8">
        <v>0.96067999999999998</v>
      </c>
      <c r="H126" s="25">
        <v>3.9</v>
      </c>
    </row>
    <row r="127" spans="1:8" x14ac:dyDescent="0.3">
      <c r="A127">
        <v>202605</v>
      </c>
      <c r="B127" t="s">
        <v>43</v>
      </c>
      <c r="C127">
        <v>1760159735</v>
      </c>
      <c r="D127" t="s">
        <v>21</v>
      </c>
      <c r="E127" t="s">
        <v>27</v>
      </c>
      <c r="F127" t="s">
        <v>83</v>
      </c>
      <c r="G127" s="8">
        <v>0.34239999999999998</v>
      </c>
      <c r="H127" s="25">
        <v>3.9</v>
      </c>
    </row>
    <row r="128" spans="1:8" x14ac:dyDescent="0.3">
      <c r="A128">
        <v>202605</v>
      </c>
      <c r="B128" t="s">
        <v>43</v>
      </c>
      <c r="C128">
        <v>1760167680</v>
      </c>
      <c r="D128" t="s">
        <v>26</v>
      </c>
      <c r="E128" t="s">
        <v>27</v>
      </c>
      <c r="F128" t="s">
        <v>78</v>
      </c>
      <c r="G128" s="8">
        <v>1.19</v>
      </c>
      <c r="H128" s="25">
        <v>2.2000000000000002</v>
      </c>
    </row>
    <row r="129" spans="1:8" x14ac:dyDescent="0.3">
      <c r="A129">
        <v>202605</v>
      </c>
      <c r="B129" t="s">
        <v>43</v>
      </c>
      <c r="C129">
        <v>1760175780</v>
      </c>
      <c r="D129" t="s">
        <v>21</v>
      </c>
      <c r="E129" t="s">
        <v>27</v>
      </c>
      <c r="F129" t="s">
        <v>102</v>
      </c>
      <c r="G129" s="8">
        <v>1.7150000000000001</v>
      </c>
      <c r="H129" s="25">
        <v>1</v>
      </c>
    </row>
    <row r="130" spans="1:8" x14ac:dyDescent="0.3">
      <c r="A130">
        <v>202605</v>
      </c>
      <c r="B130" t="s">
        <v>45</v>
      </c>
      <c r="C130">
        <v>1760147206</v>
      </c>
      <c r="D130" t="s">
        <v>26</v>
      </c>
      <c r="E130" t="s">
        <v>27</v>
      </c>
      <c r="F130" t="s">
        <v>103</v>
      </c>
      <c r="G130" s="8">
        <v>3</v>
      </c>
      <c r="H130" s="25">
        <v>0.15</v>
      </c>
    </row>
    <row r="131" spans="1:8" x14ac:dyDescent="0.3">
      <c r="G131"/>
      <c r="H131"/>
    </row>
    <row r="132" spans="1:8" x14ac:dyDescent="0.3">
      <c r="G132"/>
      <c r="H132"/>
    </row>
    <row r="133" spans="1:8" x14ac:dyDescent="0.3">
      <c r="G133"/>
      <c r="H133"/>
    </row>
    <row r="134" spans="1:8" x14ac:dyDescent="0.3">
      <c r="G134"/>
      <c r="H134"/>
    </row>
    <row r="135" spans="1:8" x14ac:dyDescent="0.3">
      <c r="G135"/>
      <c r="H135"/>
    </row>
    <row r="136" spans="1:8" x14ac:dyDescent="0.3">
      <c r="G136"/>
      <c r="H136"/>
    </row>
    <row r="137" spans="1:8" x14ac:dyDescent="0.3">
      <c r="G137"/>
      <c r="H137"/>
    </row>
    <row r="138" spans="1:8" x14ac:dyDescent="0.3">
      <c r="G138"/>
      <c r="H138"/>
    </row>
    <row r="139" spans="1:8" x14ac:dyDescent="0.3">
      <c r="G139"/>
      <c r="H139"/>
    </row>
    <row r="140" spans="1:8" x14ac:dyDescent="0.3">
      <c r="G140"/>
      <c r="H140"/>
    </row>
    <row r="141" spans="1:8" x14ac:dyDescent="0.3">
      <c r="G141"/>
      <c r="H141"/>
    </row>
    <row r="142" spans="1:8" x14ac:dyDescent="0.3">
      <c r="G142"/>
      <c r="H142"/>
    </row>
    <row r="143" spans="1:8" x14ac:dyDescent="0.3">
      <c r="G143"/>
      <c r="H143"/>
    </row>
    <row r="144" spans="1:8" x14ac:dyDescent="0.3">
      <c r="G144"/>
      <c r="H144"/>
    </row>
    <row r="145" spans="7:8" x14ac:dyDescent="0.3">
      <c r="G145"/>
      <c r="H145"/>
    </row>
    <row r="146" spans="7:8" x14ac:dyDescent="0.3">
      <c r="G146"/>
      <c r="H146"/>
    </row>
    <row r="147" spans="7:8" x14ac:dyDescent="0.3">
      <c r="G147"/>
      <c r="H147"/>
    </row>
    <row r="148" spans="7:8" x14ac:dyDescent="0.3">
      <c r="G148"/>
      <c r="H148"/>
    </row>
    <row r="149" spans="7:8" x14ac:dyDescent="0.3">
      <c r="G149"/>
      <c r="H149"/>
    </row>
    <row r="150" spans="7:8" x14ac:dyDescent="0.3">
      <c r="G150"/>
      <c r="H150"/>
    </row>
    <row r="151" spans="7:8" x14ac:dyDescent="0.3">
      <c r="G151"/>
      <c r="H151"/>
    </row>
    <row r="152" spans="7:8" x14ac:dyDescent="0.3">
      <c r="G152"/>
      <c r="H152"/>
    </row>
    <row r="153" spans="7:8" x14ac:dyDescent="0.3">
      <c r="G153"/>
      <c r="H153"/>
    </row>
    <row r="154" spans="7:8" x14ac:dyDescent="0.3">
      <c r="G154"/>
      <c r="H154"/>
    </row>
    <row r="155" spans="7:8" x14ac:dyDescent="0.3">
      <c r="G155"/>
      <c r="H155"/>
    </row>
    <row r="156" spans="7:8" x14ac:dyDescent="0.3">
      <c r="G156"/>
      <c r="H156"/>
    </row>
    <row r="157" spans="7:8" x14ac:dyDescent="0.3">
      <c r="G157"/>
      <c r="H157"/>
    </row>
    <row r="158" spans="7:8" x14ac:dyDescent="0.3">
      <c r="G158"/>
      <c r="H158"/>
    </row>
    <row r="159" spans="7:8" x14ac:dyDescent="0.3">
      <c r="G159"/>
      <c r="H159"/>
    </row>
    <row r="160" spans="7:8" x14ac:dyDescent="0.3">
      <c r="G160"/>
      <c r="H160"/>
    </row>
    <row r="161" spans="7:8" x14ac:dyDescent="0.3">
      <c r="G161"/>
      <c r="H161"/>
    </row>
    <row r="162" spans="7:8" x14ac:dyDescent="0.3">
      <c r="G162"/>
      <c r="H162"/>
    </row>
    <row r="163" spans="7:8" x14ac:dyDescent="0.3">
      <c r="G163"/>
      <c r="H163"/>
    </row>
    <row r="164" spans="7:8" x14ac:dyDescent="0.3">
      <c r="G164"/>
      <c r="H164"/>
    </row>
    <row r="165" spans="7:8" x14ac:dyDescent="0.3">
      <c r="G165"/>
      <c r="H165"/>
    </row>
    <row r="166" spans="7:8" x14ac:dyDescent="0.3">
      <c r="G166"/>
      <c r="H166"/>
    </row>
    <row r="167" spans="7:8" x14ac:dyDescent="0.3">
      <c r="G167"/>
      <c r="H167"/>
    </row>
    <row r="168" spans="7:8" x14ac:dyDescent="0.3">
      <c r="G168"/>
      <c r="H168"/>
    </row>
    <row r="169" spans="7:8" x14ac:dyDescent="0.3">
      <c r="G169"/>
      <c r="H169"/>
    </row>
    <row r="170" spans="7:8" x14ac:dyDescent="0.3">
      <c r="G170"/>
      <c r="H170"/>
    </row>
    <row r="171" spans="7:8" x14ac:dyDescent="0.3">
      <c r="G171"/>
      <c r="H171"/>
    </row>
    <row r="172" spans="7:8" x14ac:dyDescent="0.3">
      <c r="G172"/>
      <c r="H172"/>
    </row>
    <row r="173" spans="7:8" x14ac:dyDescent="0.3">
      <c r="G173"/>
      <c r="H173"/>
    </row>
    <row r="174" spans="7:8" x14ac:dyDescent="0.3">
      <c r="G174"/>
      <c r="H174"/>
    </row>
    <row r="175" spans="7:8" x14ac:dyDescent="0.3">
      <c r="G175"/>
      <c r="H175"/>
    </row>
    <row r="176" spans="7:8" x14ac:dyDescent="0.3">
      <c r="G176"/>
      <c r="H176"/>
    </row>
    <row r="177" spans="7:8" x14ac:dyDescent="0.3">
      <c r="G177"/>
      <c r="H177"/>
    </row>
    <row r="178" spans="7:8" x14ac:dyDescent="0.3">
      <c r="G178"/>
      <c r="H178"/>
    </row>
    <row r="179" spans="7:8" x14ac:dyDescent="0.3">
      <c r="G179"/>
      <c r="H179"/>
    </row>
    <row r="180" spans="7:8" x14ac:dyDescent="0.3">
      <c r="G180"/>
      <c r="H180"/>
    </row>
    <row r="181" spans="7:8" x14ac:dyDescent="0.3">
      <c r="G181"/>
      <c r="H181"/>
    </row>
    <row r="182" spans="7:8" x14ac:dyDescent="0.3">
      <c r="G182"/>
      <c r="H182"/>
    </row>
    <row r="183" spans="7:8" x14ac:dyDescent="0.3">
      <c r="G183"/>
      <c r="H183"/>
    </row>
    <row r="184" spans="7:8" x14ac:dyDescent="0.3">
      <c r="G184"/>
      <c r="H184"/>
    </row>
    <row r="185" spans="7:8" x14ac:dyDescent="0.3">
      <c r="G185"/>
      <c r="H185"/>
    </row>
    <row r="186" spans="7:8" x14ac:dyDescent="0.3">
      <c r="G186"/>
      <c r="H186"/>
    </row>
    <row r="187" spans="7:8" x14ac:dyDescent="0.3">
      <c r="G187"/>
      <c r="H187"/>
    </row>
    <row r="188" spans="7:8" x14ac:dyDescent="0.3">
      <c r="G188"/>
      <c r="H188"/>
    </row>
    <row r="189" spans="7:8" x14ac:dyDescent="0.3">
      <c r="G189"/>
      <c r="H189"/>
    </row>
    <row r="190" spans="7:8" x14ac:dyDescent="0.3">
      <c r="G190"/>
      <c r="H190"/>
    </row>
    <row r="191" spans="7:8" x14ac:dyDescent="0.3">
      <c r="G191"/>
      <c r="H191"/>
    </row>
    <row r="192" spans="7:8" x14ac:dyDescent="0.3">
      <c r="G192"/>
      <c r="H192"/>
    </row>
    <row r="193" spans="7:8" x14ac:dyDescent="0.3">
      <c r="G193"/>
      <c r="H193"/>
    </row>
    <row r="194" spans="7:8" x14ac:dyDescent="0.3">
      <c r="G194"/>
      <c r="H194"/>
    </row>
    <row r="195" spans="7:8" x14ac:dyDescent="0.3">
      <c r="G195"/>
      <c r="H195"/>
    </row>
    <row r="196" spans="7:8" x14ac:dyDescent="0.3">
      <c r="G196"/>
      <c r="H196"/>
    </row>
    <row r="197" spans="7:8" x14ac:dyDescent="0.3">
      <c r="G197"/>
      <c r="H197"/>
    </row>
    <row r="198" spans="7:8" x14ac:dyDescent="0.3">
      <c r="G198"/>
      <c r="H198"/>
    </row>
    <row r="199" spans="7:8" x14ac:dyDescent="0.3">
      <c r="G199"/>
      <c r="H199"/>
    </row>
    <row r="200" spans="7:8" x14ac:dyDescent="0.3">
      <c r="G200"/>
      <c r="H200"/>
    </row>
    <row r="201" spans="7:8" x14ac:dyDescent="0.3">
      <c r="G201"/>
      <c r="H201"/>
    </row>
    <row r="202" spans="7:8" x14ac:dyDescent="0.3">
      <c r="G202"/>
      <c r="H202"/>
    </row>
    <row r="203" spans="7:8" x14ac:dyDescent="0.3">
      <c r="G203"/>
      <c r="H203"/>
    </row>
    <row r="204" spans="7:8" x14ac:dyDescent="0.3">
      <c r="G204"/>
      <c r="H204"/>
    </row>
    <row r="205" spans="7:8" x14ac:dyDescent="0.3">
      <c r="G205"/>
      <c r="H205"/>
    </row>
    <row r="206" spans="7:8" x14ac:dyDescent="0.3">
      <c r="G206"/>
      <c r="H206"/>
    </row>
    <row r="207" spans="7:8" x14ac:dyDescent="0.3">
      <c r="G207"/>
      <c r="H207"/>
    </row>
    <row r="208" spans="7:8" x14ac:dyDescent="0.3">
      <c r="G208"/>
      <c r="H208"/>
    </row>
    <row r="209" spans="7:8" x14ac:dyDescent="0.3">
      <c r="G209"/>
      <c r="H209"/>
    </row>
    <row r="210" spans="7:8" x14ac:dyDescent="0.3">
      <c r="G210"/>
      <c r="H210"/>
    </row>
    <row r="211" spans="7:8" x14ac:dyDescent="0.3">
      <c r="G211"/>
      <c r="H211"/>
    </row>
    <row r="212" spans="7:8" x14ac:dyDescent="0.3">
      <c r="G212"/>
      <c r="H212"/>
    </row>
    <row r="213" spans="7:8" x14ac:dyDescent="0.3">
      <c r="G213"/>
      <c r="H213"/>
    </row>
    <row r="214" spans="7:8" x14ac:dyDescent="0.3">
      <c r="G214"/>
      <c r="H214"/>
    </row>
    <row r="215" spans="7:8" x14ac:dyDescent="0.3">
      <c r="G215"/>
      <c r="H215"/>
    </row>
    <row r="216" spans="7:8" x14ac:dyDescent="0.3">
      <c r="G216"/>
      <c r="H216"/>
    </row>
    <row r="217" spans="7:8" x14ac:dyDescent="0.3">
      <c r="G217"/>
      <c r="H217"/>
    </row>
    <row r="218" spans="7:8" x14ac:dyDescent="0.3">
      <c r="G218"/>
      <c r="H218"/>
    </row>
    <row r="219" spans="7:8" x14ac:dyDescent="0.3">
      <c r="G219"/>
      <c r="H219"/>
    </row>
    <row r="220" spans="7:8" x14ac:dyDescent="0.3">
      <c r="G220"/>
      <c r="H220"/>
    </row>
    <row r="221" spans="7:8" x14ac:dyDescent="0.3">
      <c r="G221"/>
      <c r="H221"/>
    </row>
    <row r="222" spans="7:8" x14ac:dyDescent="0.3">
      <c r="G222"/>
      <c r="H222"/>
    </row>
    <row r="223" spans="7:8" x14ac:dyDescent="0.3">
      <c r="G223"/>
      <c r="H223"/>
    </row>
    <row r="224" spans="7:8" x14ac:dyDescent="0.3">
      <c r="G224"/>
      <c r="H224"/>
    </row>
    <row r="225" spans="7:8" x14ac:dyDescent="0.3">
      <c r="G225"/>
      <c r="H225"/>
    </row>
    <row r="226" spans="7:8" x14ac:dyDescent="0.3">
      <c r="G226"/>
      <c r="H226"/>
    </row>
    <row r="227" spans="7:8" x14ac:dyDescent="0.3">
      <c r="G227"/>
      <c r="H227"/>
    </row>
    <row r="228" spans="7:8" x14ac:dyDescent="0.3">
      <c r="G228"/>
      <c r="H228"/>
    </row>
    <row r="229" spans="7:8" x14ac:dyDescent="0.3">
      <c r="G229"/>
      <c r="H229"/>
    </row>
    <row r="230" spans="7:8" x14ac:dyDescent="0.3">
      <c r="G230"/>
      <c r="H230"/>
    </row>
    <row r="231" spans="7:8" x14ac:dyDescent="0.3">
      <c r="G231"/>
      <c r="H231"/>
    </row>
    <row r="232" spans="7:8" x14ac:dyDescent="0.3">
      <c r="G232"/>
      <c r="H232"/>
    </row>
    <row r="233" spans="7:8" x14ac:dyDescent="0.3">
      <c r="G233"/>
      <c r="H233"/>
    </row>
    <row r="234" spans="7:8" x14ac:dyDescent="0.3">
      <c r="G234"/>
      <c r="H234"/>
    </row>
    <row r="235" spans="7:8" x14ac:dyDescent="0.3">
      <c r="G235"/>
      <c r="H235"/>
    </row>
    <row r="236" spans="7:8" x14ac:dyDescent="0.3">
      <c r="G236"/>
      <c r="H236"/>
    </row>
    <row r="237" spans="7:8" x14ac:dyDescent="0.3">
      <c r="G237"/>
      <c r="H237"/>
    </row>
    <row r="238" spans="7:8" x14ac:dyDescent="0.3">
      <c r="G238"/>
      <c r="H238"/>
    </row>
    <row r="239" spans="7:8" x14ac:dyDescent="0.3">
      <c r="G239"/>
      <c r="H239"/>
    </row>
    <row r="240" spans="7:8" x14ac:dyDescent="0.3">
      <c r="G240"/>
      <c r="H240"/>
    </row>
    <row r="241" spans="7:8" x14ac:dyDescent="0.3">
      <c r="G241"/>
      <c r="H241"/>
    </row>
    <row r="242" spans="7:8" x14ac:dyDescent="0.3">
      <c r="G242"/>
      <c r="H242"/>
    </row>
    <row r="243" spans="7:8" x14ac:dyDescent="0.3">
      <c r="G243"/>
      <c r="H243"/>
    </row>
    <row r="244" spans="7:8" x14ac:dyDescent="0.3">
      <c r="G244"/>
      <c r="H244"/>
    </row>
    <row r="245" spans="7:8" x14ac:dyDescent="0.3">
      <c r="G245"/>
      <c r="H245"/>
    </row>
    <row r="246" spans="7:8" x14ac:dyDescent="0.3">
      <c r="G246"/>
      <c r="H246"/>
    </row>
    <row r="247" spans="7:8" x14ac:dyDescent="0.3">
      <c r="G247"/>
      <c r="H247"/>
    </row>
    <row r="248" spans="7:8" x14ac:dyDescent="0.3">
      <c r="G248"/>
      <c r="H248"/>
    </row>
    <row r="249" spans="7:8" x14ac:dyDescent="0.3">
      <c r="G249"/>
      <c r="H249"/>
    </row>
    <row r="250" spans="7:8" x14ac:dyDescent="0.3">
      <c r="G250"/>
      <c r="H250"/>
    </row>
    <row r="251" spans="7:8" x14ac:dyDescent="0.3">
      <c r="G251"/>
      <c r="H251"/>
    </row>
    <row r="252" spans="7:8" x14ac:dyDescent="0.3">
      <c r="G252"/>
      <c r="H252"/>
    </row>
    <row r="253" spans="7:8" x14ac:dyDescent="0.3">
      <c r="G253"/>
      <c r="H253"/>
    </row>
    <row r="254" spans="7:8" x14ac:dyDescent="0.3">
      <c r="G254"/>
      <c r="H254"/>
    </row>
    <row r="255" spans="7:8" x14ac:dyDescent="0.3">
      <c r="G255"/>
      <c r="H255"/>
    </row>
    <row r="256" spans="7:8" x14ac:dyDescent="0.3">
      <c r="G256"/>
      <c r="H256"/>
    </row>
    <row r="257" spans="7:8" x14ac:dyDescent="0.3">
      <c r="G257"/>
      <c r="H257"/>
    </row>
    <row r="258" spans="7:8" x14ac:dyDescent="0.3">
      <c r="G258"/>
      <c r="H258"/>
    </row>
    <row r="259" spans="7:8" x14ac:dyDescent="0.3">
      <c r="G259"/>
      <c r="H259"/>
    </row>
    <row r="260" spans="7:8" x14ac:dyDescent="0.3">
      <c r="G260"/>
      <c r="H260"/>
    </row>
    <row r="261" spans="7:8" x14ac:dyDescent="0.3">
      <c r="G261"/>
      <c r="H261"/>
    </row>
    <row r="262" spans="7:8" x14ac:dyDescent="0.3">
      <c r="G262"/>
      <c r="H262"/>
    </row>
    <row r="263" spans="7:8" x14ac:dyDescent="0.3">
      <c r="G263"/>
      <c r="H263"/>
    </row>
    <row r="264" spans="7:8" x14ac:dyDescent="0.3">
      <c r="G264"/>
      <c r="H264"/>
    </row>
    <row r="265" spans="7:8" x14ac:dyDescent="0.3">
      <c r="G265"/>
      <c r="H265"/>
    </row>
    <row r="266" spans="7:8" x14ac:dyDescent="0.3">
      <c r="G266"/>
      <c r="H266"/>
    </row>
    <row r="267" spans="7:8" x14ac:dyDescent="0.3">
      <c r="G267"/>
      <c r="H267"/>
    </row>
    <row r="268" spans="7:8" x14ac:dyDescent="0.3">
      <c r="G268"/>
      <c r="H268"/>
    </row>
    <row r="269" spans="7:8" x14ac:dyDescent="0.3">
      <c r="G269"/>
      <c r="H269"/>
    </row>
    <row r="270" spans="7:8" x14ac:dyDescent="0.3">
      <c r="G270"/>
      <c r="H270"/>
    </row>
    <row r="271" spans="7:8" x14ac:dyDescent="0.3">
      <c r="G271"/>
      <c r="H271"/>
    </row>
    <row r="272" spans="7:8" x14ac:dyDescent="0.3">
      <c r="G272"/>
      <c r="H272"/>
    </row>
    <row r="273" spans="7:8" x14ac:dyDescent="0.3">
      <c r="G273"/>
      <c r="H273"/>
    </row>
    <row r="274" spans="7:8" x14ac:dyDescent="0.3">
      <c r="G274"/>
      <c r="H274"/>
    </row>
    <row r="275" spans="7:8" x14ac:dyDescent="0.3">
      <c r="G275"/>
      <c r="H275"/>
    </row>
    <row r="276" spans="7:8" x14ac:dyDescent="0.3">
      <c r="G276"/>
      <c r="H276"/>
    </row>
    <row r="277" spans="7:8" x14ac:dyDescent="0.3">
      <c r="G277"/>
      <c r="H277"/>
    </row>
    <row r="278" spans="7:8" x14ac:dyDescent="0.3">
      <c r="G278"/>
      <c r="H278"/>
    </row>
    <row r="279" spans="7:8" x14ac:dyDescent="0.3">
      <c r="G279"/>
      <c r="H279"/>
    </row>
    <row r="280" spans="7:8" x14ac:dyDescent="0.3">
      <c r="G280"/>
      <c r="H280"/>
    </row>
    <row r="281" spans="7:8" x14ac:dyDescent="0.3">
      <c r="G281"/>
      <c r="H281"/>
    </row>
    <row r="282" spans="7:8" x14ac:dyDescent="0.3">
      <c r="G282"/>
      <c r="H282"/>
    </row>
    <row r="283" spans="7:8" x14ac:dyDescent="0.3">
      <c r="G283"/>
      <c r="H283"/>
    </row>
    <row r="284" spans="7:8" x14ac:dyDescent="0.3">
      <c r="G284"/>
      <c r="H284"/>
    </row>
    <row r="285" spans="7:8" x14ac:dyDescent="0.3">
      <c r="G285"/>
      <c r="H285"/>
    </row>
    <row r="286" spans="7:8" x14ac:dyDescent="0.3">
      <c r="G286"/>
      <c r="H286"/>
    </row>
    <row r="287" spans="7:8" x14ac:dyDescent="0.3">
      <c r="G287"/>
      <c r="H287"/>
    </row>
    <row r="288" spans="7:8" x14ac:dyDescent="0.3">
      <c r="G288"/>
      <c r="H288"/>
    </row>
    <row r="289" spans="7:8" x14ac:dyDescent="0.3">
      <c r="G289"/>
      <c r="H289"/>
    </row>
    <row r="290" spans="7:8" x14ac:dyDescent="0.3">
      <c r="G290"/>
      <c r="H290"/>
    </row>
    <row r="291" spans="7:8" x14ac:dyDescent="0.3">
      <c r="G291"/>
      <c r="H291"/>
    </row>
    <row r="292" spans="7:8" x14ac:dyDescent="0.3">
      <c r="G292"/>
      <c r="H292"/>
    </row>
    <row r="293" spans="7:8" x14ac:dyDescent="0.3">
      <c r="G293"/>
      <c r="H293"/>
    </row>
    <row r="294" spans="7:8" x14ac:dyDescent="0.3">
      <c r="G294"/>
      <c r="H294"/>
    </row>
    <row r="295" spans="7:8" x14ac:dyDescent="0.3">
      <c r="G295"/>
      <c r="H295"/>
    </row>
    <row r="296" spans="7:8" x14ac:dyDescent="0.3">
      <c r="G296"/>
      <c r="H296"/>
    </row>
    <row r="297" spans="7:8" x14ac:dyDescent="0.3">
      <c r="G297"/>
      <c r="H297"/>
    </row>
    <row r="298" spans="7:8" x14ac:dyDescent="0.3">
      <c r="G298"/>
      <c r="H298"/>
    </row>
    <row r="299" spans="7:8" x14ac:dyDescent="0.3">
      <c r="G299"/>
      <c r="H299"/>
    </row>
    <row r="300" spans="7:8" x14ac:dyDescent="0.3">
      <c r="G300"/>
      <c r="H300"/>
    </row>
    <row r="301" spans="7:8" x14ac:dyDescent="0.3">
      <c r="G301"/>
      <c r="H301"/>
    </row>
    <row r="302" spans="7:8" x14ac:dyDescent="0.3">
      <c r="G302"/>
      <c r="H302"/>
    </row>
    <row r="303" spans="7:8" x14ac:dyDescent="0.3">
      <c r="G303"/>
      <c r="H303"/>
    </row>
    <row r="304" spans="7:8" x14ac:dyDescent="0.3">
      <c r="G304"/>
      <c r="H304"/>
    </row>
    <row r="305" spans="7:8" x14ac:dyDescent="0.3">
      <c r="G305"/>
      <c r="H305"/>
    </row>
    <row r="306" spans="7:8" x14ac:dyDescent="0.3">
      <c r="G306"/>
      <c r="H306"/>
    </row>
    <row r="307" spans="7:8" x14ac:dyDescent="0.3">
      <c r="G307"/>
      <c r="H307"/>
    </row>
    <row r="308" spans="7:8" x14ac:dyDescent="0.3">
      <c r="G308"/>
      <c r="H308"/>
    </row>
    <row r="309" spans="7:8" x14ac:dyDescent="0.3">
      <c r="G309"/>
      <c r="H309"/>
    </row>
    <row r="310" spans="7:8" x14ac:dyDescent="0.3">
      <c r="G310"/>
      <c r="H310"/>
    </row>
    <row r="311" spans="7:8" x14ac:dyDescent="0.3">
      <c r="G311"/>
      <c r="H311"/>
    </row>
    <row r="312" spans="7:8" x14ac:dyDescent="0.3">
      <c r="G312"/>
      <c r="H312"/>
    </row>
    <row r="313" spans="7:8" x14ac:dyDescent="0.3">
      <c r="G313"/>
      <c r="H313"/>
    </row>
    <row r="314" spans="7:8" x14ac:dyDescent="0.3">
      <c r="G314"/>
      <c r="H314"/>
    </row>
    <row r="315" spans="7:8" x14ac:dyDescent="0.3">
      <c r="G315"/>
      <c r="H315"/>
    </row>
    <row r="316" spans="7:8" x14ac:dyDescent="0.3">
      <c r="G316"/>
      <c r="H316"/>
    </row>
    <row r="317" spans="7:8" x14ac:dyDescent="0.3">
      <c r="G317"/>
      <c r="H317"/>
    </row>
    <row r="318" spans="7:8" x14ac:dyDescent="0.3">
      <c r="G318"/>
      <c r="H318"/>
    </row>
    <row r="319" spans="7:8" x14ac:dyDescent="0.3">
      <c r="G319"/>
      <c r="H319"/>
    </row>
    <row r="320" spans="7:8" x14ac:dyDescent="0.3">
      <c r="G320"/>
      <c r="H320"/>
    </row>
    <row r="321" spans="7:8" x14ac:dyDescent="0.3">
      <c r="G321"/>
      <c r="H321"/>
    </row>
    <row r="322" spans="7:8" x14ac:dyDescent="0.3">
      <c r="G322"/>
      <c r="H322"/>
    </row>
    <row r="323" spans="7:8" x14ac:dyDescent="0.3">
      <c r="G323"/>
      <c r="H323"/>
    </row>
    <row r="324" spans="7:8" x14ac:dyDescent="0.3">
      <c r="G324"/>
      <c r="H324"/>
    </row>
    <row r="325" spans="7:8" x14ac:dyDescent="0.3">
      <c r="G325"/>
      <c r="H325"/>
    </row>
    <row r="326" spans="7:8" x14ac:dyDescent="0.3">
      <c r="G326"/>
      <c r="H326"/>
    </row>
    <row r="327" spans="7:8" x14ac:dyDescent="0.3">
      <c r="G327"/>
      <c r="H327"/>
    </row>
    <row r="328" spans="7:8" x14ac:dyDescent="0.3">
      <c r="G328"/>
      <c r="H328"/>
    </row>
    <row r="329" spans="7:8" x14ac:dyDescent="0.3">
      <c r="G329"/>
      <c r="H329"/>
    </row>
    <row r="330" spans="7:8" x14ac:dyDescent="0.3">
      <c r="G330"/>
      <c r="H330"/>
    </row>
    <row r="331" spans="7:8" x14ac:dyDescent="0.3">
      <c r="G331"/>
      <c r="H331"/>
    </row>
    <row r="332" spans="7:8" x14ac:dyDescent="0.3">
      <c r="G332"/>
      <c r="H332"/>
    </row>
    <row r="333" spans="7:8" x14ac:dyDescent="0.3">
      <c r="G333"/>
      <c r="H333"/>
    </row>
    <row r="334" spans="7:8" x14ac:dyDescent="0.3">
      <c r="G334"/>
      <c r="H334"/>
    </row>
    <row r="335" spans="7:8" x14ac:dyDescent="0.3">
      <c r="G335"/>
      <c r="H335"/>
    </row>
    <row r="336" spans="7:8" x14ac:dyDescent="0.3">
      <c r="G336"/>
      <c r="H336"/>
    </row>
    <row r="337" spans="7:8" x14ac:dyDescent="0.3">
      <c r="G337"/>
      <c r="H337"/>
    </row>
    <row r="338" spans="7:8" x14ac:dyDescent="0.3">
      <c r="G338"/>
      <c r="H338"/>
    </row>
    <row r="339" spans="7:8" x14ac:dyDescent="0.3">
      <c r="G339"/>
      <c r="H339"/>
    </row>
    <row r="340" spans="7:8" x14ac:dyDescent="0.3">
      <c r="G340"/>
      <c r="H340"/>
    </row>
    <row r="341" spans="7:8" x14ac:dyDescent="0.3">
      <c r="G341"/>
      <c r="H341"/>
    </row>
    <row r="342" spans="7:8" x14ac:dyDescent="0.3">
      <c r="G342"/>
      <c r="H342"/>
    </row>
    <row r="343" spans="7:8" x14ac:dyDescent="0.3">
      <c r="G343"/>
      <c r="H343"/>
    </row>
    <row r="344" spans="7:8" x14ac:dyDescent="0.3">
      <c r="G344"/>
      <c r="H344"/>
    </row>
    <row r="345" spans="7:8" x14ac:dyDescent="0.3">
      <c r="G345"/>
      <c r="H345"/>
    </row>
    <row r="346" spans="7:8" x14ac:dyDescent="0.3">
      <c r="G346"/>
      <c r="H346"/>
    </row>
    <row r="347" spans="7:8" x14ac:dyDescent="0.3">
      <c r="G347"/>
      <c r="H347"/>
    </row>
    <row r="348" spans="7:8" x14ac:dyDescent="0.3">
      <c r="G348"/>
      <c r="H348"/>
    </row>
    <row r="349" spans="7:8" x14ac:dyDescent="0.3">
      <c r="G349"/>
      <c r="H349"/>
    </row>
    <row r="350" spans="7:8" x14ac:dyDescent="0.3">
      <c r="G350"/>
      <c r="H350"/>
    </row>
    <row r="351" spans="7:8" x14ac:dyDescent="0.3">
      <c r="G351"/>
      <c r="H351"/>
    </row>
    <row r="352" spans="7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2.xml><?xml version="1.0" encoding="utf-8"?>
<ds:datastoreItem xmlns:ds="http://schemas.openxmlformats.org/officeDocument/2006/customXml" ds:itemID="{1C8C18C0-05A7-4CF4-80F2-F5F834800471}">
  <ds:schemaRefs/>
</ds:datastoreItem>
</file>

<file path=customXml/itemProps3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4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5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7.xml><?xml version="1.0" encoding="utf-8"?>
<ds:datastoreItem xmlns:ds="http://schemas.openxmlformats.org/officeDocument/2006/customXml" ds:itemID="{1028D540-8964-4811-AD86-2214AA4F9969}">
  <ds:schemaRefs/>
</ds:datastoreItem>
</file>

<file path=customXml/itemProps8.xml><?xml version="1.0" encoding="utf-8"?>
<ds:datastoreItem xmlns:ds="http://schemas.openxmlformats.org/officeDocument/2006/customXml" ds:itemID="{1E39E27E-74F0-4EEB-B3F4-0AD4F9A9F44C}">
  <ds:schemaRefs/>
</ds:datastoreItem>
</file>

<file path=customXml/itemProps9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0.xml><?xml version="1.0" encoding="utf-8"?>
<ds:datastoreItem xmlns:ds="http://schemas.openxmlformats.org/officeDocument/2006/customXml" ds:itemID="{F2DF7980-5758-4258-BA69-44B6EFFACA05}">
  <ds:schemaRefs/>
</ds:datastoreItem>
</file>

<file path=customXml/itemProps11.xml><?xml version="1.0" encoding="utf-8"?>
<ds:datastoreItem xmlns:ds="http://schemas.openxmlformats.org/officeDocument/2006/customXml" ds:itemID="{6907CF74-CE31-4568-806B-E68C546D4AF8}">
  <ds:schemaRefs/>
</ds:datastoreItem>
</file>

<file path=customXml/itemProps1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3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5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6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2026-05-18T14:38:54Z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