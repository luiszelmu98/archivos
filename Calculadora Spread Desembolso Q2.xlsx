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9" documentId="8_{E36DC478-9D34-4691-AA52-C22FB807C30C}" xr6:coauthVersionLast="47" xr6:coauthVersionMax="47" xr10:uidLastSave="{E459227E-761A-4E9C-B888-5F5C66811C6D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54" r:id="rId2"/>
    <pivotCache cacheId="68" r:id="rId3"/>
  </pivotCaches>
  <extLst>
    <ext xmlns:x14="http://schemas.microsoft.com/office/spreadsheetml/2009/9/main" uri="{876F7934-8845-4945-9796-88D515C7AA90}">
      <x14:pivotCaches>
        <pivotCache cacheId="56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<sst xmlns="http://schemas.openxmlformats.org/spreadsheetml/2006/main" count="592" uniqueCount="139">
  <si>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</si>
  <si>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</si>
  <si>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</si>
  <si>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</si>
  <si>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</si>
  <si>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</si>
  <si>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</si>
  <si>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</si>
  <si>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</si>
  <si>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</si>
  <si>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</si>
  <si>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</si>
  <si>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</si>
  <si>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</si>
  <si>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</si>
  <si>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</si>
  <si>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</si>
  <si>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</si>
  <si>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</si>
  <si>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</si>
  <si>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</si>
  <si>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</si>
  <si>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</si>
  <si>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</si>
  <si>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</si>
  <si>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</si>
  <si>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</si>
  <si>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</si>
  <si>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</si>
  <si>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</si>
  <si>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</si>
  <si>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</si>
  <si>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</si>
  <si>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</si>
  <si>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</si>
  <si>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</si>
  <si>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</si>
  <si>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</si>
  <si>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</si>
  <si>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</si>
  <si>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</si>
  <si>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</si>
  <si>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</si>
  <si>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</si>
  <si>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</si>
  <si>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</si>
  <si>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</si>
  <si>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</si>
  <si>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</si>
  <si>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</si>
  <si>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</si>
  <si>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</si>
  <si>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</si>
  <si>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</si>
  <si>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</si>
  <si>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</si>
  <si>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</si>
  <si>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</si>
  <si>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</si>
  <si>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</si>
  <si>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</si>
  <si>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</si>
  <si>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</si>
  <si>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</si>
  <si>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</si>
  <si>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</si>
  <si>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</si>
  <si>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</si>
  <si>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</si>
  <si>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</si>
  <si>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</si>
  <si>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</si>
  <si>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</si>
  <si>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</si>
  <si>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</si>
  <si>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</si>
  <si>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</si>
  <si>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</si>
  <si>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</si>
  <si>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</si>
  <si>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</si>
  <si>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</si>
  <si>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</si>
  <si>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</si>
  <si>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</si>
  <si>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</si>
  <si>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</si>
  <si>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</si>
  <si>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</si>
  <si>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</si>
  <si>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</si>
  <si>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</si>
  <si>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</si>
  <si>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</si>
  <si>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</si>
  <si>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</si>
  <si>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</si>
  <si>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</si>
  <si>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</si>
  <si>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</si>
  <si>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</si>
  <si>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</si>
  <si>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</si>
  <si>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</si>
  <si>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</si>
  <si>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</si>
  <si>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</si>
  <si>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</si>
  <si>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</si>
  <si>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</si>
  <si>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</si>
  <si>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</si>
  <si>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</si>
  <si>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</si>
  <si>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</si>
  <si>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</si>
  <si>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</si>
  <si>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</si>
  <si>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15/07/2026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</si>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</sst>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95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33435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19.663247916666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0">
        <s v="A.ROJAS"/>
        <s v="C.MARKY*16024"/>
        <s v="C.MEJIA"/>
        <s v="D.HERRERA*14796"/>
        <s v="G.BRAVO"/>
        <s v="G.RAFFO"/>
        <s v="H.GALVEZ*16404"/>
        <s v="J.CARRERA"/>
        <s v="J.GRANDEZ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19.669353819445" createdVersion="5" refreshedVersion="8" minRefreshableVersion="3" recordCount="0" supportSubquery="1" supportAdvancedDrill="1" xr:uid="{E16E5F9E-3107-4537-AFA8-91AABA175D0D}">
  <cacheSource type="external" connectionId="3"/>
  <cacheFields count="10">
    <cacheField name="[Desem].[Periodo].[Periodo]" caption="Periodo" numFmtId="0" level="1">
      <sharedItems containsSemiMixedTypes="0" containsString="0" containsNumber="1" containsInteger="1" minValue="202607" maxValue="202607" count="1">
        <n v="202607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68907790" count="132">
        <n v="1768891699"/>
        <n v="1764780050"/>
        <n v="1768856150"/>
        <n v="1764742540"/>
        <n v="1768858497"/>
        <n v="1768866295"/>
        <n v="1768867003"/>
        <n v="1768882370"/>
        <n v="1768888612"/>
        <n v="1768905282"/>
        <n v="1768905363"/>
        <n v="1764734360"/>
        <n v="1764736656"/>
        <n v="1768850534"/>
        <n v="176885401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4734475"/>
        <n v="1764757939"/>
        <n v="1768826730"/>
        <n v="1768833257"/>
        <n v="1768850585"/>
        <n v="1764741510"/>
        <n v="1764757238"/>
        <n v="176476195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4767195"/>
        <n v="1768895694"/>
        <n v="1768897425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4759907"/>
        <n v="1768838720"/>
        <n v="1768844534"/>
        <n v="1768845468"/>
        <n v="1768868727"/>
        <n v="1768870004"/>
        <n v="1768895899"/>
        <n v="1768896046"/>
        <n v="1768907234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4752333"/>
        <n v="1768883106"/>
        <n v="1768905230"/>
        <n v="1764761286"/>
        <n v="1768850208"/>
        <n v="1764780670"/>
        <n v="1768842035"/>
        <n v="1768849668"/>
        <n v="1768850542"/>
        <n v="1768862508"/>
        <n v="1768881057"/>
        <n v="1768881723"/>
        <n v="1764767160"/>
        <n v="1768834120"/>
        <n v="1768854904"/>
        <n v="1768874050"/>
        <n v="1768882827"/>
        <n v="1764762479"/>
        <n v="1768839522"/>
        <n v="1768839603"/>
        <n v="1768855617"/>
        <n v="1768882169"/>
        <n v="1768897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</sharedItems>
    </cacheField>
    <cacheField name="[Desem].[NombreFuncionario].[NombreFuncionario]" caption="NombreFuncionario" numFmtId="0" hierarchy="9" level="1">
      <sharedItems count="20">
        <s v="A.ROJAS"/>
        <s v="C.MARKY*16024"/>
        <s v="C.MEJIA"/>
        <s v="D.HERRERA*14796"/>
        <s v="G.BRAVO"/>
        <s v="G.RAFFO"/>
        <s v="H.GALVEZ*16404"/>
        <s v="J.CARRERA"/>
        <s v="J.GRANDEZ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80">
        <s v="ECOINTEGRITY SAC"/>
        <s v="MOTO REPUESTOS &amp; AB SAC"/>
        <s v="NOR AUTOS CHICLAYO SAC"/>
        <s v="CARTOCOR DE PERU S A"/>
        <s v="IMBAREX SA"/>
        <s v="VSI INDUSTRIAL SAC"/>
        <s v="ISEG PERU SAC"/>
        <s v="SOUTH PACIFIC INTERNATIONAL S A C"/>
        <s v="IMPORTADORA GUILLEN PERU SAC"/>
        <s v="COMPA#IA DE ABASTECIMIENTO INDUSTRIAL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ESMERALDA CORP SAC"/>
        <s v="EUROCAPITAL SERVICIOS FINANCIEROS S A C"/>
        <s v="ACEROS Y CONCRETOS S A C"/>
        <s v="PYMATEK AUTOMATION S R L"/>
        <s v="BIG ROCK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ENERCITY SAC"/>
        <s v="ESTILOS S R L"/>
        <s v="EL BOSQUE EMPRESA INDIVIDUAL DE RLTDA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ACKPLAST ENVOLTURAS SAC"/>
        <s v="AGROVET MARKET SA"/>
        <s v="HILANDERIA LURIN SAC"/>
        <s v="SILVATEAM PERU COMERCIAL SAC"/>
        <s v="ECO PROYEC PERU S A C"/>
        <s v="POLYROOF SOCIEDAD ANONIMA CERRADA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FERRETERIA CATALEYA SAC"/>
        <s v="FRIGOSA SAC"/>
        <s v="PALCON PERU SAC"/>
        <s v="AI INVERSIONES PALO ALTO II S A C"/>
        <s v="MOTOR MUNDO SAC"/>
        <s v="ITALTEL PERU SAC"/>
        <s v="OPERACIONES SEPROCAL SAC"/>
        <s v="INTEGRACION LOGISTICA INLOG SAC"/>
        <s v="SIMED PERU SAC"/>
        <s v="GP MOTOS SOCIEDAD ANONIMA CERRADA"/>
        <s v="M &amp; CALERA SANTA SAC"/>
        <s v="UNION DE TECNICOS ELECTROMECANICOS SAC"/>
        <s v="ROBOCON SERVICIOS SAC"/>
        <s v="CORPORACION INMOBILIARIA TULSI SAC"/>
        <s v="IESA S A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AMAZONAS TRADING PERU SAC"/>
        <s v="TRINY RENTAL SAC"/>
        <s v="ELECTRONORTE SA"/>
        <s v="EMP REG DE SERV PUB DE ELECT ELECTRONORTE MED"/>
        <s v="SERVOSA COMBUSTIBLES SAC"/>
      </sharedItems>
    </cacheField>
    <cacheField name="[Desem].[Producto].[Producto]" caption="Producto" numFmtId="0" hierarchy="3" level="1">
      <sharedItems count="4">
        <s v="DESCUENTOS"/>
        <s v="COMEX"/>
        <s v="PRESTAM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19.663242939816" createdVersion="3" refreshedVersion="8" minRefreshableVersion="3" recordCount="0" supportSubquery="1" supportAdvancedDrill="1" xr:uid="{C6D7240E-3374-4BE9-9DD3-3BC06E529C15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3968415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8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6:H148" firstHeaderRow="0" firstDataRow="1" firstDataCol="6"/>
  <pivotFields count="10"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132">
    <i>
      <x/>
      <x/>
      <x/>
      <x/>
      <x/>
      <x/>
    </i>
    <i r="1">
      <x v="1"/>
      <x v="1"/>
      <x/>
      <x v="1"/>
      <x v="1"/>
    </i>
    <i r="2">
      <x v="2"/>
      <x/>
      <x v="2"/>
      <x v="2"/>
    </i>
    <i r="1">
      <x v="2"/>
      <x v="3"/>
      <x/>
      <x/>
      <x v="3"/>
    </i>
    <i r="2">
      <x v="4"/>
      <x/>
      <x v="1"/>
      <x v="4"/>
    </i>
    <i r="2">
      <x v="5"/>
      <x v="1"/>
      <x v="2"/>
      <x v="5"/>
    </i>
    <i r="2">
      <x v="6"/>
      <x v="1"/>
      <x v="2"/>
      <x v="5"/>
    </i>
    <i r="2">
      <x v="7"/>
      <x v="1"/>
      <x v="2"/>
      <x v="6"/>
    </i>
    <i r="2">
      <x v="8"/>
      <x v="1"/>
      <x/>
      <x v="6"/>
    </i>
    <i r="2">
      <x v="9"/>
      <x v="1"/>
      <x v="1"/>
      <x v="7"/>
    </i>
    <i r="2">
      <x v="10"/>
      <x/>
      <x v="2"/>
      <x v="8"/>
    </i>
    <i r="1">
      <x v="3"/>
      <x v="11"/>
      <x/>
      <x/>
      <x v="9"/>
    </i>
    <i r="2">
      <x v="12"/>
      <x v="1"/>
      <x/>
      <x v="9"/>
    </i>
    <i r="2">
      <x v="13"/>
      <x/>
      <x/>
      <x v="9"/>
    </i>
    <i r="2">
      <x v="14"/>
      <x v="1"/>
      <x/>
      <x v="9"/>
    </i>
    <i r="1">
      <x v="4"/>
      <x v="15"/>
      <x v="1"/>
      <x v="2"/>
      <x v="10"/>
    </i>
    <i r="2">
      <x v="16"/>
      <x/>
      <x v="1"/>
      <x v="11"/>
    </i>
    <i r="2">
      <x v="17"/>
      <x/>
      <x v="1"/>
      <x v="11"/>
    </i>
    <i r="2">
      <x v="18"/>
      <x/>
      <x v="1"/>
      <x v="12"/>
    </i>
    <i r="2">
      <x v="19"/>
      <x/>
      <x v="1"/>
      <x v="12"/>
    </i>
    <i r="2">
      <x v="20"/>
      <x v="1"/>
      <x v="2"/>
      <x v="13"/>
    </i>
    <i r="2">
      <x v="21"/>
      <x v="1"/>
      <x v="2"/>
      <x v="13"/>
    </i>
    <i r="2">
      <x v="22"/>
      <x/>
      <x v="1"/>
      <x v="14"/>
    </i>
    <i r="2">
      <x v="23"/>
      <x/>
      <x v="1"/>
      <x v="15"/>
    </i>
    <i r="2">
      <x v="24"/>
      <x/>
      <x v="1"/>
      <x v="14"/>
    </i>
    <i r="2">
      <x v="25"/>
      <x v="1"/>
      <x v="2"/>
      <x v="16"/>
    </i>
    <i r="2">
      <x v="26"/>
      <x/>
      <x/>
      <x v="17"/>
    </i>
    <i r="2">
      <x v="27"/>
      <x/>
      <x/>
      <x v="17"/>
    </i>
    <i r="2">
      <x v="28"/>
      <x/>
      <x v="1"/>
      <x v="14"/>
    </i>
    <i r="2">
      <x v="29"/>
      <x/>
      <x v="1"/>
      <x v="14"/>
    </i>
    <i r="2">
      <x v="30"/>
      <x v="1"/>
      <x v="2"/>
      <x v="18"/>
    </i>
    <i r="1">
      <x v="5"/>
      <x v="31"/>
      <x v="1"/>
      <x v="2"/>
      <x v="19"/>
    </i>
    <i r="2">
      <x v="32"/>
      <x/>
      <x v="2"/>
      <x v="20"/>
    </i>
    <i r="2">
      <x v="33"/>
      <x v="1"/>
      <x/>
      <x v="21"/>
    </i>
    <i r="2">
      <x v="34"/>
      <x v="1"/>
      <x v="2"/>
      <x v="19"/>
    </i>
    <i r="2">
      <x v="35"/>
      <x/>
      <x/>
      <x v="21"/>
    </i>
    <i r="1">
      <x v="6"/>
      <x v="36"/>
      <x/>
      <x/>
      <x v="22"/>
    </i>
    <i r="2">
      <x v="37"/>
      <x/>
      <x/>
      <x v="22"/>
    </i>
    <i r="2">
      <x v="38"/>
      <x v="1"/>
      <x/>
      <x v="23"/>
    </i>
    <i r="1">
      <x v="7"/>
      <x v="39"/>
      <x/>
      <x v="1"/>
      <x v="24"/>
    </i>
    <i r="2">
      <x v="40"/>
      <x/>
      <x/>
      <x v="25"/>
    </i>
    <i r="2">
      <x v="41"/>
      <x/>
      <x v="1"/>
      <x v="26"/>
    </i>
    <i r="2">
      <x v="42"/>
      <x/>
      <x v="1"/>
      <x v="27"/>
    </i>
    <i r="2">
      <x v="43"/>
      <x/>
      <x v="1"/>
      <x v="28"/>
    </i>
    <i r="2">
      <x v="44"/>
      <x v="1"/>
      <x v="2"/>
      <x v="29"/>
    </i>
    <i r="2">
      <x v="45"/>
      <x/>
      <x v="1"/>
      <x v="24"/>
    </i>
    <i r="2">
      <x v="46"/>
      <x/>
      <x v="1"/>
      <x v="24"/>
    </i>
    <i r="2">
      <x v="47"/>
      <x/>
      <x v="1"/>
      <x v="24"/>
    </i>
    <i r="2">
      <x v="48"/>
      <x v="1"/>
      <x v="1"/>
      <x v="30"/>
    </i>
    <i r="2">
      <x v="49"/>
      <x v="1"/>
      <x v="1"/>
      <x v="30"/>
    </i>
    <i r="2">
      <x v="50"/>
      <x v="1"/>
      <x v="1"/>
      <x v="30"/>
    </i>
    <i r="2">
      <x v="51"/>
      <x/>
      <x v="1"/>
      <x v="24"/>
    </i>
    <i r="1">
      <x v="8"/>
      <x v="52"/>
      <x/>
      <x v="2"/>
      <x v="31"/>
    </i>
    <i r="1">
      <x v="9"/>
      <x v="53"/>
      <x v="1"/>
      <x v="2"/>
      <x v="32"/>
    </i>
    <i r="2">
      <x v="54"/>
      <x/>
      <x v="1"/>
      <x v="33"/>
    </i>
    <i r="1">
      <x v="10"/>
      <x v="55"/>
      <x/>
      <x v="1"/>
      <x v="34"/>
    </i>
    <i r="2">
      <x v="56"/>
      <x v="1"/>
      <x v="2"/>
      <x v="35"/>
    </i>
    <i r="2">
      <x v="57"/>
      <x/>
      <x v="2"/>
      <x v="36"/>
    </i>
    <i r="2">
      <x v="58"/>
      <x v="1"/>
      <x v="2"/>
      <x v="35"/>
    </i>
    <i r="2">
      <x v="59"/>
      <x v="1"/>
      <x v="2"/>
      <x v="37"/>
    </i>
    <i r="2">
      <x v="60"/>
      <x/>
      <x v="1"/>
      <x v="38"/>
    </i>
    <i r="2">
      <x v="61"/>
      <x/>
      <x v="2"/>
      <x v="39"/>
    </i>
    <i r="2">
      <x v="62"/>
      <x/>
      <x v="2"/>
      <x v="36"/>
    </i>
    <i r="2">
      <x v="63"/>
      <x/>
      <x v="2"/>
      <x v="36"/>
    </i>
    <i r="2">
      <x v="64"/>
      <x v="1"/>
      <x v="2"/>
      <x v="40"/>
    </i>
    <i r="2">
      <x v="65"/>
      <x v="1"/>
      <x v="2"/>
      <x v="37"/>
    </i>
    <i r="2">
      <x v="66"/>
      <x v="1"/>
      <x v="2"/>
      <x v="40"/>
    </i>
    <i r="2">
      <x v="67"/>
      <x v="1"/>
      <x v="2"/>
      <x v="37"/>
    </i>
    <i r="2">
      <x v="68"/>
      <x v="1"/>
      <x v="2"/>
      <x v="40"/>
    </i>
    <i r="2">
      <x v="69"/>
      <x/>
      <x v="2"/>
      <x v="36"/>
    </i>
    <i r="2">
      <x v="70"/>
      <x v="1"/>
      <x v="2"/>
      <x v="40"/>
    </i>
    <i r="2">
      <x v="71"/>
      <x v="1"/>
      <x v="2"/>
      <x v="40"/>
    </i>
    <i r="2">
      <x v="72"/>
      <x v="1"/>
      <x v="2"/>
      <x v="40"/>
    </i>
    <i r="2">
      <x v="73"/>
      <x/>
      <x v="2"/>
      <x v="39"/>
    </i>
    <i r="2">
      <x v="74"/>
      <x v="1"/>
      <x v="2"/>
      <x v="40"/>
    </i>
    <i r="1">
      <x v="11"/>
      <x v="75"/>
      <x/>
      <x v="1"/>
      <x v="41"/>
    </i>
    <i r="2">
      <x v="76"/>
      <x/>
      <x v="1"/>
      <x v="42"/>
    </i>
    <i r="2">
      <x v="77"/>
      <x/>
      <x v="2"/>
      <x v="43"/>
    </i>
    <i r="2">
      <x v="78"/>
      <x/>
      <x v="1"/>
      <x v="42"/>
    </i>
    <i r="2">
      <x v="79"/>
      <x/>
      <x v="1"/>
      <x v="44"/>
    </i>
    <i r="2">
      <x v="80"/>
      <x/>
      <x v="1"/>
      <x v="45"/>
    </i>
    <i r="2">
      <x v="81"/>
      <x/>
      <x v="1"/>
      <x v="46"/>
    </i>
    <i r="2">
      <x v="82"/>
      <x/>
      <x v="1"/>
      <x v="46"/>
    </i>
    <i r="2">
      <x v="83"/>
      <x/>
      <x v="1"/>
      <x v="42"/>
    </i>
    <i r="1">
      <x v="12"/>
      <x v="84"/>
      <x v="1"/>
      <x v="2"/>
      <x v="47"/>
    </i>
    <i r="2">
      <x v="85"/>
      <x v="1"/>
      <x v="2"/>
      <x v="47"/>
    </i>
    <i r="2">
      <x v="86"/>
      <x v="1"/>
      <x v="2"/>
      <x v="47"/>
    </i>
    <i r="2">
      <x v="87"/>
      <x v="1"/>
      <x v="2"/>
      <x v="47"/>
    </i>
    <i r="2">
      <x v="88"/>
      <x v="1"/>
      <x v="2"/>
      <x v="47"/>
    </i>
    <i r="2">
      <x v="89"/>
      <x v="1"/>
      <x v="2"/>
      <x v="47"/>
    </i>
    <i r="2">
      <x v="90"/>
      <x v="1"/>
      <x v="2"/>
      <x v="47"/>
    </i>
    <i r="2">
      <x v="91"/>
      <x/>
      <x v="3"/>
      <x v="48"/>
    </i>
    <i r="1">
      <x v="13"/>
      <x v="92"/>
      <x v="1"/>
      <x v="2"/>
      <x v="49"/>
    </i>
    <i r="2">
      <x v="93"/>
      <x v="1"/>
      <x v="2"/>
      <x v="50"/>
    </i>
    <i r="2">
      <x v="94"/>
      <x/>
      <x v="1"/>
      <x v="51"/>
    </i>
    <i r="2">
      <x v="95"/>
      <x v="1"/>
      <x v="2"/>
      <x v="52"/>
    </i>
    <i r="2">
      <x v="96"/>
      <x v="1"/>
      <x v="2"/>
      <x v="50"/>
    </i>
    <i r="2">
      <x v="97"/>
      <x/>
      <x v="3"/>
      <x v="53"/>
    </i>
    <i r="2">
      <x v="98"/>
      <x/>
      <x v="3"/>
      <x v="54"/>
    </i>
    <i r="1">
      <x v="14"/>
      <x v="99"/>
      <x v="1"/>
      <x/>
      <x v="55"/>
    </i>
    <i r="2">
      <x v="100"/>
      <x/>
      <x v="1"/>
      <x v="56"/>
    </i>
    <i r="2">
      <x v="101"/>
      <x/>
      <x v="2"/>
      <x v="57"/>
    </i>
    <i r="1">
      <x v="15"/>
      <x v="102"/>
      <x v="1"/>
      <x v="2"/>
      <x v="58"/>
    </i>
    <i r="2">
      <x v="103"/>
      <x/>
      <x v="1"/>
      <x v="59"/>
    </i>
    <i r="1">
      <x v="16"/>
      <x v="104"/>
      <x v="1"/>
      <x/>
      <x v="60"/>
    </i>
    <i r="2">
      <x v="105"/>
      <x/>
      <x v="2"/>
      <x v="61"/>
    </i>
    <i r="2">
      <x v="106"/>
      <x/>
      <x/>
      <x v="60"/>
    </i>
    <i r="2">
      <x v="107"/>
      <x v="1"/>
      <x v="2"/>
      <x v="62"/>
    </i>
    <i r="2">
      <x v="108"/>
      <x/>
      <x v="2"/>
      <x v="61"/>
    </i>
    <i r="2">
      <x v="109"/>
      <x v="1"/>
      <x v="1"/>
      <x v="63"/>
    </i>
    <i r="2">
      <x v="110"/>
      <x/>
      <x v="1"/>
      <x v="64"/>
    </i>
    <i r="1">
      <x v="17"/>
      <x v="111"/>
      <x/>
      <x v="2"/>
      <x v="65"/>
    </i>
    <i r="2">
      <x v="112"/>
      <x v="1"/>
      <x/>
      <x v="66"/>
    </i>
    <i r="2">
      <x v="113"/>
      <x/>
      <x v="2"/>
      <x v="67"/>
    </i>
    <i r="2">
      <x v="114"/>
      <x v="1"/>
      <x v="2"/>
      <x v="68"/>
    </i>
    <i r="2">
      <x v="115"/>
      <x/>
      <x/>
      <x v="69"/>
    </i>
    <i r="1">
      <x v="18"/>
      <x v="116"/>
      <x/>
      <x v="1"/>
      <x v="70"/>
    </i>
    <i r="2">
      <x v="117"/>
      <x/>
      <x v="1"/>
      <x v="71"/>
    </i>
    <i r="2">
      <x v="118"/>
      <x/>
      <x v="1"/>
      <x v="71"/>
    </i>
    <i r="2">
      <x v="119"/>
      <x/>
      <x v="3"/>
      <x v="72"/>
    </i>
    <i r="2">
      <x v="120"/>
      <x v="1"/>
      <x/>
      <x v="73"/>
    </i>
    <i r="2">
      <x v="121"/>
      <x v="1"/>
      <x v="1"/>
      <x v="74"/>
    </i>
    <i r="1">
      <x v="19"/>
      <x v="122"/>
      <x/>
      <x v="1"/>
      <x v="75"/>
    </i>
    <i r="2">
      <x v="123"/>
      <x v="1"/>
      <x/>
      <x v="76"/>
    </i>
    <i r="2">
      <x v="124"/>
      <x v="1"/>
      <x v="2"/>
      <x v="77"/>
    </i>
    <i r="2">
      <x v="125"/>
      <x v="1"/>
      <x v="2"/>
      <x v="78"/>
    </i>
    <i r="2">
      <x v="126"/>
      <x/>
      <x/>
      <x v="76"/>
    </i>
    <i r="2">
      <x v="127"/>
      <x/>
      <x/>
      <x v="76"/>
    </i>
    <i r="2">
      <x v="128"/>
      <x v="1"/>
      <x/>
      <x v="76"/>
    </i>
    <i r="2">
      <x v="129"/>
      <x v="1"/>
      <x/>
      <x v="76"/>
    </i>
    <i r="2">
      <x v="130"/>
      <x v="1"/>
      <x/>
      <x v="76"/>
    </i>
    <i r="2">
      <x v="131"/>
      <x v="1"/>
      <x/>
      <x v="79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field="2" type="button" dataOnly="0" labelOnly="1" outline="0" axis="axisRow" fieldPosition="1"/>
    </format>
    <format dxfId="190">
      <pivotArea field="1" type="button" dataOnly="0" labelOnly="1" outline="0" axis="axisRow" fieldPosition="2"/>
    </format>
    <format dxfId="189">
      <pivotArea field="8" type="button" dataOnly="0" labelOnly="1" outline="0" axis="axisRow" fieldPosition="3"/>
    </format>
    <format dxfId="188">
      <pivotArea field="4" type="button" dataOnly="0" labelOnly="1" outline="0" axis="axisRow" fieldPosition="4"/>
    </format>
    <format dxfId="187">
      <pivotArea field="3" type="button" dataOnly="0" labelOnly="1" outline="0" axis="axisRow" fieldPosition="5"/>
    </format>
    <format dxfId="1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5">
      <pivotArea field="0" type="button" dataOnly="0" labelOnly="1" outline="0" axis="axisRow" fieldPosition="0"/>
    </format>
    <format dxfId="184">
      <pivotArea field="2" type="button" dataOnly="0" labelOnly="1" outline="0" axis="axisRow" fieldPosition="1"/>
    </format>
    <format dxfId="183">
      <pivotArea field="1" type="button" dataOnly="0" labelOnly="1" outline="0" axis="axisRow" fieldPosition="2"/>
    </format>
    <format dxfId="182">
      <pivotArea field="8" type="button" dataOnly="0" labelOnly="1" outline="0" axis="axisRow" fieldPosition="3"/>
    </format>
    <format dxfId="181">
      <pivotArea field="4" type="button" dataOnly="0" labelOnly="1" outline="0" axis="axisRow" fieldPosition="4"/>
    </format>
    <format dxfId="180">
      <pivotArea field="3" type="button" dataOnly="0" labelOnly="1" outline="0" axis="axisRow" fieldPosition="5"/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0" type="button" dataOnly="0" labelOnly="1" outline="0" axis="axisRow" fieldPosition="0"/>
    </format>
    <format dxfId="177">
      <pivotArea field="2" type="button" dataOnly="0" labelOnly="1" outline="0" axis="axisRow" fieldPosition="1"/>
    </format>
    <format dxfId="176">
      <pivotArea field="1" type="button" dataOnly="0" labelOnly="1" outline="0" axis="axisRow" fieldPosition="2"/>
    </format>
    <format dxfId="175">
      <pivotArea field="8" type="button" dataOnly="0" labelOnly="1" outline="0" axis="axisRow" fieldPosition="3"/>
    </format>
    <format dxfId="174">
      <pivotArea field="4" type="button" dataOnly="0" labelOnly="1" outline="0" axis="axisRow" fieldPosition="4"/>
    </format>
    <format dxfId="173">
      <pivotArea field="3" type="button" dataOnly="0" labelOnly="1" outline="0" axis="axisRow" fieldPosition="5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1">
      <pivotArea field="0" type="button" dataOnly="0" labelOnly="1" outline="0" axis="axisRow" fieldPosition="0"/>
    </format>
    <format dxfId="170">
      <pivotArea field="2" type="button" dataOnly="0" labelOnly="1" outline="0" axis="axisRow" fieldPosition="1"/>
    </format>
    <format dxfId="169">
      <pivotArea field="1" type="button" dataOnly="0" labelOnly="1" outline="0" axis="axisRow" fieldPosition="2"/>
    </format>
    <format dxfId="168">
      <pivotArea field="8" type="button" dataOnly="0" labelOnly="1" outline="0" axis="axisRow" fieldPosition="3"/>
    </format>
    <format dxfId="167">
      <pivotArea field="4" type="button" dataOnly="0" labelOnly="1" outline="0" axis="axisRow" fieldPosition="4"/>
    </format>
    <format dxfId="166">
      <pivotArea field="3" type="button" dataOnly="0" labelOnly="1" outline="0" axis="axisRow" fieldPosition="5"/>
    </format>
    <format dxfId="1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field="0" type="button" dataOnly="0" labelOnly="1" outline="0" axis="axisRow" fieldPosition="0"/>
    </format>
    <format dxfId="163">
      <pivotArea field="2" type="button" dataOnly="0" labelOnly="1" outline="0" axis="axisRow" fieldPosition="1"/>
    </format>
    <format dxfId="162">
      <pivotArea field="1" type="button" dataOnly="0" labelOnly="1" outline="0" axis="axisRow" fieldPosition="2"/>
    </format>
    <format dxfId="161">
      <pivotArea field="8" type="button" dataOnly="0" labelOnly="1" outline="0" axis="axisRow" fieldPosition="3"/>
    </format>
    <format dxfId="160">
      <pivotArea field="4" type="button" dataOnly="0" labelOnly="1" outline="0" axis="axisRow" fieldPosition="4"/>
    </format>
    <format dxfId="159">
      <pivotArea field="3" type="button" dataOnly="0" labelOnly="1" outline="0" axis="axisRow" fieldPosition="5"/>
    </format>
    <format dxfId="1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6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54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7:S38" firstHeaderRow="1" firstDataRow="1" firstDataCol="1"/>
  <pivotFields count="1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139684157">
      <levels count="2">
        <level uniqueName="[Desem].[NombreFuncionario].[(All)]" sourceCaption="(All)" count="0"/>
        <level uniqueName="[Desem].[NombreFuncionario].[NombreFuncionario]" sourceCaption="NombreFuncionario" count="20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GRANDEZ]" c="J.GRANDEZ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139684157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139684157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G12" sqref="G12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15/07/2026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136</v>
      </c>
      <c r="G7" s="12">
        <f>+SUMIFS(G17:G999998,A17:A999998,202607)</f>
        <v>189.11976294896004</v>
      </c>
      <c r="H7" s="21" cm="1">
        <f t="array" ref="H7">SUMPRODUCT(G17:G1007,H17:H1007*(A17:A1007=202607))/SUMIFS(G17:G1007,A17:A1007,202607)</f>
        <v>1.4039874591600059</v>
      </c>
      <c r="I7"/>
      <c r="J7"/>
      <c r="K7"/>
    </row>
    <row r="8" spans="1:19" x14ac:dyDescent="0.3">
      <c r="F8" s="14" t="s">
        <v>137</v>
      </c>
      <c r="G8" s="6">
        <f>+IFERROR(SUMIFS(G17:G999998,A17:A999998,202608),0)</f>
        <v>0</v>
      </c>
      <c r="H8" s="21" cm="1">
        <f t="array" ref="H8">IFERROR(SUMPRODUCT(G17:G1007,H17:H1007*(A17:A1007=202608))/SUMIFS(G17:G1007,A17:A1007,202608),0)</f>
        <v>0</v>
      </c>
      <c r="I8"/>
      <c r="J8"/>
      <c r="K8"/>
    </row>
    <row r="9" spans="1:19" x14ac:dyDescent="0.3">
      <c r="F9" s="14" t="s">
        <v>138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+F7 &amp; " Simulado"</f>
        <v>Julio Simulado</v>
      </c>
      <c r="G10" s="6">
        <f>+G7+SUM(J17:J999998)</f>
        <v>192.11976294896004</v>
      </c>
      <c r="H10" s="21">
        <f>+IFERROR(((G7*H7)+(SUM(J17:J1007)*(SUMPRODUCT(J17:J1007,K17:K1007)/SUM(J17:J1007))))/(G7+SUM(J17:J1007)),H7)</f>
        <v>1.3851868822592339</v>
      </c>
      <c r="I10"/>
      <c r="J10"/>
      <c r="K10"/>
    </row>
    <row r="11" spans="1:19" x14ac:dyDescent="0.3">
      <c r="F11" s="13" t="s">
        <v>4</v>
      </c>
      <c r="G11" s="6">
        <f>+SUM(G17:G999998)</f>
        <v>189.11976294896004</v>
      </c>
      <c r="H11" s="21">
        <f>+SUMPRODUCT(G17:G1007,H17:H1007)/SUM(G17:G1007)</f>
        <v>1.4039874591600059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192.11976294896004</v>
      </c>
      <c r="H12" s="21">
        <f>+IFERROR(((G11*H11)+(SUM(J17:J1007)*(SUMPRODUCT(J17:J1007,K17:K1007)/SUM(J17:J1007))))/(G11+SUM(J17:J1007)),H11)</f>
        <v>1.3851868822592339</v>
      </c>
      <c r="I12"/>
      <c r="J12"/>
      <c r="K12"/>
      <c r="S12" t="s">
        <v>118</v>
      </c>
    </row>
    <row r="13" spans="1:19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119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55</v>
      </c>
      <c r="C18">
        <v>1764780050</v>
      </c>
      <c r="D18" t="s">
        <v>18</v>
      </c>
      <c r="E18" t="s">
        <v>24</v>
      </c>
      <c r="F18" t="s">
        <v>65</v>
      </c>
      <c r="G18" s="8">
        <v>0.17258443395</v>
      </c>
      <c r="H18" s="26">
        <v>2.74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55</v>
      </c>
      <c r="C19">
        <v>1768856150</v>
      </c>
      <c r="D19" t="s">
        <v>18</v>
      </c>
      <c r="E19" t="s">
        <v>19</v>
      </c>
      <c r="F19" t="s">
        <v>63</v>
      </c>
      <c r="G19" s="8">
        <v>1.0206</v>
      </c>
      <c r="H19" s="26">
        <v>1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30</v>
      </c>
      <c r="C20">
        <v>1764742540</v>
      </c>
      <c r="D20" t="s">
        <v>18</v>
      </c>
      <c r="E20" t="s">
        <v>34</v>
      </c>
      <c r="F20" t="s">
        <v>109</v>
      </c>
      <c r="G20" s="8">
        <v>0.229630053</v>
      </c>
      <c r="H20" s="26">
        <v>2.85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30</v>
      </c>
      <c r="C21">
        <v>1768858497</v>
      </c>
      <c r="D21" t="s">
        <v>18</v>
      </c>
      <c r="E21" t="s">
        <v>24</v>
      </c>
      <c r="F21" t="s">
        <v>98</v>
      </c>
      <c r="G21" s="8">
        <v>0.6804</v>
      </c>
      <c r="H21" s="26">
        <v>1.03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30</v>
      </c>
      <c r="C22">
        <v>1768866295</v>
      </c>
      <c r="D22" t="s">
        <v>23</v>
      </c>
      <c r="E22" t="s">
        <v>19</v>
      </c>
      <c r="F22" t="s">
        <v>120</v>
      </c>
      <c r="G22" s="8">
        <v>1</v>
      </c>
      <c r="H22" s="26">
        <v>0.35</v>
      </c>
      <c r="J22" s="9"/>
      <c r="K22" s="9"/>
      <c r="S22" s="2" t="s">
        <v>25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30</v>
      </c>
      <c r="C23">
        <v>1768867003</v>
      </c>
      <c r="D23" t="s">
        <v>23</v>
      </c>
      <c r="E23" t="s">
        <v>19</v>
      </c>
      <c r="F23" t="s">
        <v>120</v>
      </c>
      <c r="G23" s="8">
        <v>1</v>
      </c>
      <c r="H23" s="26">
        <v>0.35</v>
      </c>
      <c r="J23" s="9"/>
      <c r="K23" s="9"/>
      <c r="S23" s="2" t="s">
        <v>36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30</v>
      </c>
      <c r="C24">
        <v>1768882370</v>
      </c>
      <c r="D24" t="s">
        <v>23</v>
      </c>
      <c r="E24" t="s">
        <v>19</v>
      </c>
      <c r="F24" t="s">
        <v>68</v>
      </c>
      <c r="G24" s="8">
        <v>0.63200000000000001</v>
      </c>
      <c r="H24" s="26">
        <v>3.65</v>
      </c>
      <c r="J24" s="9"/>
      <c r="K24" s="9"/>
      <c r="S24" s="2" t="s">
        <v>117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30</v>
      </c>
      <c r="C25">
        <v>1768888612</v>
      </c>
      <c r="D25" t="s">
        <v>23</v>
      </c>
      <c r="E25" t="s">
        <v>34</v>
      </c>
      <c r="F25" t="s">
        <v>68</v>
      </c>
      <c r="G25" s="8">
        <v>0.36991934000000004</v>
      </c>
      <c r="H25" s="26">
        <v>4.38</v>
      </c>
      <c r="J25" s="9"/>
      <c r="K25" s="9"/>
      <c r="S25" s="2" t="s">
        <v>37</v>
      </c>
      <c r="U25" t="s">
        <v>36</v>
      </c>
      <c r="V25">
        <v>1.4</v>
      </c>
    </row>
    <row r="26" spans="1:22" x14ac:dyDescent="0.3">
      <c r="A26">
        <v>202607</v>
      </c>
      <c r="B26" t="s">
        <v>30</v>
      </c>
      <c r="C26">
        <v>1768905282</v>
      </c>
      <c r="D26" t="s">
        <v>23</v>
      </c>
      <c r="E26" t="s">
        <v>24</v>
      </c>
      <c r="F26" t="s">
        <v>69</v>
      </c>
      <c r="G26" s="8">
        <v>0.17</v>
      </c>
      <c r="H26" s="26">
        <v>3</v>
      </c>
      <c r="J26" s="9"/>
      <c r="K26" s="9"/>
      <c r="S26" s="2" t="s">
        <v>38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30</v>
      </c>
      <c r="C27">
        <v>1768905363</v>
      </c>
      <c r="D27" t="s">
        <v>18</v>
      </c>
      <c r="E27" t="s">
        <v>19</v>
      </c>
      <c r="F27" t="s">
        <v>121</v>
      </c>
      <c r="G27" s="8">
        <v>0.67720000000000002</v>
      </c>
      <c r="H27" s="26">
        <v>3.4</v>
      </c>
      <c r="J27" s="9"/>
      <c r="K27" s="9"/>
      <c r="S27" s="2" t="s">
        <v>32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96</v>
      </c>
      <c r="C28">
        <v>1764734360</v>
      </c>
      <c r="D28" t="s">
        <v>18</v>
      </c>
      <c r="E28" t="s">
        <v>34</v>
      </c>
      <c r="F28" t="s">
        <v>122</v>
      </c>
      <c r="G28" s="8">
        <v>2.8933468590000001E-2</v>
      </c>
      <c r="H28" s="26">
        <v>9</v>
      </c>
      <c r="J28" s="9"/>
      <c r="K28" s="9"/>
      <c r="S28" s="2" t="s">
        <v>33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96</v>
      </c>
      <c r="C29">
        <v>1764736656</v>
      </c>
      <c r="D29" t="s">
        <v>23</v>
      </c>
      <c r="E29" t="s">
        <v>34</v>
      </c>
      <c r="F29" t="s">
        <v>122</v>
      </c>
      <c r="G29" s="8">
        <v>7.9499559999999997E-2</v>
      </c>
      <c r="H29" s="26">
        <v>9.15</v>
      </c>
      <c r="S29" s="2" t="s">
        <v>107</v>
      </c>
      <c r="U29" t="s">
        <v>26</v>
      </c>
      <c r="V29">
        <v>1.55</v>
      </c>
    </row>
    <row r="30" spans="1:22" x14ac:dyDescent="0.3">
      <c r="A30">
        <v>202607</v>
      </c>
      <c r="B30" t="s">
        <v>96</v>
      </c>
      <c r="C30">
        <v>1768850534</v>
      </c>
      <c r="D30" t="s">
        <v>18</v>
      </c>
      <c r="E30" t="s">
        <v>34</v>
      </c>
      <c r="F30" t="s">
        <v>122</v>
      </c>
      <c r="G30" s="8">
        <v>1.1510590770000001E-2</v>
      </c>
      <c r="H30" s="26">
        <v>9.4</v>
      </c>
      <c r="S30" s="2" t="s">
        <v>41</v>
      </c>
      <c r="U30" t="s">
        <v>28</v>
      </c>
      <c r="V30">
        <v>1.6</v>
      </c>
    </row>
    <row r="31" spans="1:22" x14ac:dyDescent="0.3">
      <c r="A31">
        <v>202607</v>
      </c>
      <c r="B31" t="s">
        <v>96</v>
      </c>
      <c r="C31">
        <v>1768854017</v>
      </c>
      <c r="D31" t="s">
        <v>23</v>
      </c>
      <c r="E31" t="s">
        <v>34</v>
      </c>
      <c r="F31" t="s">
        <v>122</v>
      </c>
      <c r="G31" s="8">
        <v>3.1022209999999998E-2</v>
      </c>
      <c r="H31" s="26">
        <v>9.15</v>
      </c>
      <c r="S31" s="2" t="s">
        <v>27</v>
      </c>
      <c r="U31" t="s">
        <v>30</v>
      </c>
      <c r="V31">
        <v>1.75</v>
      </c>
    </row>
    <row r="32" spans="1:22" x14ac:dyDescent="0.3">
      <c r="A32">
        <v>202607</v>
      </c>
      <c r="B32" t="s">
        <v>25</v>
      </c>
      <c r="C32">
        <v>1764737318</v>
      </c>
      <c r="D32" t="s">
        <v>23</v>
      </c>
      <c r="E32" t="s">
        <v>19</v>
      </c>
      <c r="F32" t="s">
        <v>99</v>
      </c>
      <c r="G32" s="8">
        <v>4.0999999999999996</v>
      </c>
      <c r="H32" s="26">
        <v>0.4</v>
      </c>
      <c r="S32" s="2" t="s">
        <v>114</v>
      </c>
      <c r="U32" t="s">
        <v>38</v>
      </c>
      <c r="V32">
        <v>2.4</v>
      </c>
    </row>
    <row r="33" spans="1:19" x14ac:dyDescent="0.3">
      <c r="A33">
        <v>202607</v>
      </c>
      <c r="B33" t="s">
        <v>25</v>
      </c>
      <c r="C33">
        <v>1764777610</v>
      </c>
      <c r="D33" t="s">
        <v>18</v>
      </c>
      <c r="E33" t="s">
        <v>24</v>
      </c>
      <c r="F33" t="s">
        <v>72</v>
      </c>
      <c r="G33" s="8">
        <v>2.7240000000000002</v>
      </c>
      <c r="H33" s="26">
        <v>3.9</v>
      </c>
      <c r="S33" s="2" t="s">
        <v>56</v>
      </c>
    </row>
    <row r="34" spans="1:19" x14ac:dyDescent="0.3">
      <c r="A34">
        <v>202607</v>
      </c>
      <c r="B34" t="s">
        <v>25</v>
      </c>
      <c r="C34">
        <v>1764777646</v>
      </c>
      <c r="D34" t="s">
        <v>18</v>
      </c>
      <c r="E34" t="s">
        <v>24</v>
      </c>
      <c r="F34" t="s">
        <v>72</v>
      </c>
      <c r="G34" s="8">
        <v>2.0430000000000001</v>
      </c>
      <c r="H34" s="26">
        <v>3.9</v>
      </c>
      <c r="S34" s="2" t="s">
        <v>115</v>
      </c>
    </row>
    <row r="35" spans="1:19" x14ac:dyDescent="0.3">
      <c r="A35">
        <v>202607</v>
      </c>
      <c r="B35" t="s">
        <v>25</v>
      </c>
      <c r="C35">
        <v>1768832994</v>
      </c>
      <c r="D35" t="s">
        <v>18</v>
      </c>
      <c r="E35" t="s">
        <v>24</v>
      </c>
      <c r="F35" t="s">
        <v>123</v>
      </c>
      <c r="G35" s="8">
        <v>1.73655</v>
      </c>
      <c r="H35" s="26">
        <v>1.1000000000000001</v>
      </c>
      <c r="S35" s="2" t="s">
        <v>40</v>
      </c>
    </row>
    <row r="36" spans="1:19" x14ac:dyDescent="0.3">
      <c r="A36">
        <v>202607</v>
      </c>
      <c r="B36" t="s">
        <v>25</v>
      </c>
      <c r="C36">
        <v>1768833095</v>
      </c>
      <c r="D36" t="s">
        <v>18</v>
      </c>
      <c r="E36" t="s">
        <v>24</v>
      </c>
      <c r="F36" t="s">
        <v>123</v>
      </c>
      <c r="G36" s="8">
        <v>0.98745000000000005</v>
      </c>
      <c r="H36" s="26">
        <v>1.1000000000000001</v>
      </c>
      <c r="S36" s="2" t="s">
        <v>116</v>
      </c>
    </row>
    <row r="37" spans="1:19" x14ac:dyDescent="0.3">
      <c r="A37">
        <v>202607</v>
      </c>
      <c r="B37" t="s">
        <v>25</v>
      </c>
      <c r="C37">
        <v>1768843970</v>
      </c>
      <c r="D37" t="s">
        <v>23</v>
      </c>
      <c r="E37" t="s">
        <v>19</v>
      </c>
      <c r="F37" t="s">
        <v>90</v>
      </c>
      <c r="G37" s="8">
        <v>5.7050000000000001</v>
      </c>
      <c r="H37" s="26">
        <v>2.75</v>
      </c>
      <c r="S37" s="2" t="s">
        <v>42</v>
      </c>
    </row>
    <row r="38" spans="1:19" x14ac:dyDescent="0.3">
      <c r="A38">
        <v>202607</v>
      </c>
      <c r="B38" t="s">
        <v>25</v>
      </c>
      <c r="C38">
        <v>1768844062</v>
      </c>
      <c r="D38" t="s">
        <v>23</v>
      </c>
      <c r="E38" t="s">
        <v>19</v>
      </c>
      <c r="F38" t="s">
        <v>90</v>
      </c>
      <c r="G38" s="8">
        <v>6.0949999999999998</v>
      </c>
      <c r="H38" s="26">
        <v>2.75</v>
      </c>
      <c r="S38" s="2" t="s">
        <v>43</v>
      </c>
    </row>
    <row r="39" spans="1:19" x14ac:dyDescent="0.3">
      <c r="A39">
        <v>202607</v>
      </c>
      <c r="B39" t="s">
        <v>25</v>
      </c>
      <c r="C39">
        <v>1768854327</v>
      </c>
      <c r="D39" t="s">
        <v>18</v>
      </c>
      <c r="E39" t="s">
        <v>24</v>
      </c>
      <c r="F39" t="s">
        <v>124</v>
      </c>
      <c r="G39" s="8">
        <v>0.36958147506000005</v>
      </c>
      <c r="H39" s="26">
        <v>2</v>
      </c>
    </row>
    <row r="40" spans="1:19" x14ac:dyDescent="0.3">
      <c r="A40">
        <v>202607</v>
      </c>
      <c r="B40" t="s">
        <v>25</v>
      </c>
      <c r="C40">
        <v>1768855366</v>
      </c>
      <c r="D40" t="s">
        <v>18</v>
      </c>
      <c r="E40" t="s">
        <v>24</v>
      </c>
      <c r="F40" t="s">
        <v>73</v>
      </c>
      <c r="G40" s="8">
        <v>0.28554778853999996</v>
      </c>
      <c r="H40" s="26">
        <v>2.9</v>
      </c>
    </row>
    <row r="41" spans="1:19" x14ac:dyDescent="0.3">
      <c r="A41">
        <v>202607</v>
      </c>
      <c r="B41" t="s">
        <v>25</v>
      </c>
      <c r="C41">
        <v>1768855463</v>
      </c>
      <c r="D41" t="s">
        <v>18</v>
      </c>
      <c r="E41" t="s">
        <v>24</v>
      </c>
      <c r="F41" t="s">
        <v>124</v>
      </c>
      <c r="G41" s="8">
        <v>0.73916295012000011</v>
      </c>
      <c r="H41" s="26">
        <v>2.15</v>
      </c>
    </row>
    <row r="42" spans="1:19" x14ac:dyDescent="0.3">
      <c r="A42">
        <v>202607</v>
      </c>
      <c r="B42" t="s">
        <v>25</v>
      </c>
      <c r="C42">
        <v>1768856370</v>
      </c>
      <c r="D42" t="s">
        <v>23</v>
      </c>
      <c r="E42" t="s">
        <v>19</v>
      </c>
      <c r="F42" t="s">
        <v>103</v>
      </c>
      <c r="G42" s="8">
        <v>1.7</v>
      </c>
      <c r="H42" s="26">
        <v>0.6</v>
      </c>
    </row>
    <row r="43" spans="1:19" x14ac:dyDescent="0.3">
      <c r="A43">
        <v>202607</v>
      </c>
      <c r="B43" t="s">
        <v>25</v>
      </c>
      <c r="C43">
        <v>1768858720</v>
      </c>
      <c r="D43" t="s">
        <v>18</v>
      </c>
      <c r="E43" t="s">
        <v>34</v>
      </c>
      <c r="F43" t="s">
        <v>111</v>
      </c>
      <c r="G43" s="8">
        <v>9.2259654479999995E-2</v>
      </c>
      <c r="H43" s="26">
        <v>2.75</v>
      </c>
    </row>
    <row r="44" spans="1:19" x14ac:dyDescent="0.3">
      <c r="A44">
        <v>202607</v>
      </c>
      <c r="B44" t="s">
        <v>25</v>
      </c>
      <c r="C44">
        <v>1768869677</v>
      </c>
      <c r="D44" t="s">
        <v>18</v>
      </c>
      <c r="E44" t="s">
        <v>34</v>
      </c>
      <c r="F44" t="s">
        <v>111</v>
      </c>
      <c r="G44" s="8">
        <v>1.9936691190000001E-2</v>
      </c>
      <c r="H44" s="26">
        <v>2.75</v>
      </c>
    </row>
    <row r="45" spans="1:19" x14ac:dyDescent="0.3">
      <c r="A45">
        <v>202607</v>
      </c>
      <c r="B45" t="s">
        <v>25</v>
      </c>
      <c r="C45">
        <v>1768892903</v>
      </c>
      <c r="D45" t="s">
        <v>18</v>
      </c>
      <c r="E45" t="s">
        <v>24</v>
      </c>
      <c r="F45" t="s">
        <v>124</v>
      </c>
      <c r="G45" s="8">
        <v>0.5411210112</v>
      </c>
      <c r="H45" s="26">
        <v>2</v>
      </c>
    </row>
    <row r="46" spans="1:19" x14ac:dyDescent="0.3">
      <c r="A46">
        <v>202607</v>
      </c>
      <c r="B46" t="s">
        <v>25</v>
      </c>
      <c r="C46">
        <v>1768892910</v>
      </c>
      <c r="D46" t="s">
        <v>18</v>
      </c>
      <c r="E46" t="s">
        <v>24</v>
      </c>
      <c r="F46" t="s">
        <v>124</v>
      </c>
      <c r="G46" s="8">
        <v>1.90733598208</v>
      </c>
      <c r="H46" s="26">
        <v>2</v>
      </c>
    </row>
    <row r="47" spans="1:19" x14ac:dyDescent="0.3">
      <c r="A47">
        <v>202607</v>
      </c>
      <c r="B47" t="s">
        <v>25</v>
      </c>
      <c r="C47">
        <v>1768903743</v>
      </c>
      <c r="D47" t="s">
        <v>23</v>
      </c>
      <c r="E47" t="s">
        <v>19</v>
      </c>
      <c r="F47" t="s">
        <v>74</v>
      </c>
      <c r="G47" s="8">
        <v>3</v>
      </c>
      <c r="H47" s="26">
        <v>0.35</v>
      </c>
    </row>
    <row r="48" spans="1:19" x14ac:dyDescent="0.3">
      <c r="A48">
        <v>202607</v>
      </c>
      <c r="B48" t="s">
        <v>36</v>
      </c>
      <c r="C48">
        <v>1764734475</v>
      </c>
      <c r="D48" t="s">
        <v>23</v>
      </c>
      <c r="E48" t="s">
        <v>19</v>
      </c>
      <c r="F48" t="s">
        <v>97</v>
      </c>
      <c r="G48" s="8">
        <v>0.5</v>
      </c>
      <c r="H48" s="26">
        <v>2.9</v>
      </c>
    </row>
    <row r="49" spans="1:8" x14ac:dyDescent="0.3">
      <c r="A49">
        <v>202607</v>
      </c>
      <c r="B49" t="s">
        <v>36</v>
      </c>
      <c r="C49">
        <v>1764757939</v>
      </c>
      <c r="D49" t="s">
        <v>18</v>
      </c>
      <c r="E49" t="s">
        <v>19</v>
      </c>
      <c r="F49" t="s">
        <v>110</v>
      </c>
      <c r="G49" s="8">
        <v>1.6990000000000001</v>
      </c>
      <c r="H49" s="26">
        <v>1.8</v>
      </c>
    </row>
    <row r="50" spans="1:8" x14ac:dyDescent="0.3">
      <c r="A50">
        <v>202607</v>
      </c>
      <c r="B50" t="s">
        <v>36</v>
      </c>
      <c r="C50">
        <v>1768826730</v>
      </c>
      <c r="D50" t="s">
        <v>23</v>
      </c>
      <c r="E50" t="s">
        <v>34</v>
      </c>
      <c r="F50" t="s">
        <v>44</v>
      </c>
      <c r="G50" s="8">
        <v>6.3906459999999998E-2</v>
      </c>
      <c r="H50" s="26">
        <v>2.15</v>
      </c>
    </row>
    <row r="51" spans="1:8" x14ac:dyDescent="0.3">
      <c r="A51">
        <v>202607</v>
      </c>
      <c r="B51" t="s">
        <v>36</v>
      </c>
      <c r="C51">
        <v>1768833257</v>
      </c>
      <c r="D51" t="s">
        <v>23</v>
      </c>
      <c r="E51" t="s">
        <v>19</v>
      </c>
      <c r="F51" t="s">
        <v>97</v>
      </c>
      <c r="G51" s="8">
        <v>0.5</v>
      </c>
      <c r="H51" s="26">
        <v>2.9</v>
      </c>
    </row>
    <row r="52" spans="1:8" x14ac:dyDescent="0.3">
      <c r="A52">
        <v>202607</v>
      </c>
      <c r="B52" t="s">
        <v>36</v>
      </c>
      <c r="C52">
        <v>1768850585</v>
      </c>
      <c r="D52" t="s">
        <v>18</v>
      </c>
      <c r="E52" t="s">
        <v>34</v>
      </c>
      <c r="F52" t="s">
        <v>44</v>
      </c>
      <c r="G52" s="8">
        <v>0.21691627223000001</v>
      </c>
      <c r="H52" s="26">
        <v>2.38</v>
      </c>
    </row>
    <row r="53" spans="1:8" x14ac:dyDescent="0.3">
      <c r="A53">
        <v>202607</v>
      </c>
      <c r="B53" t="s">
        <v>117</v>
      </c>
      <c r="C53">
        <v>1764741510</v>
      </c>
      <c r="D53" t="s">
        <v>18</v>
      </c>
      <c r="E53" t="s">
        <v>34</v>
      </c>
      <c r="F53" t="s">
        <v>94</v>
      </c>
      <c r="G53" s="8">
        <v>8.5553670999999993E-4</v>
      </c>
      <c r="H53" s="26">
        <v>15</v>
      </c>
    </row>
    <row r="54" spans="1:8" x14ac:dyDescent="0.3">
      <c r="A54">
        <v>202607</v>
      </c>
      <c r="B54" t="s">
        <v>117</v>
      </c>
      <c r="C54">
        <v>1764757238</v>
      </c>
      <c r="D54" t="s">
        <v>18</v>
      </c>
      <c r="E54" t="s">
        <v>34</v>
      </c>
      <c r="F54" t="s">
        <v>94</v>
      </c>
      <c r="G54" s="8">
        <v>1.03754532E-3</v>
      </c>
      <c r="H54" s="26">
        <v>14.65</v>
      </c>
    </row>
    <row r="55" spans="1:8" x14ac:dyDescent="0.3">
      <c r="A55">
        <v>202607</v>
      </c>
      <c r="B55" t="s">
        <v>117</v>
      </c>
      <c r="C55">
        <v>1764761952</v>
      </c>
      <c r="D55" t="s">
        <v>23</v>
      </c>
      <c r="E55" t="s">
        <v>34</v>
      </c>
      <c r="F55" t="s">
        <v>100</v>
      </c>
      <c r="G55" s="8">
        <v>0.14020635999999997</v>
      </c>
      <c r="H55" s="26">
        <v>8.85</v>
      </c>
    </row>
    <row r="56" spans="1:8" x14ac:dyDescent="0.3">
      <c r="A56">
        <v>202607</v>
      </c>
      <c r="B56" t="s">
        <v>37</v>
      </c>
      <c r="C56">
        <v>1764747917</v>
      </c>
      <c r="D56" t="s">
        <v>18</v>
      </c>
      <c r="E56" t="s">
        <v>24</v>
      </c>
      <c r="F56" t="s">
        <v>45</v>
      </c>
      <c r="G56" s="8">
        <v>0.17030000000000001</v>
      </c>
      <c r="H56" s="26">
        <v>5.35</v>
      </c>
    </row>
    <row r="57" spans="1:8" x14ac:dyDescent="0.3">
      <c r="A57">
        <v>202607</v>
      </c>
      <c r="B57" t="s">
        <v>37</v>
      </c>
      <c r="C57">
        <v>1764760972</v>
      </c>
      <c r="D57" t="s">
        <v>18</v>
      </c>
      <c r="E57" t="s">
        <v>34</v>
      </c>
      <c r="F57" t="s">
        <v>101</v>
      </c>
      <c r="G57" s="8">
        <v>0.92468751201999999</v>
      </c>
      <c r="H57" s="26">
        <v>2.65</v>
      </c>
    </row>
    <row r="58" spans="1:8" x14ac:dyDescent="0.3">
      <c r="A58">
        <v>202607</v>
      </c>
      <c r="B58" t="s">
        <v>37</v>
      </c>
      <c r="C58">
        <v>1764764528</v>
      </c>
      <c r="D58" t="s">
        <v>18</v>
      </c>
      <c r="E58" t="s">
        <v>24</v>
      </c>
      <c r="F58" t="s">
        <v>125</v>
      </c>
      <c r="G58" s="8">
        <v>1.6990000000000001</v>
      </c>
      <c r="H58" s="26">
        <v>0.8</v>
      </c>
    </row>
    <row r="59" spans="1:8" x14ac:dyDescent="0.3">
      <c r="A59">
        <v>202607</v>
      </c>
      <c r="B59" t="s">
        <v>37</v>
      </c>
      <c r="C59">
        <v>1768838135</v>
      </c>
      <c r="D59" t="s">
        <v>18</v>
      </c>
      <c r="E59" t="s">
        <v>24</v>
      </c>
      <c r="F59" t="s">
        <v>47</v>
      </c>
      <c r="G59" s="8">
        <v>0.29385987629999999</v>
      </c>
      <c r="H59" s="26">
        <v>2.35</v>
      </c>
    </row>
    <row r="60" spans="1:8" x14ac:dyDescent="0.3">
      <c r="A60">
        <v>202607</v>
      </c>
      <c r="B60" t="s">
        <v>37</v>
      </c>
      <c r="C60">
        <v>1768844150</v>
      </c>
      <c r="D60" t="s">
        <v>18</v>
      </c>
      <c r="E60" t="s">
        <v>24</v>
      </c>
      <c r="F60" t="s">
        <v>57</v>
      </c>
      <c r="G60" s="8">
        <v>1.3635999999999999</v>
      </c>
      <c r="H60" s="26">
        <v>1.9</v>
      </c>
    </row>
    <row r="61" spans="1:8" x14ac:dyDescent="0.3">
      <c r="A61">
        <v>202607</v>
      </c>
      <c r="B61" t="s">
        <v>37</v>
      </c>
      <c r="C61">
        <v>1768855447</v>
      </c>
      <c r="D61" t="s">
        <v>23</v>
      </c>
      <c r="E61" t="s">
        <v>19</v>
      </c>
      <c r="F61" t="s">
        <v>126</v>
      </c>
      <c r="G61" s="8">
        <v>4</v>
      </c>
      <c r="H61" s="26">
        <v>1.3</v>
      </c>
    </row>
    <row r="62" spans="1:8" x14ac:dyDescent="0.3">
      <c r="A62">
        <v>202607</v>
      </c>
      <c r="B62" t="s">
        <v>37</v>
      </c>
      <c r="C62">
        <v>1768857547</v>
      </c>
      <c r="D62" t="s">
        <v>18</v>
      </c>
      <c r="E62" t="s">
        <v>24</v>
      </c>
      <c r="F62" t="s">
        <v>45</v>
      </c>
      <c r="G62" s="8">
        <v>0.3402</v>
      </c>
      <c r="H62" s="26">
        <v>5.35</v>
      </c>
    </row>
    <row r="63" spans="1:8" x14ac:dyDescent="0.3">
      <c r="A63">
        <v>202607</v>
      </c>
      <c r="B63" t="s">
        <v>37</v>
      </c>
      <c r="C63">
        <v>1768881464</v>
      </c>
      <c r="D63" t="s">
        <v>18</v>
      </c>
      <c r="E63" t="s">
        <v>24</v>
      </c>
      <c r="F63" t="s">
        <v>45</v>
      </c>
      <c r="G63" s="8">
        <v>6.8000000000000005E-2</v>
      </c>
      <c r="H63" s="26">
        <v>5.45</v>
      </c>
    </row>
    <row r="64" spans="1:8" x14ac:dyDescent="0.3">
      <c r="A64">
        <v>202607</v>
      </c>
      <c r="B64" t="s">
        <v>37</v>
      </c>
      <c r="C64">
        <v>1768900124</v>
      </c>
      <c r="D64" t="s">
        <v>18</v>
      </c>
      <c r="E64" t="s">
        <v>24</v>
      </c>
      <c r="F64" t="s">
        <v>45</v>
      </c>
      <c r="G64" s="8">
        <v>0.23702000000000001</v>
      </c>
      <c r="H64" s="26">
        <v>5.45</v>
      </c>
    </row>
    <row r="65" spans="1:8" x14ac:dyDescent="0.3">
      <c r="A65">
        <v>202607</v>
      </c>
      <c r="B65" t="s">
        <v>37</v>
      </c>
      <c r="C65">
        <v>1768900760</v>
      </c>
      <c r="D65" t="s">
        <v>23</v>
      </c>
      <c r="E65" t="s">
        <v>24</v>
      </c>
      <c r="F65" t="s">
        <v>46</v>
      </c>
      <c r="G65" s="8">
        <v>3.1E-2</v>
      </c>
      <c r="H65" s="26">
        <v>4.3</v>
      </c>
    </row>
    <row r="66" spans="1:8" x14ac:dyDescent="0.3">
      <c r="A66">
        <v>202607</v>
      </c>
      <c r="B66" t="s">
        <v>37</v>
      </c>
      <c r="C66">
        <v>1768900990</v>
      </c>
      <c r="D66" t="s">
        <v>23</v>
      </c>
      <c r="E66" t="s">
        <v>24</v>
      </c>
      <c r="F66" t="s">
        <v>46</v>
      </c>
      <c r="G66" s="8">
        <v>4.2999999999999997E-2</v>
      </c>
      <c r="H66" s="26">
        <v>4.3</v>
      </c>
    </row>
    <row r="67" spans="1:8" x14ac:dyDescent="0.3">
      <c r="A67">
        <v>202607</v>
      </c>
      <c r="B67" t="s">
        <v>37</v>
      </c>
      <c r="C67">
        <v>1768901040</v>
      </c>
      <c r="D67" t="s">
        <v>23</v>
      </c>
      <c r="E67" t="s">
        <v>24</v>
      </c>
      <c r="F67" t="s">
        <v>46</v>
      </c>
      <c r="G67" s="8">
        <v>3.5999999999999997E-2</v>
      </c>
      <c r="H67" s="26">
        <v>4.3</v>
      </c>
    </row>
    <row r="68" spans="1:8" x14ac:dyDescent="0.3">
      <c r="A68">
        <v>202607</v>
      </c>
      <c r="B68" t="s">
        <v>37</v>
      </c>
      <c r="C68">
        <v>1768904928</v>
      </c>
      <c r="D68" t="s">
        <v>18</v>
      </c>
      <c r="E68" t="s">
        <v>24</v>
      </c>
      <c r="F68" t="s">
        <v>45</v>
      </c>
      <c r="G68" s="8">
        <v>0.16930000000000001</v>
      </c>
      <c r="H68" s="26">
        <v>5.45</v>
      </c>
    </row>
    <row r="69" spans="1:8" x14ac:dyDescent="0.3">
      <c r="A69">
        <v>202607</v>
      </c>
      <c r="B69" t="s">
        <v>38</v>
      </c>
      <c r="C69">
        <v>1764767195</v>
      </c>
      <c r="D69" t="s">
        <v>18</v>
      </c>
      <c r="E69" t="s">
        <v>19</v>
      </c>
      <c r="F69" t="s">
        <v>75</v>
      </c>
      <c r="G69" s="8">
        <v>3.3980000000000003E-2</v>
      </c>
      <c r="H69" s="26">
        <v>7.85</v>
      </c>
    </row>
    <row r="70" spans="1:8" x14ac:dyDescent="0.3">
      <c r="A70">
        <v>202607</v>
      </c>
      <c r="B70" t="s">
        <v>32</v>
      </c>
      <c r="C70">
        <v>1768895694</v>
      </c>
      <c r="D70" t="s">
        <v>23</v>
      </c>
      <c r="E70" t="s">
        <v>19</v>
      </c>
      <c r="F70" t="s">
        <v>91</v>
      </c>
      <c r="G70" s="8">
        <v>2</v>
      </c>
      <c r="H70" s="26">
        <v>1</v>
      </c>
    </row>
    <row r="71" spans="1:8" x14ac:dyDescent="0.3">
      <c r="A71">
        <v>202607</v>
      </c>
      <c r="B71" t="s">
        <v>32</v>
      </c>
      <c r="C71">
        <v>1768897425</v>
      </c>
      <c r="D71" t="s">
        <v>18</v>
      </c>
      <c r="E71" t="s">
        <v>24</v>
      </c>
      <c r="F71" t="s">
        <v>76</v>
      </c>
      <c r="G71" s="8">
        <v>1.3568</v>
      </c>
      <c r="H71" s="26">
        <v>2.4300000000000002</v>
      </c>
    </row>
    <row r="72" spans="1:8" x14ac:dyDescent="0.3">
      <c r="A72">
        <v>202607</v>
      </c>
      <c r="B72" t="s">
        <v>33</v>
      </c>
      <c r="C72">
        <v>1764757459</v>
      </c>
      <c r="D72" t="s">
        <v>18</v>
      </c>
      <c r="E72" t="s">
        <v>24</v>
      </c>
      <c r="F72" t="s">
        <v>81</v>
      </c>
      <c r="G72" s="8">
        <v>6.7960000000000003</v>
      </c>
      <c r="H72" s="26">
        <v>0.4</v>
      </c>
    </row>
    <row r="73" spans="1:8" x14ac:dyDescent="0.3">
      <c r="A73">
        <v>202607</v>
      </c>
      <c r="B73" t="s">
        <v>33</v>
      </c>
      <c r="C73">
        <v>1764764269</v>
      </c>
      <c r="D73" t="s">
        <v>23</v>
      </c>
      <c r="E73" t="s">
        <v>19</v>
      </c>
      <c r="F73" t="s">
        <v>82</v>
      </c>
      <c r="G73" s="8">
        <v>0.35</v>
      </c>
      <c r="H73" s="26">
        <v>1.5</v>
      </c>
    </row>
    <row r="74" spans="1:8" x14ac:dyDescent="0.3">
      <c r="A74">
        <v>202607</v>
      </c>
      <c r="B74" t="s">
        <v>33</v>
      </c>
      <c r="C74">
        <v>1764777379</v>
      </c>
      <c r="D74" t="s">
        <v>18</v>
      </c>
      <c r="E74" t="s">
        <v>19</v>
      </c>
      <c r="F74" t="s">
        <v>78</v>
      </c>
      <c r="G74" s="8">
        <v>0.43584000000000001</v>
      </c>
      <c r="H74" s="26">
        <v>4.95</v>
      </c>
    </row>
    <row r="75" spans="1:8" x14ac:dyDescent="0.3">
      <c r="A75">
        <v>202607</v>
      </c>
      <c r="B75" t="s">
        <v>33</v>
      </c>
      <c r="C75">
        <v>1764780728</v>
      </c>
      <c r="D75" t="s">
        <v>23</v>
      </c>
      <c r="E75" t="s">
        <v>19</v>
      </c>
      <c r="F75" t="s">
        <v>82</v>
      </c>
      <c r="G75" s="8">
        <v>0.35</v>
      </c>
      <c r="H75" s="26">
        <v>1.5</v>
      </c>
    </row>
    <row r="76" spans="1:8" x14ac:dyDescent="0.3">
      <c r="A76">
        <v>202607</v>
      </c>
      <c r="B76" t="s">
        <v>33</v>
      </c>
      <c r="C76">
        <v>1764781430</v>
      </c>
      <c r="D76" t="s">
        <v>23</v>
      </c>
      <c r="E76" t="s">
        <v>19</v>
      </c>
      <c r="F76" t="s">
        <v>80</v>
      </c>
      <c r="G76" s="8">
        <v>0.5</v>
      </c>
      <c r="H76" s="26">
        <v>0.8</v>
      </c>
    </row>
    <row r="77" spans="1:8" x14ac:dyDescent="0.3">
      <c r="A77">
        <v>202607</v>
      </c>
      <c r="B77" t="s">
        <v>33</v>
      </c>
      <c r="C77">
        <v>1768844320</v>
      </c>
      <c r="D77" t="s">
        <v>18</v>
      </c>
      <c r="E77" t="s">
        <v>24</v>
      </c>
      <c r="F77" t="s">
        <v>92</v>
      </c>
      <c r="G77" s="8">
        <v>0.51134999999999997</v>
      </c>
      <c r="H77" s="26">
        <v>3.1</v>
      </c>
    </row>
    <row r="78" spans="1:8" x14ac:dyDescent="0.3">
      <c r="A78">
        <v>202607</v>
      </c>
      <c r="B78" t="s">
        <v>33</v>
      </c>
      <c r="C78">
        <v>1768845557</v>
      </c>
      <c r="D78" t="s">
        <v>18</v>
      </c>
      <c r="E78" t="s">
        <v>19</v>
      </c>
      <c r="F78" t="s">
        <v>79</v>
      </c>
      <c r="G78" s="8">
        <v>0.85224999999999995</v>
      </c>
      <c r="H78" s="26">
        <v>1</v>
      </c>
    </row>
    <row r="79" spans="1:8" x14ac:dyDescent="0.3">
      <c r="A79">
        <v>202607</v>
      </c>
      <c r="B79" t="s">
        <v>33</v>
      </c>
      <c r="C79">
        <v>1768863490</v>
      </c>
      <c r="D79" t="s">
        <v>18</v>
      </c>
      <c r="E79" t="s">
        <v>19</v>
      </c>
      <c r="F79" t="s">
        <v>78</v>
      </c>
      <c r="G79" s="8">
        <v>0.36305100000000001</v>
      </c>
      <c r="H79" s="26">
        <v>3.25</v>
      </c>
    </row>
    <row r="80" spans="1:8" x14ac:dyDescent="0.3">
      <c r="A80">
        <v>202607</v>
      </c>
      <c r="B80" t="s">
        <v>33</v>
      </c>
      <c r="C80">
        <v>1768865639</v>
      </c>
      <c r="D80" t="s">
        <v>18</v>
      </c>
      <c r="E80" t="s">
        <v>19</v>
      </c>
      <c r="F80" t="s">
        <v>78</v>
      </c>
      <c r="G80" s="8">
        <v>0.39019500000000001</v>
      </c>
      <c r="H80" s="26">
        <v>3.25</v>
      </c>
    </row>
    <row r="81" spans="1:8" x14ac:dyDescent="0.3">
      <c r="A81">
        <v>202607</v>
      </c>
      <c r="B81" t="s">
        <v>33</v>
      </c>
      <c r="C81">
        <v>1768891400</v>
      </c>
      <c r="D81" t="s">
        <v>23</v>
      </c>
      <c r="E81" t="s">
        <v>19</v>
      </c>
      <c r="F81" t="s">
        <v>77</v>
      </c>
      <c r="G81" s="8">
        <v>0.255</v>
      </c>
      <c r="H81" s="26">
        <v>3.5</v>
      </c>
    </row>
    <row r="82" spans="1:8" x14ac:dyDescent="0.3">
      <c r="A82">
        <v>202607</v>
      </c>
      <c r="B82" t="s">
        <v>33</v>
      </c>
      <c r="C82">
        <v>1768895783</v>
      </c>
      <c r="D82" t="s">
        <v>23</v>
      </c>
      <c r="E82" t="s">
        <v>19</v>
      </c>
      <c r="F82" t="s">
        <v>80</v>
      </c>
      <c r="G82" s="8">
        <v>0.5</v>
      </c>
      <c r="H82" s="26">
        <v>0.95</v>
      </c>
    </row>
    <row r="83" spans="1:8" x14ac:dyDescent="0.3">
      <c r="A83">
        <v>202607</v>
      </c>
      <c r="B83" t="s">
        <v>33</v>
      </c>
      <c r="C83">
        <v>1768896127</v>
      </c>
      <c r="D83" t="s">
        <v>23</v>
      </c>
      <c r="E83" t="s">
        <v>19</v>
      </c>
      <c r="F83" t="s">
        <v>77</v>
      </c>
      <c r="G83" s="8">
        <v>0.25</v>
      </c>
      <c r="H83" s="26">
        <v>3.5</v>
      </c>
    </row>
    <row r="84" spans="1:8" x14ac:dyDescent="0.3">
      <c r="A84">
        <v>202607</v>
      </c>
      <c r="B84" t="s">
        <v>33</v>
      </c>
      <c r="C84">
        <v>1768896577</v>
      </c>
      <c r="D84" t="s">
        <v>23</v>
      </c>
      <c r="E84" t="s">
        <v>19</v>
      </c>
      <c r="F84" t="s">
        <v>80</v>
      </c>
      <c r="G84" s="8">
        <v>0.5</v>
      </c>
      <c r="H84" s="26">
        <v>0.95</v>
      </c>
    </row>
    <row r="85" spans="1:8" x14ac:dyDescent="0.3">
      <c r="A85">
        <v>202607</v>
      </c>
      <c r="B85" t="s">
        <v>33</v>
      </c>
      <c r="C85">
        <v>1768896704</v>
      </c>
      <c r="D85" t="s">
        <v>23</v>
      </c>
      <c r="E85" t="s">
        <v>19</v>
      </c>
      <c r="F85" t="s">
        <v>77</v>
      </c>
      <c r="G85" s="8">
        <v>0.25</v>
      </c>
      <c r="H85" s="26">
        <v>3.5</v>
      </c>
    </row>
    <row r="86" spans="1:8" x14ac:dyDescent="0.3">
      <c r="A86">
        <v>202607</v>
      </c>
      <c r="B86" t="s">
        <v>33</v>
      </c>
      <c r="C86">
        <v>1768901023</v>
      </c>
      <c r="D86" t="s">
        <v>18</v>
      </c>
      <c r="E86" t="s">
        <v>19</v>
      </c>
      <c r="F86" t="s">
        <v>78</v>
      </c>
      <c r="G86" s="8">
        <v>0.60948000000000002</v>
      </c>
      <c r="H86" s="26">
        <v>3.35</v>
      </c>
    </row>
    <row r="87" spans="1:8" x14ac:dyDescent="0.3">
      <c r="A87">
        <v>202607</v>
      </c>
      <c r="B87" t="s">
        <v>33</v>
      </c>
      <c r="C87">
        <v>1768901155</v>
      </c>
      <c r="D87" t="s">
        <v>23</v>
      </c>
      <c r="E87" t="s">
        <v>19</v>
      </c>
      <c r="F87" t="s">
        <v>77</v>
      </c>
      <c r="G87" s="8">
        <v>0.3</v>
      </c>
      <c r="H87" s="26">
        <v>3.5</v>
      </c>
    </row>
    <row r="88" spans="1:8" x14ac:dyDescent="0.3">
      <c r="A88">
        <v>202607</v>
      </c>
      <c r="B88" t="s">
        <v>33</v>
      </c>
      <c r="C88">
        <v>1768903670</v>
      </c>
      <c r="D88" t="s">
        <v>23</v>
      </c>
      <c r="E88" t="s">
        <v>19</v>
      </c>
      <c r="F88" t="s">
        <v>77</v>
      </c>
      <c r="G88" s="8">
        <v>0.26500000000000001</v>
      </c>
      <c r="H88" s="26">
        <v>3.5</v>
      </c>
    </row>
    <row r="89" spans="1:8" x14ac:dyDescent="0.3">
      <c r="A89">
        <v>202607</v>
      </c>
      <c r="B89" t="s">
        <v>33</v>
      </c>
      <c r="C89">
        <v>1768903719</v>
      </c>
      <c r="D89" t="s">
        <v>23</v>
      </c>
      <c r="E89" t="s">
        <v>19</v>
      </c>
      <c r="F89" t="s">
        <v>77</v>
      </c>
      <c r="G89" s="8">
        <v>0.26500000000000001</v>
      </c>
      <c r="H89" s="26">
        <v>3.5</v>
      </c>
    </row>
    <row r="90" spans="1:8" x14ac:dyDescent="0.3">
      <c r="A90">
        <v>202607</v>
      </c>
      <c r="B90" t="s">
        <v>33</v>
      </c>
      <c r="C90">
        <v>1768905312</v>
      </c>
      <c r="D90" t="s">
        <v>18</v>
      </c>
      <c r="E90" t="s">
        <v>19</v>
      </c>
      <c r="F90" t="s">
        <v>79</v>
      </c>
      <c r="G90" s="8">
        <v>1.0158</v>
      </c>
      <c r="H90" s="26">
        <v>1</v>
      </c>
    </row>
    <row r="91" spans="1:8" x14ac:dyDescent="0.3">
      <c r="A91">
        <v>202607</v>
      </c>
      <c r="B91" t="s">
        <v>33</v>
      </c>
      <c r="C91">
        <v>1768906483</v>
      </c>
      <c r="D91" t="s">
        <v>23</v>
      </c>
      <c r="E91" t="s">
        <v>19</v>
      </c>
      <c r="F91" t="s">
        <v>77</v>
      </c>
      <c r="G91" s="8">
        <v>0.253</v>
      </c>
      <c r="H91" s="26">
        <v>3.5</v>
      </c>
    </row>
    <row r="92" spans="1:8" x14ac:dyDescent="0.3">
      <c r="A92">
        <v>202607</v>
      </c>
      <c r="B92" t="s">
        <v>107</v>
      </c>
      <c r="C92">
        <v>1764759907</v>
      </c>
      <c r="D92" t="s">
        <v>18</v>
      </c>
      <c r="E92" t="s">
        <v>24</v>
      </c>
      <c r="F92" t="s">
        <v>106</v>
      </c>
      <c r="G92" s="8">
        <v>0.28762371000000003</v>
      </c>
      <c r="H92" s="26">
        <v>0.55000000000000004</v>
      </c>
    </row>
    <row r="93" spans="1:8" x14ac:dyDescent="0.3">
      <c r="A93">
        <v>202607</v>
      </c>
      <c r="B93" t="s">
        <v>107</v>
      </c>
      <c r="C93">
        <v>1768838720</v>
      </c>
      <c r="D93" t="s">
        <v>18</v>
      </c>
      <c r="E93" t="s">
        <v>24</v>
      </c>
      <c r="F93" t="s">
        <v>89</v>
      </c>
      <c r="G93" s="8">
        <v>1.3620000000000001</v>
      </c>
      <c r="H93" s="26">
        <v>0.95</v>
      </c>
    </row>
    <row r="94" spans="1:8" x14ac:dyDescent="0.3">
      <c r="A94">
        <v>202607</v>
      </c>
      <c r="B94" t="s">
        <v>107</v>
      </c>
      <c r="C94">
        <v>1768844534</v>
      </c>
      <c r="D94" t="s">
        <v>18</v>
      </c>
      <c r="E94" t="s">
        <v>19</v>
      </c>
      <c r="F94" t="s">
        <v>66</v>
      </c>
      <c r="G94" s="8">
        <v>0.85224999999999995</v>
      </c>
      <c r="H94" s="26">
        <v>0.35</v>
      </c>
    </row>
    <row r="95" spans="1:8" x14ac:dyDescent="0.3">
      <c r="A95">
        <v>202607</v>
      </c>
      <c r="B95" t="s">
        <v>107</v>
      </c>
      <c r="C95">
        <v>1768845468</v>
      </c>
      <c r="D95" t="s">
        <v>18</v>
      </c>
      <c r="E95" t="s">
        <v>24</v>
      </c>
      <c r="F95" t="s">
        <v>89</v>
      </c>
      <c r="G95" s="8">
        <v>1.5340499999999999</v>
      </c>
      <c r="H95" s="26">
        <v>0.95</v>
      </c>
    </row>
    <row r="96" spans="1:8" x14ac:dyDescent="0.3">
      <c r="A96">
        <v>202607</v>
      </c>
      <c r="B96" t="s">
        <v>107</v>
      </c>
      <c r="C96">
        <v>1768868727</v>
      </c>
      <c r="D96" t="s">
        <v>18</v>
      </c>
      <c r="E96" t="s">
        <v>24</v>
      </c>
      <c r="F96" t="s">
        <v>102</v>
      </c>
      <c r="G96" s="8">
        <v>0.33929999999999999</v>
      </c>
      <c r="H96" s="26">
        <v>3.35</v>
      </c>
    </row>
    <row r="97" spans="1:8" x14ac:dyDescent="0.3">
      <c r="A97">
        <v>202607</v>
      </c>
      <c r="B97" t="s">
        <v>107</v>
      </c>
      <c r="C97">
        <v>1768870004</v>
      </c>
      <c r="D97" t="s">
        <v>18</v>
      </c>
      <c r="E97" t="s">
        <v>24</v>
      </c>
      <c r="F97" t="s">
        <v>67</v>
      </c>
      <c r="G97" s="8">
        <v>1.0179</v>
      </c>
      <c r="H97" s="26">
        <v>5.14</v>
      </c>
    </row>
    <row r="98" spans="1:8" x14ac:dyDescent="0.3">
      <c r="A98">
        <v>202607</v>
      </c>
      <c r="B98" t="s">
        <v>107</v>
      </c>
      <c r="C98">
        <v>1768895899</v>
      </c>
      <c r="D98" t="s">
        <v>18</v>
      </c>
      <c r="E98" t="s">
        <v>24</v>
      </c>
      <c r="F98" t="s">
        <v>64</v>
      </c>
      <c r="G98" s="8">
        <v>0.3392</v>
      </c>
      <c r="H98" s="26">
        <v>1.3</v>
      </c>
    </row>
    <row r="99" spans="1:8" x14ac:dyDescent="0.3">
      <c r="A99">
        <v>202607</v>
      </c>
      <c r="B99" t="s">
        <v>107</v>
      </c>
      <c r="C99">
        <v>1768896046</v>
      </c>
      <c r="D99" t="s">
        <v>18</v>
      </c>
      <c r="E99" t="s">
        <v>24</v>
      </c>
      <c r="F99" t="s">
        <v>64</v>
      </c>
      <c r="G99" s="8">
        <v>0.6784</v>
      </c>
      <c r="H99" s="26">
        <v>1.3</v>
      </c>
    </row>
    <row r="100" spans="1:8" x14ac:dyDescent="0.3">
      <c r="A100">
        <v>202607</v>
      </c>
      <c r="B100" t="s">
        <v>107</v>
      </c>
      <c r="C100">
        <v>1768907234</v>
      </c>
      <c r="D100" t="s">
        <v>18</v>
      </c>
      <c r="E100" t="s">
        <v>24</v>
      </c>
      <c r="F100" t="s">
        <v>89</v>
      </c>
      <c r="G100" s="8">
        <v>1.3916459999999999</v>
      </c>
      <c r="H100" s="26">
        <v>0.95</v>
      </c>
    </row>
    <row r="101" spans="1:8" x14ac:dyDescent="0.3">
      <c r="A101">
        <v>202607</v>
      </c>
      <c r="B101" t="s">
        <v>41</v>
      </c>
      <c r="C101">
        <v>1764761472</v>
      </c>
      <c r="D101" t="s">
        <v>23</v>
      </c>
      <c r="E101" t="s">
        <v>19</v>
      </c>
      <c r="F101" t="s">
        <v>127</v>
      </c>
      <c r="G101" s="8">
        <v>0.7</v>
      </c>
      <c r="H101" s="26">
        <v>0.4</v>
      </c>
    </row>
    <row r="102" spans="1:8" x14ac:dyDescent="0.3">
      <c r="A102">
        <v>202607</v>
      </c>
      <c r="B102" t="s">
        <v>41</v>
      </c>
      <c r="C102">
        <v>1764761529</v>
      </c>
      <c r="D102" t="s">
        <v>23</v>
      </c>
      <c r="E102" t="s">
        <v>19</v>
      </c>
      <c r="F102" t="s">
        <v>127</v>
      </c>
      <c r="G102" s="8">
        <v>1</v>
      </c>
      <c r="H102" s="26">
        <v>0.4</v>
      </c>
    </row>
    <row r="103" spans="1:8" x14ac:dyDescent="0.3">
      <c r="A103">
        <v>202607</v>
      </c>
      <c r="B103" t="s">
        <v>41</v>
      </c>
      <c r="C103">
        <v>1764761553</v>
      </c>
      <c r="D103" t="s">
        <v>23</v>
      </c>
      <c r="E103" t="s">
        <v>19</v>
      </c>
      <c r="F103" t="s">
        <v>127</v>
      </c>
      <c r="G103" s="8">
        <v>1</v>
      </c>
      <c r="H103" s="26">
        <v>0.4</v>
      </c>
    </row>
    <row r="104" spans="1:8" x14ac:dyDescent="0.3">
      <c r="A104">
        <v>202607</v>
      </c>
      <c r="B104" t="s">
        <v>41</v>
      </c>
      <c r="C104">
        <v>1768835349</v>
      </c>
      <c r="D104" t="s">
        <v>23</v>
      </c>
      <c r="E104" t="s">
        <v>19</v>
      </c>
      <c r="F104" t="s">
        <v>127</v>
      </c>
      <c r="G104" s="8">
        <v>1</v>
      </c>
      <c r="H104" s="26">
        <v>0.4</v>
      </c>
    </row>
    <row r="105" spans="1:8" x14ac:dyDescent="0.3">
      <c r="A105">
        <v>202607</v>
      </c>
      <c r="B105" t="s">
        <v>41</v>
      </c>
      <c r="C105">
        <v>1768835489</v>
      </c>
      <c r="D105" t="s">
        <v>23</v>
      </c>
      <c r="E105" t="s">
        <v>19</v>
      </c>
      <c r="F105" t="s">
        <v>127</v>
      </c>
      <c r="G105" s="8">
        <v>1</v>
      </c>
      <c r="H105" s="26">
        <v>0.4</v>
      </c>
    </row>
    <row r="106" spans="1:8" x14ac:dyDescent="0.3">
      <c r="A106">
        <v>202607</v>
      </c>
      <c r="B106" t="s">
        <v>41</v>
      </c>
      <c r="C106">
        <v>1768838062</v>
      </c>
      <c r="D106" t="s">
        <v>23</v>
      </c>
      <c r="E106" t="s">
        <v>19</v>
      </c>
      <c r="F106" t="s">
        <v>127</v>
      </c>
      <c r="G106" s="8">
        <v>0.3</v>
      </c>
      <c r="H106" s="26">
        <v>0.4</v>
      </c>
    </row>
    <row r="107" spans="1:8" x14ac:dyDescent="0.3">
      <c r="A107">
        <v>202607</v>
      </c>
      <c r="B107" t="s">
        <v>41</v>
      </c>
      <c r="C107">
        <v>1768838097</v>
      </c>
      <c r="D107" t="s">
        <v>23</v>
      </c>
      <c r="E107" t="s">
        <v>19</v>
      </c>
      <c r="F107" t="s">
        <v>127</v>
      </c>
      <c r="G107" s="8">
        <v>1</v>
      </c>
      <c r="H107" s="26">
        <v>0.4</v>
      </c>
    </row>
    <row r="108" spans="1:8" x14ac:dyDescent="0.3">
      <c r="A108">
        <v>202607</v>
      </c>
      <c r="B108" t="s">
        <v>41</v>
      </c>
      <c r="C108">
        <v>1768839557</v>
      </c>
      <c r="D108" t="s">
        <v>18</v>
      </c>
      <c r="E108" t="s">
        <v>48</v>
      </c>
      <c r="F108" t="s">
        <v>108</v>
      </c>
      <c r="G108" s="8">
        <v>1.7453757599999999</v>
      </c>
      <c r="H108" s="26">
        <v>1.3</v>
      </c>
    </row>
    <row r="109" spans="1:8" x14ac:dyDescent="0.3">
      <c r="A109">
        <v>202607</v>
      </c>
      <c r="B109" t="s">
        <v>27</v>
      </c>
      <c r="C109">
        <v>1764739124</v>
      </c>
      <c r="D109" t="s">
        <v>23</v>
      </c>
      <c r="E109" t="s">
        <v>19</v>
      </c>
      <c r="F109" t="s">
        <v>128</v>
      </c>
      <c r="G109" s="8">
        <v>2.000915E-2</v>
      </c>
      <c r="H109" s="26">
        <v>0</v>
      </c>
    </row>
    <row r="110" spans="1:8" x14ac:dyDescent="0.3">
      <c r="A110">
        <v>202607</v>
      </c>
      <c r="B110" t="s">
        <v>27</v>
      </c>
      <c r="C110">
        <v>1768831610</v>
      </c>
      <c r="D110" t="s">
        <v>23</v>
      </c>
      <c r="E110" t="s">
        <v>19</v>
      </c>
      <c r="F110" t="s">
        <v>129</v>
      </c>
      <c r="G110" s="8">
        <v>7.2</v>
      </c>
      <c r="H110" s="26">
        <v>0.3</v>
      </c>
    </row>
    <row r="111" spans="1:8" x14ac:dyDescent="0.3">
      <c r="A111">
        <v>202607</v>
      </c>
      <c r="B111" t="s">
        <v>27</v>
      </c>
      <c r="C111">
        <v>1768855749</v>
      </c>
      <c r="D111" t="s">
        <v>18</v>
      </c>
      <c r="E111" t="s">
        <v>24</v>
      </c>
      <c r="F111" t="s">
        <v>93</v>
      </c>
      <c r="G111" s="8">
        <v>2.206778742</v>
      </c>
      <c r="H111" s="26">
        <v>0.3</v>
      </c>
    </row>
    <row r="112" spans="1:8" x14ac:dyDescent="0.3">
      <c r="A112">
        <v>202607</v>
      </c>
      <c r="B112" t="s">
        <v>27</v>
      </c>
      <c r="C112">
        <v>1768880387</v>
      </c>
      <c r="D112" t="s">
        <v>23</v>
      </c>
      <c r="E112" t="s">
        <v>19</v>
      </c>
      <c r="F112" t="s">
        <v>83</v>
      </c>
      <c r="G112" s="8">
        <v>2.5</v>
      </c>
      <c r="H112" s="26">
        <v>4.1500000000000004</v>
      </c>
    </row>
    <row r="113" spans="1:8" x14ac:dyDescent="0.3">
      <c r="A113">
        <v>202607</v>
      </c>
      <c r="B113" t="s">
        <v>27</v>
      </c>
      <c r="C113">
        <v>1768882010</v>
      </c>
      <c r="D113" t="s">
        <v>23</v>
      </c>
      <c r="E113" t="s">
        <v>19</v>
      </c>
      <c r="F113" t="s">
        <v>129</v>
      </c>
      <c r="G113" s="8">
        <v>9.4</v>
      </c>
      <c r="H113" s="26">
        <v>0.35</v>
      </c>
    </row>
    <row r="114" spans="1:8" x14ac:dyDescent="0.3">
      <c r="A114">
        <v>202607</v>
      </c>
      <c r="B114" t="s">
        <v>27</v>
      </c>
      <c r="C114">
        <v>1768898677</v>
      </c>
      <c r="D114" t="s">
        <v>18</v>
      </c>
      <c r="E114" t="s">
        <v>48</v>
      </c>
      <c r="F114" t="s">
        <v>84</v>
      </c>
      <c r="G114" s="8">
        <v>1.6252800000000001</v>
      </c>
      <c r="H114" s="26">
        <v>0.9</v>
      </c>
    </row>
    <row r="115" spans="1:8" x14ac:dyDescent="0.3">
      <c r="A115">
        <v>202607</v>
      </c>
      <c r="B115" t="s">
        <v>27</v>
      </c>
      <c r="C115">
        <v>1768903336</v>
      </c>
      <c r="D115" t="s">
        <v>18</v>
      </c>
      <c r="E115" t="s">
        <v>48</v>
      </c>
      <c r="F115" t="s">
        <v>85</v>
      </c>
      <c r="G115" s="8">
        <v>16.93</v>
      </c>
      <c r="H115" s="26">
        <v>1.05</v>
      </c>
    </row>
    <row r="116" spans="1:8" x14ac:dyDescent="0.3">
      <c r="A116">
        <v>202607</v>
      </c>
      <c r="B116" t="s">
        <v>114</v>
      </c>
      <c r="C116">
        <v>1764752333</v>
      </c>
      <c r="D116" t="s">
        <v>23</v>
      </c>
      <c r="E116" t="s">
        <v>34</v>
      </c>
      <c r="F116" t="s">
        <v>70</v>
      </c>
      <c r="G116" s="8">
        <v>0.28499999999999998</v>
      </c>
      <c r="H116" s="26">
        <v>10.08</v>
      </c>
    </row>
    <row r="117" spans="1:8" x14ac:dyDescent="0.3">
      <c r="A117">
        <v>202607</v>
      </c>
      <c r="B117" t="s">
        <v>114</v>
      </c>
      <c r="C117">
        <v>1768883106</v>
      </c>
      <c r="D117" t="s">
        <v>18</v>
      </c>
      <c r="E117" t="s">
        <v>24</v>
      </c>
      <c r="F117" t="s">
        <v>130</v>
      </c>
      <c r="G117" s="8">
        <v>1.36</v>
      </c>
      <c r="H117" s="26">
        <v>1.08</v>
      </c>
    </row>
    <row r="118" spans="1:8" x14ac:dyDescent="0.3">
      <c r="A118">
        <v>202607</v>
      </c>
      <c r="B118" t="s">
        <v>114</v>
      </c>
      <c r="C118">
        <v>1768905230</v>
      </c>
      <c r="D118" t="s">
        <v>18</v>
      </c>
      <c r="E118" t="s">
        <v>19</v>
      </c>
      <c r="F118" t="s">
        <v>131</v>
      </c>
      <c r="G118" s="8">
        <v>0.16930000000000001</v>
      </c>
      <c r="H118" s="26">
        <v>2.25</v>
      </c>
    </row>
    <row r="119" spans="1:8" x14ac:dyDescent="0.3">
      <c r="A119">
        <v>202607</v>
      </c>
      <c r="B119" t="s">
        <v>56</v>
      </c>
      <c r="C119">
        <v>1764761286</v>
      </c>
      <c r="D119" t="s">
        <v>23</v>
      </c>
      <c r="E119" t="s">
        <v>19</v>
      </c>
      <c r="F119" t="s">
        <v>86</v>
      </c>
      <c r="G119" s="8">
        <v>1.7</v>
      </c>
      <c r="H119" s="26">
        <v>0.9</v>
      </c>
    </row>
    <row r="120" spans="1:8" x14ac:dyDescent="0.3">
      <c r="A120">
        <v>202607</v>
      </c>
      <c r="B120" t="s">
        <v>56</v>
      </c>
      <c r="C120">
        <v>1768850208</v>
      </c>
      <c r="D120" t="s">
        <v>18</v>
      </c>
      <c r="E120" t="s">
        <v>24</v>
      </c>
      <c r="F120" t="s">
        <v>104</v>
      </c>
      <c r="G120" s="8">
        <v>7.6350657110000002</v>
      </c>
      <c r="H120" s="26">
        <v>0.45</v>
      </c>
    </row>
    <row r="121" spans="1:8" x14ac:dyDescent="0.3">
      <c r="A121">
        <v>202607</v>
      </c>
      <c r="B121" t="s">
        <v>115</v>
      </c>
      <c r="C121">
        <v>1764780670</v>
      </c>
      <c r="D121" t="s">
        <v>23</v>
      </c>
      <c r="E121" t="s">
        <v>34</v>
      </c>
      <c r="F121" t="s">
        <v>59</v>
      </c>
      <c r="G121" s="8">
        <v>0.21680569</v>
      </c>
      <c r="H121" s="26">
        <v>1.51</v>
      </c>
    </row>
    <row r="122" spans="1:8" x14ac:dyDescent="0.3">
      <c r="A122">
        <v>202607</v>
      </c>
      <c r="B122" t="s">
        <v>115</v>
      </c>
      <c r="C122">
        <v>1768842035</v>
      </c>
      <c r="D122" t="s">
        <v>18</v>
      </c>
      <c r="E122" t="s">
        <v>19</v>
      </c>
      <c r="F122" t="s">
        <v>61</v>
      </c>
      <c r="G122" s="8">
        <v>2.3862999999999999</v>
      </c>
      <c r="H122" s="26">
        <v>0.55000000000000004</v>
      </c>
    </row>
    <row r="123" spans="1:8" x14ac:dyDescent="0.3">
      <c r="A123">
        <v>202607</v>
      </c>
      <c r="B123" t="s">
        <v>115</v>
      </c>
      <c r="C123">
        <v>1768849668</v>
      </c>
      <c r="D123" t="s">
        <v>18</v>
      </c>
      <c r="E123" t="s">
        <v>34</v>
      </c>
      <c r="F123" t="s">
        <v>59</v>
      </c>
      <c r="G123" s="8">
        <v>0.84780739119999993</v>
      </c>
      <c r="H123" s="26">
        <v>1.61</v>
      </c>
    </row>
    <row r="124" spans="1:8" x14ac:dyDescent="0.3">
      <c r="A124">
        <v>202607</v>
      </c>
      <c r="B124" t="s">
        <v>115</v>
      </c>
      <c r="C124">
        <v>1768850542</v>
      </c>
      <c r="D124" t="s">
        <v>23</v>
      </c>
      <c r="E124" t="s">
        <v>19</v>
      </c>
      <c r="F124" t="s">
        <v>62</v>
      </c>
      <c r="G124" s="8">
        <v>0.06</v>
      </c>
      <c r="H124" s="26">
        <v>9.35</v>
      </c>
    </row>
    <row r="125" spans="1:8" x14ac:dyDescent="0.3">
      <c r="A125">
        <v>202607</v>
      </c>
      <c r="B125" t="s">
        <v>115</v>
      </c>
      <c r="C125">
        <v>1768862508</v>
      </c>
      <c r="D125" t="s">
        <v>18</v>
      </c>
      <c r="E125" t="s">
        <v>19</v>
      </c>
      <c r="F125" t="s">
        <v>61</v>
      </c>
      <c r="G125" s="8">
        <v>0.97379099999999996</v>
      </c>
      <c r="H125" s="26">
        <v>0.55000000000000004</v>
      </c>
    </row>
    <row r="126" spans="1:8" x14ac:dyDescent="0.3">
      <c r="A126">
        <v>202607</v>
      </c>
      <c r="B126" t="s">
        <v>115</v>
      </c>
      <c r="C126">
        <v>1768881057</v>
      </c>
      <c r="D126" t="s">
        <v>23</v>
      </c>
      <c r="E126" t="s">
        <v>24</v>
      </c>
      <c r="F126" t="s">
        <v>60</v>
      </c>
      <c r="G126" s="8">
        <v>0.47</v>
      </c>
      <c r="H126" s="26">
        <v>2.4500000000000002</v>
      </c>
    </row>
    <row r="127" spans="1:8" x14ac:dyDescent="0.3">
      <c r="A127">
        <v>202607</v>
      </c>
      <c r="B127" t="s">
        <v>115</v>
      </c>
      <c r="C127">
        <v>1768881723</v>
      </c>
      <c r="D127" t="s">
        <v>18</v>
      </c>
      <c r="E127" t="s">
        <v>24</v>
      </c>
      <c r="F127" t="s">
        <v>105</v>
      </c>
      <c r="G127" s="8">
        <v>0.36375647999999999</v>
      </c>
      <c r="H127" s="26">
        <v>3.38</v>
      </c>
    </row>
    <row r="128" spans="1:8" x14ac:dyDescent="0.3">
      <c r="A128">
        <v>202607</v>
      </c>
      <c r="B128" t="s">
        <v>40</v>
      </c>
      <c r="C128">
        <v>1764767160</v>
      </c>
      <c r="D128" t="s">
        <v>18</v>
      </c>
      <c r="E128" t="s">
        <v>19</v>
      </c>
      <c r="F128" t="s">
        <v>58</v>
      </c>
      <c r="G128" s="8">
        <v>0.232763</v>
      </c>
      <c r="H128" s="26">
        <v>4.0999999999999996</v>
      </c>
    </row>
    <row r="129" spans="1:8" x14ac:dyDescent="0.3">
      <c r="A129">
        <v>202607</v>
      </c>
      <c r="B129" t="s">
        <v>40</v>
      </c>
      <c r="C129">
        <v>1768834120</v>
      </c>
      <c r="D129" t="s">
        <v>23</v>
      </c>
      <c r="E129" t="s">
        <v>34</v>
      </c>
      <c r="F129" t="s">
        <v>54</v>
      </c>
      <c r="G129" s="8">
        <v>8.0286240000000009E-2</v>
      </c>
      <c r="H129" s="26">
        <v>2.2000000000000002</v>
      </c>
    </row>
    <row r="130" spans="1:8" x14ac:dyDescent="0.3">
      <c r="A130">
        <v>202607</v>
      </c>
      <c r="B130" t="s">
        <v>40</v>
      </c>
      <c r="C130">
        <v>1768854904</v>
      </c>
      <c r="D130" t="s">
        <v>18</v>
      </c>
      <c r="E130" t="s">
        <v>19</v>
      </c>
      <c r="F130" t="s">
        <v>132</v>
      </c>
      <c r="G130" s="8">
        <v>4.0823999999999998</v>
      </c>
      <c r="H130" s="26">
        <v>0.35</v>
      </c>
    </row>
    <row r="131" spans="1:8" x14ac:dyDescent="0.3">
      <c r="A131">
        <v>202607</v>
      </c>
      <c r="B131" t="s">
        <v>40</v>
      </c>
      <c r="C131">
        <v>1768874050</v>
      </c>
      <c r="D131" t="s">
        <v>23</v>
      </c>
      <c r="E131" t="s">
        <v>19</v>
      </c>
      <c r="F131" t="s">
        <v>133</v>
      </c>
      <c r="G131" s="8">
        <v>12.638012</v>
      </c>
      <c r="H131" s="26">
        <v>2.9</v>
      </c>
    </row>
    <row r="132" spans="1:8" x14ac:dyDescent="0.3">
      <c r="A132">
        <v>202607</v>
      </c>
      <c r="B132" t="s">
        <v>40</v>
      </c>
      <c r="C132">
        <v>1768882827</v>
      </c>
      <c r="D132" t="s">
        <v>18</v>
      </c>
      <c r="E132" t="s">
        <v>34</v>
      </c>
      <c r="F132" t="s">
        <v>53</v>
      </c>
      <c r="G132" s="8">
        <v>3.0531290759999998</v>
      </c>
      <c r="H132" s="26">
        <v>3</v>
      </c>
    </row>
    <row r="133" spans="1:8" x14ac:dyDescent="0.3">
      <c r="A133">
        <v>202607</v>
      </c>
      <c r="B133" t="s">
        <v>116</v>
      </c>
      <c r="C133">
        <v>1764762479</v>
      </c>
      <c r="D133" t="s">
        <v>18</v>
      </c>
      <c r="E133" t="s">
        <v>24</v>
      </c>
      <c r="F133" t="s">
        <v>51</v>
      </c>
      <c r="G133" s="8">
        <v>0.67959999999999998</v>
      </c>
      <c r="H133" s="26">
        <v>2.65</v>
      </c>
    </row>
    <row r="134" spans="1:8" x14ac:dyDescent="0.3">
      <c r="A134">
        <v>202607</v>
      </c>
      <c r="B134" t="s">
        <v>116</v>
      </c>
      <c r="C134">
        <v>1768839522</v>
      </c>
      <c r="D134" t="s">
        <v>18</v>
      </c>
      <c r="E134" t="s">
        <v>24</v>
      </c>
      <c r="F134" t="s">
        <v>49</v>
      </c>
      <c r="G134" s="8">
        <v>0.68100000000000005</v>
      </c>
      <c r="H134" s="26">
        <v>1.1000000000000001</v>
      </c>
    </row>
    <row r="135" spans="1:8" x14ac:dyDescent="0.3">
      <c r="A135">
        <v>202607</v>
      </c>
      <c r="B135" t="s">
        <v>116</v>
      </c>
      <c r="C135">
        <v>1768839603</v>
      </c>
      <c r="D135" t="s">
        <v>18</v>
      </c>
      <c r="E135" t="s">
        <v>24</v>
      </c>
      <c r="F135" t="s">
        <v>49</v>
      </c>
      <c r="G135" s="8">
        <v>0.68100000000000005</v>
      </c>
      <c r="H135" s="26">
        <v>1.1000000000000001</v>
      </c>
    </row>
    <row r="136" spans="1:8" x14ac:dyDescent="0.3">
      <c r="A136">
        <v>202607</v>
      </c>
      <c r="B136" t="s">
        <v>116</v>
      </c>
      <c r="C136">
        <v>1768855617</v>
      </c>
      <c r="D136" t="s">
        <v>18</v>
      </c>
      <c r="E136" t="s">
        <v>48</v>
      </c>
      <c r="F136" t="s">
        <v>50</v>
      </c>
      <c r="G136" s="8">
        <v>1.1566799999999999</v>
      </c>
      <c r="H136" s="26">
        <v>3.15</v>
      </c>
    </row>
    <row r="137" spans="1:8" x14ac:dyDescent="0.3">
      <c r="A137">
        <v>202607</v>
      </c>
      <c r="B137" t="s">
        <v>116</v>
      </c>
      <c r="C137">
        <v>1768882169</v>
      </c>
      <c r="D137" t="s">
        <v>23</v>
      </c>
      <c r="E137" t="s">
        <v>34</v>
      </c>
      <c r="F137" t="s">
        <v>52</v>
      </c>
      <c r="G137" s="8">
        <v>4.1595E-2</v>
      </c>
      <c r="H137" s="26">
        <v>3.55</v>
      </c>
    </row>
    <row r="138" spans="1:8" x14ac:dyDescent="0.3">
      <c r="A138">
        <v>202607</v>
      </c>
      <c r="B138" t="s">
        <v>116</v>
      </c>
      <c r="C138">
        <v>1768897440</v>
      </c>
      <c r="D138" t="s">
        <v>23</v>
      </c>
      <c r="E138" t="s">
        <v>24</v>
      </c>
      <c r="F138" t="s">
        <v>71</v>
      </c>
      <c r="G138" s="8">
        <v>2.83</v>
      </c>
      <c r="H138" s="26">
        <v>0.5</v>
      </c>
    </row>
    <row r="139" spans="1:8" x14ac:dyDescent="0.3">
      <c r="A139">
        <v>202607</v>
      </c>
      <c r="B139" t="s">
        <v>42</v>
      </c>
      <c r="C139">
        <v>1764781392</v>
      </c>
      <c r="D139" t="s">
        <v>18</v>
      </c>
      <c r="E139" t="s">
        <v>24</v>
      </c>
      <c r="F139" t="s">
        <v>95</v>
      </c>
      <c r="G139" s="8">
        <v>0.68100000000000005</v>
      </c>
      <c r="H139" s="26">
        <v>1</v>
      </c>
    </row>
    <row r="140" spans="1:8" x14ac:dyDescent="0.3">
      <c r="A140">
        <v>202607</v>
      </c>
      <c r="B140" t="s">
        <v>42</v>
      </c>
      <c r="C140">
        <v>1768838712</v>
      </c>
      <c r="D140" t="s">
        <v>23</v>
      </c>
      <c r="E140" t="s">
        <v>34</v>
      </c>
      <c r="F140" t="s">
        <v>87</v>
      </c>
      <c r="G140" s="8">
        <v>2.9726990000000002E-2</v>
      </c>
      <c r="H140" s="26">
        <v>2.25</v>
      </c>
    </row>
    <row r="141" spans="1:8" x14ac:dyDescent="0.3">
      <c r="A141">
        <v>202607</v>
      </c>
      <c r="B141" t="s">
        <v>42</v>
      </c>
      <c r="C141">
        <v>1768845689</v>
      </c>
      <c r="D141" t="s">
        <v>23</v>
      </c>
      <c r="E141" t="s">
        <v>19</v>
      </c>
      <c r="F141" t="s">
        <v>134</v>
      </c>
      <c r="G141" s="8">
        <v>2.6339999999999999</v>
      </c>
      <c r="H141" s="26">
        <v>0.3</v>
      </c>
    </row>
    <row r="142" spans="1:8" x14ac:dyDescent="0.3">
      <c r="A142">
        <v>202607</v>
      </c>
      <c r="B142" t="s">
        <v>42</v>
      </c>
      <c r="C142">
        <v>1768857512</v>
      </c>
      <c r="D142" t="s">
        <v>23</v>
      </c>
      <c r="E142" t="s">
        <v>19</v>
      </c>
      <c r="F142" t="s">
        <v>135</v>
      </c>
      <c r="G142" s="8">
        <v>15</v>
      </c>
      <c r="H142" s="26">
        <v>0.3</v>
      </c>
    </row>
    <row r="143" spans="1:8" x14ac:dyDescent="0.3">
      <c r="A143">
        <v>202607</v>
      </c>
      <c r="B143" t="s">
        <v>42</v>
      </c>
      <c r="C143">
        <v>1768869189</v>
      </c>
      <c r="D143" t="s">
        <v>18</v>
      </c>
      <c r="E143" t="s">
        <v>34</v>
      </c>
      <c r="F143" t="s">
        <v>87</v>
      </c>
      <c r="G143" s="8">
        <v>4.3253692560000001E-2</v>
      </c>
      <c r="H143" s="26">
        <v>2.5</v>
      </c>
    </row>
    <row r="144" spans="1:8" x14ac:dyDescent="0.3">
      <c r="A144">
        <v>202607</v>
      </c>
      <c r="B144" t="s">
        <v>42</v>
      </c>
      <c r="C144">
        <v>1768869900</v>
      </c>
      <c r="D144" t="s">
        <v>18</v>
      </c>
      <c r="E144" t="s">
        <v>34</v>
      </c>
      <c r="F144" t="s">
        <v>87</v>
      </c>
      <c r="G144" s="8">
        <v>7.5999399839999995E-2</v>
      </c>
      <c r="H144" s="26">
        <v>2.5</v>
      </c>
    </row>
    <row r="145" spans="1:8" x14ac:dyDescent="0.3">
      <c r="A145">
        <v>202607</v>
      </c>
      <c r="B145" t="s">
        <v>42</v>
      </c>
      <c r="C145">
        <v>1768888604</v>
      </c>
      <c r="D145" t="s">
        <v>23</v>
      </c>
      <c r="E145" t="s">
        <v>34</v>
      </c>
      <c r="F145" t="s">
        <v>87</v>
      </c>
      <c r="G145" s="8">
        <v>9.1922440000000008E-2</v>
      </c>
      <c r="H145" s="26">
        <v>2.1</v>
      </c>
    </row>
    <row r="146" spans="1:8" x14ac:dyDescent="0.3">
      <c r="A146">
        <v>202607</v>
      </c>
      <c r="B146" t="s">
        <v>42</v>
      </c>
      <c r="C146">
        <v>1768896160</v>
      </c>
      <c r="D146" t="s">
        <v>23</v>
      </c>
      <c r="E146" t="s">
        <v>34</v>
      </c>
      <c r="F146" t="s">
        <v>87</v>
      </c>
      <c r="G146" s="8">
        <v>2.9726990000000002E-2</v>
      </c>
      <c r="H146" s="26">
        <v>2.1</v>
      </c>
    </row>
    <row r="147" spans="1:8" x14ac:dyDescent="0.3">
      <c r="A147">
        <v>202607</v>
      </c>
      <c r="B147" t="s">
        <v>42</v>
      </c>
      <c r="C147">
        <v>1768896275</v>
      </c>
      <c r="D147" t="s">
        <v>23</v>
      </c>
      <c r="E147" t="s">
        <v>34</v>
      </c>
      <c r="F147" t="s">
        <v>87</v>
      </c>
      <c r="G147" s="8">
        <v>5.412583E-2</v>
      </c>
      <c r="H147" s="26">
        <v>2.1</v>
      </c>
    </row>
    <row r="148" spans="1:8" x14ac:dyDescent="0.3">
      <c r="A148">
        <v>202607</v>
      </c>
      <c r="B148" t="s">
        <v>42</v>
      </c>
      <c r="C148">
        <v>1768907790</v>
      </c>
      <c r="D148" t="s">
        <v>23</v>
      </c>
      <c r="E148" t="s">
        <v>34</v>
      </c>
      <c r="F148" t="s">
        <v>88</v>
      </c>
      <c r="G148" s="8">
        <v>3.2949000000000002</v>
      </c>
      <c r="H148" s="26">
        <v>0.6</v>
      </c>
    </row>
    <row r="149" spans="1:8" x14ac:dyDescent="0.3">
      <c r="G149"/>
      <c r="H149"/>
    </row>
    <row r="150" spans="1:8" x14ac:dyDescent="0.3">
      <c r="G150"/>
      <c r="H150"/>
    </row>
    <row r="151" spans="1:8" x14ac:dyDescent="0.3">
      <c r="G151"/>
      <c r="H151"/>
    </row>
    <row r="152" spans="1:8" x14ac:dyDescent="0.3">
      <c r="G152"/>
      <c r="H152"/>
    </row>
    <row r="153" spans="1:8" x14ac:dyDescent="0.3">
      <c r="G153"/>
      <c r="H153"/>
    </row>
    <row r="154" spans="1:8" x14ac:dyDescent="0.3">
      <c r="G154"/>
      <c r="H154"/>
    </row>
    <row r="155" spans="1:8" x14ac:dyDescent="0.3">
      <c r="G155"/>
      <c r="H155"/>
    </row>
    <row r="156" spans="1:8" x14ac:dyDescent="0.3">
      <c r="G156"/>
      <c r="H156"/>
    </row>
    <row r="157" spans="1:8" x14ac:dyDescent="0.3">
      <c r="G157"/>
      <c r="H157"/>
    </row>
    <row r="158" spans="1:8" x14ac:dyDescent="0.3">
      <c r="G158"/>
      <c r="H158"/>
    </row>
    <row r="159" spans="1:8" x14ac:dyDescent="0.3">
      <c r="G159"/>
      <c r="H159"/>
    </row>
    <row r="160" spans="1:8" x14ac:dyDescent="0.3">
      <c r="G160"/>
      <c r="H160"/>
    </row>
    <row r="161" spans="7:8" x14ac:dyDescent="0.3">
      <c r="G161"/>
      <c r="H161"/>
    </row>
    <row r="162" spans="7:8" x14ac:dyDescent="0.3">
      <c r="G162"/>
      <c r="H162"/>
    </row>
    <row r="163" spans="7:8" x14ac:dyDescent="0.3">
      <c r="G163"/>
      <c r="H163"/>
    </row>
    <row r="164" spans="7:8" x14ac:dyDescent="0.3">
      <c r="G164"/>
      <c r="H164"/>
    </row>
    <row r="165" spans="7:8" x14ac:dyDescent="0.3">
      <c r="G165"/>
      <c r="H165"/>
    </row>
    <row r="166" spans="7:8" x14ac:dyDescent="0.3">
      <c r="G166"/>
      <c r="H166"/>
    </row>
    <row r="167" spans="7:8" x14ac:dyDescent="0.3">
      <c r="G167"/>
      <c r="H167"/>
    </row>
    <row r="168" spans="7:8" x14ac:dyDescent="0.3">
      <c r="G168"/>
      <c r="H168"/>
    </row>
    <row r="169" spans="7:8" x14ac:dyDescent="0.3">
      <c r="G169"/>
      <c r="H169"/>
    </row>
    <row r="170" spans="7:8" x14ac:dyDescent="0.3">
      <c r="G170"/>
      <c r="H170"/>
    </row>
    <row r="171" spans="7:8" x14ac:dyDescent="0.3">
      <c r="G171"/>
      <c r="H171"/>
    </row>
    <row r="172" spans="7:8" x14ac:dyDescent="0.3">
      <c r="G172"/>
      <c r="H172"/>
    </row>
    <row r="173" spans="7:8" x14ac:dyDescent="0.3">
      <c r="G173"/>
      <c r="H173"/>
    </row>
    <row r="174" spans="7:8" x14ac:dyDescent="0.3">
      <c r="G174"/>
      <c r="H174"/>
    </row>
    <row r="175" spans="7:8" x14ac:dyDescent="0.3">
      <c r="G175"/>
      <c r="H175"/>
    </row>
    <row r="176" spans="7:8" x14ac:dyDescent="0.3">
      <c r="G176"/>
      <c r="H176"/>
    </row>
    <row r="177" spans="7:8" x14ac:dyDescent="0.3">
      <c r="G177"/>
      <c r="H177"/>
    </row>
    <row r="178" spans="7:8" x14ac:dyDescent="0.3">
      <c r="G178"/>
      <c r="H178"/>
    </row>
    <row r="179" spans="7:8" x14ac:dyDescent="0.3">
      <c r="G179"/>
      <c r="H179"/>
    </row>
    <row r="180" spans="7:8" x14ac:dyDescent="0.3">
      <c r="G180"/>
      <c r="H180"/>
    </row>
    <row r="181" spans="7:8" x14ac:dyDescent="0.3">
      <c r="G181"/>
      <c r="H181"/>
    </row>
    <row r="182" spans="7:8" x14ac:dyDescent="0.3">
      <c r="G182"/>
      <c r="H182"/>
    </row>
    <row r="183" spans="7:8" x14ac:dyDescent="0.3">
      <c r="G183"/>
      <c r="H183"/>
    </row>
    <row r="184" spans="7:8" x14ac:dyDescent="0.3">
      <c r="G184"/>
      <c r="H184"/>
    </row>
    <row r="185" spans="7:8" x14ac:dyDescent="0.3">
      <c r="G185"/>
      <c r="H185"/>
    </row>
    <row r="186" spans="7:8" x14ac:dyDescent="0.3">
      <c r="G186"/>
      <c r="H186"/>
    </row>
    <row r="187" spans="7:8" x14ac:dyDescent="0.3">
      <c r="G187"/>
      <c r="H187"/>
    </row>
    <row r="188" spans="7:8" x14ac:dyDescent="0.3">
      <c r="G188"/>
      <c r="H188"/>
    </row>
    <row r="189" spans="7:8" x14ac:dyDescent="0.3">
      <c r="G189"/>
      <c r="H189"/>
    </row>
    <row r="190" spans="7:8" x14ac:dyDescent="0.3">
      <c r="G190"/>
      <c r="H190"/>
    </row>
    <row r="191" spans="7:8" x14ac:dyDescent="0.3">
      <c r="G191"/>
      <c r="H191"/>
    </row>
    <row r="192" spans="7:8" x14ac:dyDescent="0.3">
      <c r="G192"/>
      <c r="H192"/>
    </row>
    <row r="193" spans="7:8" x14ac:dyDescent="0.3">
      <c r="G193"/>
      <c r="H193"/>
    </row>
    <row r="194" spans="7:8" x14ac:dyDescent="0.3">
      <c r="G194"/>
      <c r="H194"/>
    </row>
    <row r="195" spans="7:8" x14ac:dyDescent="0.3">
      <c r="G195"/>
      <c r="H195"/>
    </row>
    <row r="196" spans="7:8" x14ac:dyDescent="0.3">
      <c r="G196"/>
      <c r="H196"/>
    </row>
    <row r="197" spans="7:8" x14ac:dyDescent="0.3">
      <c r="G197"/>
      <c r="H197"/>
    </row>
    <row r="198" spans="7:8" x14ac:dyDescent="0.3">
      <c r="G198"/>
      <c r="H198"/>
    </row>
    <row r="199" spans="7:8" x14ac:dyDescent="0.3">
      <c r="G199"/>
      <c r="H199"/>
    </row>
    <row r="200" spans="7:8" x14ac:dyDescent="0.3">
      <c r="G200"/>
      <c r="H200"/>
    </row>
    <row r="201" spans="7:8" x14ac:dyDescent="0.3">
      <c r="G201"/>
      <c r="H201"/>
    </row>
    <row r="202" spans="7:8" x14ac:dyDescent="0.3">
      <c r="G202"/>
      <c r="H202"/>
    </row>
    <row r="203" spans="7:8" x14ac:dyDescent="0.3">
      <c r="G203"/>
      <c r="H203"/>
    </row>
    <row r="204" spans="7:8" x14ac:dyDescent="0.3">
      <c r="G204"/>
      <c r="H204"/>
    </row>
    <row r="205" spans="7:8" x14ac:dyDescent="0.3">
      <c r="G205"/>
      <c r="H205"/>
    </row>
    <row r="206" spans="7:8" x14ac:dyDescent="0.3">
      <c r="G206"/>
      <c r="H206"/>
    </row>
    <row r="207" spans="7:8" x14ac:dyDescent="0.3">
      <c r="G207"/>
      <c r="H207"/>
    </row>
    <row r="208" spans="7:8" x14ac:dyDescent="0.3">
      <c r="G208"/>
      <c r="H208"/>
    </row>
    <row r="209" spans="7:8" x14ac:dyDescent="0.3">
      <c r="G209"/>
      <c r="H209"/>
    </row>
    <row r="210" spans="7:8" x14ac:dyDescent="0.3">
      <c r="G210"/>
      <c r="H210"/>
    </row>
    <row r="211" spans="7:8" x14ac:dyDescent="0.3">
      <c r="G211"/>
      <c r="H211"/>
    </row>
    <row r="212" spans="7:8" x14ac:dyDescent="0.3">
      <c r="G212"/>
      <c r="H212"/>
    </row>
    <row r="213" spans="7:8" x14ac:dyDescent="0.3">
      <c r="G213"/>
      <c r="H213"/>
    </row>
    <row r="214" spans="7:8" x14ac:dyDescent="0.3">
      <c r="G214"/>
      <c r="H214"/>
    </row>
    <row r="215" spans="7:8" x14ac:dyDescent="0.3">
      <c r="G215"/>
      <c r="H215"/>
    </row>
    <row r="216" spans="7:8" x14ac:dyDescent="0.3">
      <c r="G216"/>
      <c r="H216"/>
    </row>
    <row r="217" spans="7:8" x14ac:dyDescent="0.3">
      <c r="G217"/>
      <c r="H217"/>
    </row>
    <row r="218" spans="7:8" x14ac:dyDescent="0.3">
      <c r="G218"/>
      <c r="H218"/>
    </row>
    <row r="219" spans="7:8" x14ac:dyDescent="0.3">
      <c r="G219"/>
      <c r="H219"/>
    </row>
    <row r="220" spans="7:8" x14ac:dyDescent="0.3">
      <c r="G220"/>
      <c r="H220"/>
    </row>
    <row r="221" spans="7:8" x14ac:dyDescent="0.3">
      <c r="G221"/>
      <c r="H221"/>
    </row>
    <row r="222" spans="7:8" x14ac:dyDescent="0.3">
      <c r="G222"/>
      <c r="H222"/>
    </row>
    <row r="223" spans="7:8" x14ac:dyDescent="0.3">
      <c r="G223"/>
      <c r="H223"/>
    </row>
    <row r="224" spans="7:8" x14ac:dyDescent="0.3">
      <c r="G224"/>
      <c r="H224"/>
    </row>
    <row r="225" spans="7:8" x14ac:dyDescent="0.3">
      <c r="G225"/>
      <c r="H225"/>
    </row>
    <row r="226" spans="7:8" x14ac:dyDescent="0.3">
      <c r="G226"/>
      <c r="H226"/>
    </row>
    <row r="227" spans="7:8" x14ac:dyDescent="0.3">
      <c r="G227"/>
      <c r="H227"/>
    </row>
    <row r="228" spans="7:8" x14ac:dyDescent="0.3">
      <c r="G228"/>
      <c r="H228"/>
    </row>
    <row r="229" spans="7:8" x14ac:dyDescent="0.3">
      <c r="G229"/>
      <c r="H229"/>
    </row>
    <row r="230" spans="7:8" x14ac:dyDescent="0.3">
      <c r="G230"/>
      <c r="H230"/>
    </row>
    <row r="231" spans="7:8" x14ac:dyDescent="0.3">
      <c r="G231"/>
      <c r="H231"/>
    </row>
    <row r="232" spans="7:8" x14ac:dyDescent="0.3">
      <c r="G232"/>
      <c r="H232"/>
    </row>
    <row r="233" spans="7:8" x14ac:dyDescent="0.3">
      <c r="G233"/>
      <c r="H233"/>
    </row>
    <row r="234" spans="7:8" x14ac:dyDescent="0.3">
      <c r="G234"/>
      <c r="H234"/>
    </row>
    <row r="235" spans="7:8" x14ac:dyDescent="0.3">
      <c r="G235"/>
      <c r="H235"/>
    </row>
    <row r="236" spans="7:8" x14ac:dyDescent="0.3">
      <c r="G236"/>
      <c r="H236"/>
    </row>
    <row r="237" spans="7:8" x14ac:dyDescent="0.3">
      <c r="G237"/>
      <c r="H237"/>
    </row>
    <row r="238" spans="7:8" x14ac:dyDescent="0.3">
      <c r="G238"/>
      <c r="H238"/>
    </row>
    <row r="239" spans="7:8" x14ac:dyDescent="0.3">
      <c r="G239"/>
      <c r="H239"/>
    </row>
    <row r="240" spans="7:8" x14ac:dyDescent="0.3">
      <c r="G240"/>
      <c r="H240"/>
    </row>
    <row r="241" spans="7:8" x14ac:dyDescent="0.3">
      <c r="G241"/>
      <c r="H241"/>
    </row>
    <row r="242" spans="7:8" x14ac:dyDescent="0.3">
      <c r="G242"/>
      <c r="H242"/>
    </row>
    <row r="243" spans="7:8" x14ac:dyDescent="0.3">
      <c r="G243"/>
      <c r="H243"/>
    </row>
    <row r="244" spans="7:8" x14ac:dyDescent="0.3">
      <c r="G244"/>
      <c r="H244"/>
    </row>
    <row r="245" spans="7:8" x14ac:dyDescent="0.3">
      <c r="G245"/>
      <c r="H245"/>
    </row>
    <row r="246" spans="7:8" x14ac:dyDescent="0.3">
      <c r="G246"/>
      <c r="H246"/>
    </row>
    <row r="247" spans="7:8" x14ac:dyDescent="0.3">
      <c r="G247"/>
      <c r="H247"/>
    </row>
    <row r="248" spans="7:8" x14ac:dyDescent="0.3">
      <c r="G248"/>
      <c r="H248"/>
    </row>
    <row r="249" spans="7:8" x14ac:dyDescent="0.3">
      <c r="G249"/>
      <c r="H249"/>
    </row>
    <row r="250" spans="7:8" x14ac:dyDescent="0.3">
      <c r="G250"/>
      <c r="H250"/>
    </row>
    <row r="251" spans="7:8" x14ac:dyDescent="0.3">
      <c r="G251"/>
      <c r="H251"/>
    </row>
    <row r="252" spans="7:8" x14ac:dyDescent="0.3">
      <c r="G252"/>
      <c r="H252"/>
    </row>
    <row r="253" spans="7:8" x14ac:dyDescent="0.3">
      <c r="G253"/>
      <c r="H253"/>
    </row>
    <row r="254" spans="7:8" x14ac:dyDescent="0.3">
      <c r="G254"/>
      <c r="H254"/>
    </row>
    <row r="255" spans="7:8" x14ac:dyDescent="0.3">
      <c r="G255"/>
      <c r="H255"/>
    </row>
    <row r="256" spans="7:8" x14ac:dyDescent="0.3">
      <c r="G256"/>
      <c r="H256"/>
    </row>
    <row r="257" spans="7:8" x14ac:dyDescent="0.3">
      <c r="G257"/>
      <c r="H257"/>
    </row>
    <row r="258" spans="7:8" x14ac:dyDescent="0.3">
      <c r="G258"/>
      <c r="H258"/>
    </row>
    <row r="259" spans="7:8" x14ac:dyDescent="0.3">
      <c r="G259"/>
      <c r="H259"/>
    </row>
    <row r="260" spans="7:8" x14ac:dyDescent="0.3">
      <c r="G260"/>
      <c r="H260"/>
    </row>
    <row r="261" spans="7:8" x14ac:dyDescent="0.3">
      <c r="G261"/>
      <c r="H261"/>
    </row>
    <row r="262" spans="7:8" x14ac:dyDescent="0.3">
      <c r="G262"/>
      <c r="H262"/>
    </row>
    <row r="263" spans="7:8" x14ac:dyDescent="0.3">
      <c r="G263"/>
      <c r="H263"/>
    </row>
    <row r="264" spans="7:8" x14ac:dyDescent="0.3">
      <c r="G264"/>
      <c r="H264"/>
    </row>
    <row r="265" spans="7:8" x14ac:dyDescent="0.3">
      <c r="G265"/>
      <c r="H265"/>
    </row>
    <row r="266" spans="7:8" x14ac:dyDescent="0.3">
      <c r="G266"/>
      <c r="H266"/>
    </row>
    <row r="267" spans="7:8" x14ac:dyDescent="0.3">
      <c r="G267"/>
      <c r="H267"/>
    </row>
    <row r="268" spans="7:8" x14ac:dyDescent="0.3">
      <c r="G268"/>
      <c r="H268"/>
    </row>
    <row r="269" spans="7:8" x14ac:dyDescent="0.3">
      <c r="G269"/>
      <c r="H269"/>
    </row>
    <row r="270" spans="7:8" x14ac:dyDescent="0.3">
      <c r="G270"/>
      <c r="H270"/>
    </row>
    <row r="271" spans="7:8" x14ac:dyDescent="0.3">
      <c r="G271"/>
      <c r="H271"/>
    </row>
    <row r="272" spans="7:8" x14ac:dyDescent="0.3">
      <c r="G272"/>
      <c r="H272"/>
    </row>
    <row r="273" spans="7:8" x14ac:dyDescent="0.3">
      <c r="G273"/>
      <c r="H273"/>
    </row>
    <row r="274" spans="7:8" x14ac:dyDescent="0.3">
      <c r="G274"/>
      <c r="H274"/>
    </row>
    <row r="275" spans="7:8" x14ac:dyDescent="0.3">
      <c r="G275"/>
      <c r="H275"/>
    </row>
    <row r="276" spans="7:8" x14ac:dyDescent="0.3">
      <c r="G276"/>
      <c r="H276"/>
    </row>
    <row r="277" spans="7:8" x14ac:dyDescent="0.3">
      <c r="G277"/>
      <c r="H277"/>
    </row>
    <row r="278" spans="7:8" x14ac:dyDescent="0.3">
      <c r="G278"/>
      <c r="H278"/>
    </row>
    <row r="279" spans="7:8" x14ac:dyDescent="0.3">
      <c r="G279"/>
      <c r="H279"/>
    </row>
    <row r="280" spans="7:8" x14ac:dyDescent="0.3">
      <c r="G280"/>
      <c r="H280"/>
    </row>
    <row r="281" spans="7:8" x14ac:dyDescent="0.3">
      <c r="G281"/>
      <c r="H281"/>
    </row>
    <row r="282" spans="7:8" x14ac:dyDescent="0.3">
      <c r="G282"/>
      <c r="H282"/>
    </row>
    <row r="283" spans="7:8" x14ac:dyDescent="0.3">
      <c r="G283"/>
      <c r="H283"/>
    </row>
    <row r="284" spans="7:8" x14ac:dyDescent="0.3">
      <c r="G284"/>
      <c r="H284"/>
    </row>
    <row r="285" spans="7:8" x14ac:dyDescent="0.3">
      <c r="G285"/>
      <c r="H285"/>
    </row>
    <row r="286" spans="7:8" x14ac:dyDescent="0.3">
      <c r="G286"/>
      <c r="H286"/>
    </row>
    <row r="287" spans="7:8" x14ac:dyDescent="0.3">
      <c r="G287"/>
      <c r="H287"/>
    </row>
    <row r="288" spans="7:8" x14ac:dyDescent="0.3">
      <c r="G288"/>
      <c r="H288"/>
    </row>
    <row r="289" spans="7:8" x14ac:dyDescent="0.3">
      <c r="G289"/>
      <c r="H289"/>
    </row>
    <row r="290" spans="7:8" x14ac:dyDescent="0.3">
      <c r="G290"/>
      <c r="H290"/>
    </row>
    <row r="291" spans="7:8" x14ac:dyDescent="0.3">
      <c r="G291"/>
      <c r="H291"/>
    </row>
    <row r="292" spans="7:8" x14ac:dyDescent="0.3">
      <c r="G292"/>
      <c r="H292"/>
    </row>
    <row r="293" spans="7:8" x14ac:dyDescent="0.3">
      <c r="G293"/>
      <c r="H293"/>
    </row>
    <row r="294" spans="7:8" x14ac:dyDescent="0.3">
      <c r="G294"/>
      <c r="H294"/>
    </row>
    <row r="295" spans="7:8" x14ac:dyDescent="0.3">
      <c r="G295"/>
      <c r="H295"/>
    </row>
    <row r="296" spans="7:8" x14ac:dyDescent="0.3">
      <c r="G296"/>
      <c r="H296"/>
    </row>
    <row r="297" spans="7:8" x14ac:dyDescent="0.3">
      <c r="G297"/>
      <c r="H297"/>
    </row>
    <row r="298" spans="7:8" x14ac:dyDescent="0.3">
      <c r="G298"/>
      <c r="H298"/>
    </row>
    <row r="299" spans="7:8" x14ac:dyDescent="0.3">
      <c r="G299"/>
      <c r="H299"/>
    </row>
    <row r="300" spans="7:8" x14ac:dyDescent="0.3">
      <c r="G300"/>
      <c r="H300"/>
    </row>
    <row r="301" spans="7:8" x14ac:dyDescent="0.3">
      <c r="G301"/>
      <c r="H301"/>
    </row>
    <row r="302" spans="7:8" x14ac:dyDescent="0.3">
      <c r="G302"/>
      <c r="H302"/>
    </row>
    <row r="303" spans="7:8" x14ac:dyDescent="0.3">
      <c r="G303"/>
      <c r="H303"/>
    </row>
    <row r="304" spans="7:8" x14ac:dyDescent="0.3">
      <c r="G304"/>
      <c r="H304"/>
    </row>
    <row r="305" spans="7:8" x14ac:dyDescent="0.3">
      <c r="G305"/>
      <c r="H305"/>
    </row>
    <row r="306" spans="7:8" x14ac:dyDescent="0.3">
      <c r="G306"/>
      <c r="H306"/>
    </row>
    <row r="307" spans="7:8" x14ac:dyDescent="0.3">
      <c r="G307"/>
      <c r="H307"/>
    </row>
    <row r="308" spans="7:8" x14ac:dyDescent="0.3">
      <c r="G308"/>
      <c r="H308"/>
    </row>
    <row r="309" spans="7:8" x14ac:dyDescent="0.3">
      <c r="G309"/>
      <c r="H309"/>
    </row>
    <row r="310" spans="7:8" x14ac:dyDescent="0.3">
      <c r="G310"/>
      <c r="H310"/>
    </row>
    <row r="311" spans="7:8" x14ac:dyDescent="0.3">
      <c r="G311"/>
      <c r="H311"/>
    </row>
    <row r="312" spans="7:8" x14ac:dyDescent="0.3">
      <c r="G312"/>
      <c r="H312"/>
    </row>
    <row r="313" spans="7:8" x14ac:dyDescent="0.3">
      <c r="G313"/>
      <c r="H313"/>
    </row>
    <row r="314" spans="7:8" x14ac:dyDescent="0.3">
      <c r="G314"/>
      <c r="H314"/>
    </row>
    <row r="315" spans="7:8" x14ac:dyDescent="0.3">
      <c r="G315"/>
      <c r="H315"/>
    </row>
    <row r="316" spans="7:8" x14ac:dyDescent="0.3">
      <c r="G316"/>
      <c r="H316"/>
    </row>
    <row r="317" spans="7:8" x14ac:dyDescent="0.3">
      <c r="G317"/>
      <c r="H317"/>
    </row>
    <row r="318" spans="7:8" x14ac:dyDescent="0.3">
      <c r="G318"/>
      <c r="H318"/>
    </row>
    <row r="319" spans="7:8" x14ac:dyDescent="0.3">
      <c r="G319"/>
      <c r="H319"/>
    </row>
    <row r="320" spans="7:8" x14ac:dyDescent="0.3">
      <c r="G320"/>
      <c r="H320"/>
    </row>
    <row r="321" spans="7:8" x14ac:dyDescent="0.3">
      <c r="G321"/>
      <c r="H321"/>
    </row>
    <row r="322" spans="7:8" x14ac:dyDescent="0.3">
      <c r="G322"/>
      <c r="H322"/>
    </row>
    <row r="323" spans="7:8" x14ac:dyDescent="0.3">
      <c r="G323"/>
      <c r="H323"/>
    </row>
    <row r="324" spans="7:8" x14ac:dyDescent="0.3">
      <c r="G324"/>
      <c r="H324"/>
    </row>
    <row r="325" spans="7:8" x14ac:dyDescent="0.3">
      <c r="G325"/>
      <c r="H325"/>
    </row>
    <row r="326" spans="7:8" x14ac:dyDescent="0.3">
      <c r="G326"/>
      <c r="H326"/>
    </row>
    <row r="327" spans="7:8" x14ac:dyDescent="0.3">
      <c r="G327"/>
      <c r="H327"/>
    </row>
    <row r="328" spans="7:8" x14ac:dyDescent="0.3">
      <c r="G328"/>
      <c r="H328"/>
    </row>
    <row r="329" spans="7:8" x14ac:dyDescent="0.3">
      <c r="G329"/>
      <c r="H329"/>
    </row>
    <row r="330" spans="7:8" x14ac:dyDescent="0.3">
      <c r="G330"/>
      <c r="H330"/>
    </row>
    <row r="331" spans="7:8" x14ac:dyDescent="0.3">
      <c r="G331"/>
      <c r="H331"/>
    </row>
    <row r="332" spans="7:8" x14ac:dyDescent="0.3">
      <c r="G332"/>
      <c r="H332"/>
    </row>
    <row r="333" spans="7:8" x14ac:dyDescent="0.3">
      <c r="G333"/>
      <c r="H333"/>
    </row>
    <row r="334" spans="7:8" x14ac:dyDescent="0.3">
      <c r="G334"/>
      <c r="H334"/>
    </row>
    <row r="335" spans="7:8" x14ac:dyDescent="0.3">
      <c r="G335"/>
      <c r="H335"/>
    </row>
    <row r="336" spans="7:8" x14ac:dyDescent="0.3">
      <c r="G336"/>
      <c r="H336"/>
    </row>
    <row r="337" spans="7:8" x14ac:dyDescent="0.3">
      <c r="G337"/>
      <c r="H337"/>
    </row>
    <row r="338" spans="7:8" x14ac:dyDescent="0.3">
      <c r="G338"/>
      <c r="H338"/>
    </row>
    <row r="339" spans="7:8" x14ac:dyDescent="0.3">
      <c r="G339"/>
      <c r="H339"/>
    </row>
    <row r="340" spans="7:8" x14ac:dyDescent="0.3">
      <c r="G340"/>
      <c r="H340"/>
    </row>
    <row r="341" spans="7:8" x14ac:dyDescent="0.3">
      <c r="G341"/>
      <c r="H341"/>
    </row>
    <row r="342" spans="7:8" x14ac:dyDescent="0.3">
      <c r="G342"/>
      <c r="H342"/>
    </row>
    <row r="343" spans="7:8" x14ac:dyDescent="0.3">
      <c r="G343"/>
      <c r="H343"/>
    </row>
    <row r="344" spans="7:8" x14ac:dyDescent="0.3">
      <c r="G344"/>
      <c r="H344"/>
    </row>
    <row r="345" spans="7:8" x14ac:dyDescent="0.3">
      <c r="G345"/>
      <c r="H345"/>
    </row>
    <row r="346" spans="7:8" x14ac:dyDescent="0.3">
      <c r="G346"/>
      <c r="H346"/>
    </row>
    <row r="347" spans="7:8" x14ac:dyDescent="0.3">
      <c r="G347"/>
      <c r="H347"/>
    </row>
    <row r="348" spans="7:8" x14ac:dyDescent="0.3">
      <c r="G348"/>
      <c r="H348"/>
    </row>
    <row r="349" spans="7:8" x14ac:dyDescent="0.3">
      <c r="G349"/>
      <c r="H349"/>
    </row>
    <row r="350" spans="7:8" x14ac:dyDescent="0.3">
      <c r="G350"/>
      <c r="H350"/>
    </row>
    <row r="351" spans="7:8" x14ac:dyDescent="0.3">
      <c r="G351"/>
      <c r="H351"/>
    </row>
    <row r="352" spans="7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  <row r="356" spans="7:8" x14ac:dyDescent="0.3">
      <c r="G356"/>
      <c r="H356"/>
    </row>
    <row r="357" spans="7:8" x14ac:dyDescent="0.3">
      <c r="G357"/>
      <c r="H357"/>
    </row>
    <row r="358" spans="7:8" x14ac:dyDescent="0.3">
      <c r="G358"/>
      <c r="H358"/>
    </row>
    <row r="359" spans="7:8" x14ac:dyDescent="0.3">
      <c r="G359"/>
      <c r="H359"/>
    </row>
    <row r="360" spans="7:8" x14ac:dyDescent="0.3">
      <c r="G360"/>
      <c r="H360"/>
    </row>
    <row r="361" spans="7:8" x14ac:dyDescent="0.3">
      <c r="G361"/>
      <c r="H361"/>
    </row>
    <row r="362" spans="7:8" x14ac:dyDescent="0.3">
      <c r="G362"/>
      <c r="H362"/>
    </row>
    <row r="363" spans="7:8" x14ac:dyDescent="0.3">
      <c r="G363"/>
      <c r="H363"/>
    </row>
    <row r="364" spans="7:8" x14ac:dyDescent="0.3">
      <c r="G364"/>
      <c r="H364"/>
    </row>
    <row r="365" spans="7:8" x14ac:dyDescent="0.3">
      <c r="G365"/>
      <c r="H365"/>
    </row>
    <row r="366" spans="7:8" x14ac:dyDescent="0.3">
      <c r="G366"/>
      <c r="H366"/>
    </row>
    <row r="367" spans="7:8" x14ac:dyDescent="0.3">
      <c r="G367"/>
      <c r="H367"/>
    </row>
    <row r="368" spans="7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2.xml><?xml version="1.0" encoding="utf-8"?>
<ds:datastoreItem xmlns:ds="http://schemas.openxmlformats.org/officeDocument/2006/customXml" ds:itemID="{FBA93B15-F93A-409C-B5AD-8A03E1FABD69}">
  <ds:schemaRefs/>
</ds:datastoreItem>
</file>

<file path=customXml/itemProps3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4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410D5329-70D1-4F36-B595-C170C1D941F8}">
  <ds:schemaRefs/>
</ds:datastoreItem>
</file>

<file path=customXml/itemProps10.xml><?xml version="1.0" encoding="utf-8"?>
<ds:datastoreItem xmlns:ds="http://schemas.openxmlformats.org/officeDocument/2006/customXml" ds:itemID="{B234D8B0-A588-4919-9553-88E089A6AE3C}">
  <ds:schemaRefs/>
</ds:datastoreItem>
</file>

<file path=customXml/itemProps11.xml><?xml version="1.0" encoding="utf-8"?>
<ds:datastoreItem xmlns:ds="http://schemas.openxmlformats.org/officeDocument/2006/customXml" ds:itemID="{00569668-7A36-49B4-9A83-D076EE386028}">
  <ds:schemaRefs/>
</ds:datastoreItem>
</file>

<file path=customXml/itemProps12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3.xml><?xml version="1.0" encoding="utf-8"?>
<ds:datastoreItem xmlns:ds="http://schemas.openxmlformats.org/officeDocument/2006/customXml" ds:itemID="{FE12FF64-849C-4E61-B127-60F95ACE44FA}">
  <ds:schemaRefs/>
</ds:datastoreItem>
</file>

<file path=customXml/itemProps14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6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7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2026-07-16T21:03:55Z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