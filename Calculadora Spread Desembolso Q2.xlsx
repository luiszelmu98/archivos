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data" ContentType="application/vnd.openxmlformats-officedocument.model+data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Definition2.xml" ContentType="application/vnd.openxmlformats-officedocument.spreadsheetml.pivotCacheDefinition+xml"/>
  <Override PartName="/xl/pivotCache/pivotCacheDefinition3.xml" ContentType="application/vnd.openxmlformats-officedocument.spreadsheetml.pivotCacheDefinition+xml"/>
  <Override PartName="/xl/slicerCaches/slicerCache1.xml" ContentType="application/vnd.ms-excel.slicerCache+xml"/>
  <Override PartName="/xl/slicerCaches/slicerCache2.xml" ContentType="application/vnd.ms-excel.slicerCache+xml"/>
  <Override PartName="/xl/slicerCaches/slicerCache3.xml" ContentType="application/vnd.ms-excel.slicerCache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drawings/drawing1.xml" ContentType="application/vnd.openxmlformats-officedocument.drawing+xml"/>
  <Override PartName="/xl/slicers/slicer1.xml" ContentType="application/vnd.ms-excel.slicer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customXml/itemProps5.xml" ContentType="application/vnd.openxmlformats-officedocument.customXmlProperties+xml"/>
  <Override PartName="/customXml/itemProps6.xml" ContentType="application/vnd.openxmlformats-officedocument.customXmlProperties+xml"/>
  <Override PartName="/customXml/itemProps7.xml" ContentType="application/vnd.openxmlformats-officedocument.customXmlProperties+xml"/>
  <Override PartName="/customXml/itemProps8.xml" ContentType="application/vnd.openxmlformats-officedocument.customXmlProperties+xml"/>
  <Override PartName="/customXml/itemProps9.xml" ContentType="application/vnd.openxmlformats-officedocument.customXmlProperties+xml"/>
  <Override PartName="/customXml/itemProps10.xml" ContentType="application/vnd.openxmlformats-officedocument.customXmlProperties+xml"/>
  <Override PartName="/customXml/itemProps11.xml" ContentType="application/vnd.openxmlformats-officedocument.customXmlProperties+xml"/>
  <Override PartName="/customXml/itemProps12.xml" ContentType="application/vnd.openxmlformats-officedocument.customXmlProperties+xml"/>
  <Override PartName="/customXml/itemProps13.xml" ContentType="application/vnd.openxmlformats-officedocument.customXmlProperties+xml"/>
  <Override PartName="/customXml/itemProps14.xml" ContentType="application/vnd.openxmlformats-officedocument.customXmlProperties+xml"/>
  <Override PartName="/customXml/itemProps15.xml" ContentType="application/vnd.openxmlformats-officedocument.customXmlProperties+xml"/>
  <Override PartName="/customXml/itemProps16.xml" ContentType="application/vnd.openxmlformats-officedocument.customXmlProperties+xml"/>
  <Override PartName="/customXml/itemProps17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/>
  <mc:AlternateContent xmlns:mc="http://schemas.openxmlformats.org/markup-compatibility/2006">
    <mc:Choice Requires="x15">
      <x15ac:absPath xmlns:x15ac="http://schemas.microsoft.com/office/spreadsheetml/2010/11/ac" url="https://bcofinanciero-my.sharepoint.com/personal/estrategiayplanificacionbm_financiero_com_pe/Documents/Estrategia y Planificación/Planificación Comercial/6. Luis Zelada/Compartido/"/>
    </mc:Choice>
  </mc:AlternateContent>
  <xr:revisionPtr revIDLastSave="527" documentId="8_{E9AFCAC9-B2A1-4EC4-B527-4B3219212ADD}" xr6:coauthVersionLast="47" xr6:coauthVersionMax="47" xr10:uidLastSave="{CEF2913F-0143-43A2-A551-42DDFADE2322}"/>
  <bookViews>
    <workbookView xWindow="-110" yWindow="-110" windowWidth="19420" windowHeight="11620" xr2:uid="{BEC1CC08-7D12-4054-A6E2-49DCCE683546}"/>
  </bookViews>
  <sheets>
    <sheet name="Calculadora" sheetId="2" r:id="rId1"/>
  </sheets>
  <definedNames>
    <definedName name="SegmentaciónDeDatos_Grupo">#N/A</definedName>
    <definedName name="SegmentaciónDeDatos_Lider">#N/A</definedName>
    <definedName name="SegmentaciónDeDatos_NombreFuncionario">#N/A</definedName>
  </definedNames>
  <calcPr calcId="191028"/>
  <pivotCaches>
    <pivotCache cacheId="30" r:id="rId2"/>
    <pivotCache cacheId="33" r:id="rId3"/>
  </pivotCaches>
  <extLst>
    <ext xmlns:x14="http://schemas.microsoft.com/office/spreadsheetml/2009/9/main" uri="{876F7934-8845-4945-9796-88D515C7AA90}">
      <x14:pivotCaches>
        <pivotCache cacheId="29" r:id="rId4"/>
      </x14:pivotCaches>
    </ext>
    <ext xmlns:x14="http://schemas.microsoft.com/office/spreadsheetml/2009/9/main" uri="{BBE1A952-AA13-448e-AADC-164F8A28A991}">
      <x14:slicerCaches>
        <x14:slicerCache r:id="rId5"/>
        <x14:slicerCache r:id="rId6"/>
        <x14:slicerCache r:id="rId7"/>
      </x14:slicerCaches>
    </ext>
    <ext xmlns:x14="http://schemas.microsoft.com/office/spreadsheetml/2009/9/main" uri="{79F54976-1DA5-4618-B147-4CDE4B953A38}">
      <x14:workbookPr/>
    </ext>
    <ext xmlns:x15="http://schemas.microsoft.com/office/spreadsheetml/2010/11/main" uri="{140A7094-0E35-4892-8432-C4D2E57EDEB5}">
      <x15:workbookPr chartTrackingRefBase="1"/>
    </ext>
    <ext xmlns:x15="http://schemas.microsoft.com/office/spreadsheetml/2010/11/main" uri="{FCE2AD5D-F65C-4FA6-A056-5C36A1767C68}">
      <x15:dataModel>
        <x15:modelTables>
          <x15:modelTable id="Desem_b1380b3c-db72-424f-adbb-d519295d1a86" name="Desem" connection="Consulta - Desem"/>
        </x15:modelTables>
      </x15:dataModel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9" i="2" l="1"/>
  <c r="H8" i="2" a="1"/>
  <c r="H8" i="2" s="1"/>
  <c r="G8" i="2"/>
  <c r="H7" i="2" a="1"/>
  <c r="H7" i="2" s="1"/>
  <c r="G7" i="2"/>
  <c r="G6" i="2"/>
  <c r="H6" i="2" a="1"/>
  <c r="H6" i="2" s="1"/>
  <c r="H10" i="2"/>
  <c r="G10" i="2"/>
  <c r="T17" i="2"/>
  <c r="H9" i="2" l="1"/>
  <c r="G9" i="2"/>
  <c r="H12" i="2"/>
  <c r="H11" i="2"/>
  <c r="G11" i="2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BB2DF93E-A863-4685-9B34-A3217F685E2C}" name="Consulta - Desem" description="Conexión a la consulta 'Desem' en el libro." type="100" refreshedVersion="8" minRefreshableVersion="5">
    <extLst>
      <ext xmlns:x15="http://schemas.microsoft.com/office/spreadsheetml/2010/11/main" uri="{DE250136-89BD-433C-8126-D09CA5730AF9}">
        <x15:connection id="16238ebd-f7d5-437f-b034-fcea7d32cd27"/>
      </ext>
    </extLst>
  </connection>
  <connection id="2" xr16:uid="{08D6A999-23BE-4C9A-B34F-1512DC4E1596}" keepAlive="1" name="ThisWorkbookDataModel" description="Modelo de datos" type="5" refreshedVersion="8" minRefreshableVersion="5">
    <dbPr connection="Data Model Connection" command="Model" commandType="1"/>
    <olapPr sendLocale="1" rowDrillCount="1000"/>
    <extLst>
      <ext xmlns:x15="http://schemas.microsoft.com/office/spreadsheetml/2010/11/main" uri="{DE250136-89BD-433C-8126-D09CA5730AF9}">
        <x15:connection id="" model="1"/>
      </ext>
    </extLst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<sst xmlns="http://schemas.openxmlformats.org/spreadsheetml/2006/main" count="2079" uniqueCount="281">
  <si>
    <t>Calculadora de spread de desembolso</t>
  </si>
  <si>
    <t>Actualizado:</t>
  </si>
  <si>
    <t>Desembolsos</t>
  </si>
  <si>
    <t>Spread</t>
  </si>
  <si>
    <t>Abril</t>
  </si>
  <si>
    <t>Mayo</t>
  </si>
  <si>
    <t>Acumulado Real</t>
  </si>
  <si>
    <t>Acumulado Simulado</t>
  </si>
  <si>
    <t>Meta Q2</t>
  </si>
  <si>
    <t>Nota. Monto en millones</t>
  </si>
  <si>
    <t>Nota. No ingresar spread como porcentaje (%).</t>
  </si>
  <si>
    <t>Periodo</t>
  </si>
  <si>
    <t>Nombre Funcionario</t>
  </si>
  <si>
    <t>Operacion</t>
  </si>
  <si>
    <t>Moneda</t>
  </si>
  <si>
    <t>Producto</t>
  </si>
  <si>
    <t>NombreCliente</t>
  </si>
  <si>
    <t>Monto Desem.</t>
  </si>
  <si>
    <t>Spread Desem.</t>
  </si>
  <si>
    <t>A.ROJAS</t>
  </si>
  <si>
    <t>USD</t>
  </si>
  <si>
    <t>PRESTAMOS</t>
  </si>
  <si>
    <t>Etiquetas de fila</t>
  </si>
  <si>
    <t>Banquero</t>
  </si>
  <si>
    <t>2026 Q2</t>
  </si>
  <si>
    <t>PEN</t>
  </si>
  <si>
    <t>COMEX</t>
  </si>
  <si>
    <t>G.BRAVO</t>
  </si>
  <si>
    <t>C.ESPINOZA</t>
  </si>
  <si>
    <t>M.LAZO</t>
  </si>
  <si>
    <t>C.MARKY</t>
  </si>
  <si>
    <t>R.HERVIAS</t>
  </si>
  <si>
    <t>C.MEJIA</t>
  </si>
  <si>
    <t>G.AGAPITO</t>
  </si>
  <si>
    <t>E.NUNEZ</t>
  </si>
  <si>
    <t>J.NICOLI</t>
  </si>
  <si>
    <t>J.RAFFO*14014</t>
  </si>
  <si>
    <t>DESCUENTOS</t>
  </si>
  <si>
    <t>P.OYARCE</t>
  </si>
  <si>
    <t>G.RAFFO</t>
  </si>
  <si>
    <t>J.CARRERA</t>
  </si>
  <si>
    <t>J.GRANDEZ</t>
  </si>
  <si>
    <t>M.ROA</t>
  </si>
  <si>
    <t>J.NAVARRO</t>
  </si>
  <si>
    <t>R.SOLIS</t>
  </si>
  <si>
    <t>M.CASTAÑEDA</t>
  </si>
  <si>
    <t>W.MACHUCA</t>
  </si>
  <si>
    <t>W.MONTES</t>
  </si>
  <si>
    <t>Total general</t>
  </si>
  <si>
    <t>RELIPER PERU SAC</t>
  </si>
  <si>
    <t>ACEROS Y CONCRETOS S A C</t>
  </si>
  <si>
    <t>INTERLOOM S A C</t>
  </si>
  <si>
    <t>INVERSIONES JOCEMA SAC</t>
  </si>
  <si>
    <t>COLORTEX PERU S A</t>
  </si>
  <si>
    <t>ONCOLOGIA SAC</t>
  </si>
  <si>
    <t>COVALCO CIA LTDA SUCURSAL DEL PERU</t>
  </si>
  <si>
    <t>S &amp; M FOODS SAC</t>
  </si>
  <si>
    <t>REPRESENTACIONES TECNIMOTORS EIRL</t>
  </si>
  <si>
    <t>WAN XIN GROUP EIRL</t>
  </si>
  <si>
    <t>CORPORACION PANASERVICE SAC</t>
  </si>
  <si>
    <t>PROYECTOS EJECUCION Y MONTAJES INDST S A</t>
  </si>
  <si>
    <t>CAFERMA SAC</t>
  </si>
  <si>
    <t>INDUSTRIA GRAFICA CIMAGRAF SAC</t>
  </si>
  <si>
    <t>CORPORACION AGROEXPORTICA SAC</t>
  </si>
  <si>
    <t>DRRP SOCIEDAD ANONIMA CERRADA</t>
  </si>
  <si>
    <t>SYRUS DISTRIBUTION PERU</t>
  </si>
  <si>
    <t>HIVIMAR S A C</t>
  </si>
  <si>
    <t>MEDIANO PLAZO</t>
  </si>
  <si>
    <t>SIFRAH BIJOU SAC</t>
  </si>
  <si>
    <t>J R STEEL COMPANY</t>
  </si>
  <si>
    <t>MOLINOS ASOCIADOS SOCIEDAD ANONIMA CERRADA</t>
  </si>
  <si>
    <t>EXANDAL SA</t>
  </si>
  <si>
    <t>BATTILANA NUTRICION SAC</t>
  </si>
  <si>
    <t>MIRANDA LANGA AGRO EXPORT SAC</t>
  </si>
  <si>
    <t>EXPORTADORA FRUTICOLA DEL SUR S A</t>
  </si>
  <si>
    <t>POLIMEROS Y PLASTICOS ANDINA SAC</t>
  </si>
  <si>
    <t>CORPORACION CAYMAN SAC</t>
  </si>
  <si>
    <t>RIPCONCIV CONSTRUCCIONES CIVILES CIA LTDA SUC</t>
  </si>
  <si>
    <t>CRECE CAPITAL SAC</t>
  </si>
  <si>
    <t>AGRO SAN GERARDO SAC</t>
  </si>
  <si>
    <t>AGROMAR INDUSTRIAL S A</t>
  </si>
  <si>
    <t>UNION DE NEGOCIOS CORPORATIVOS SAC</t>
  </si>
  <si>
    <t>MINERA ENPROYEC SAC</t>
  </si>
  <si>
    <t>EDIFICADORA DE DISE#O Y CONSTRUCCION SAC</t>
  </si>
  <si>
    <t>SMART GLOBAL SOCIEDAD ANONIMA CERRADA</t>
  </si>
  <si>
    <t>NOBEX AGROINDUSTRIAL SA</t>
  </si>
  <si>
    <t>NATURAL GAS COMPANY S A C</t>
  </si>
  <si>
    <t>NEGRISA S A C</t>
  </si>
  <si>
    <t>IESA S A</t>
  </si>
  <si>
    <t>UNION DE TECNICOS ELECTROMECANICOS SAC</t>
  </si>
  <si>
    <t>ELECTRO FERRO CENTRO SAC EFC SAC</t>
  </si>
  <si>
    <t>AZAFRE PERU S A C</t>
  </si>
  <si>
    <t>COOPERATIVA DE AHORRO Y CREDITO FONDESURCO</t>
  </si>
  <si>
    <t>DEUTSCHE PHARMA S A C</t>
  </si>
  <si>
    <t>C.MARKY*16024</t>
  </si>
  <si>
    <t>F.AMANS*13178</t>
  </si>
  <si>
    <t>M.RODRIGUEZ*16329</t>
  </si>
  <si>
    <t>FITFLOW PERU SRL</t>
  </si>
  <si>
    <t>ADIPLUS S A C</t>
  </si>
  <si>
    <t>IMPLEMENTOS PERU S A C</t>
  </si>
  <si>
    <t>CORPORACION BOLSIPOL SAC</t>
  </si>
  <si>
    <t>GLOBENATURAL SUPERFOODS SAC</t>
  </si>
  <si>
    <t>KIMSA FRESH SAC</t>
  </si>
  <si>
    <t>M &amp; H GROUP SAC</t>
  </si>
  <si>
    <t>M &amp; CALERA SANTA SAC</t>
  </si>
  <si>
    <t>ITALTEL PERU SAC</t>
  </si>
  <si>
    <t>LABORATORIOS LANSIER SAC</t>
  </si>
  <si>
    <t>SIMED PERU SAC</t>
  </si>
  <si>
    <t>LABORATORIOS BIOMONT S A</t>
  </si>
  <si>
    <t>OPERACIONES SEPROCAL SAC</t>
  </si>
  <si>
    <t>INDUSTRIAS JHOMERON S A</t>
  </si>
  <si>
    <t>INTEGRACION LOGISTICA INLOG SAC</t>
  </si>
  <si>
    <t>UNIBELL SAC</t>
  </si>
  <si>
    <t>FLORIDABLANCA SAC</t>
  </si>
  <si>
    <t>J CH COMERCIAL S A</t>
  </si>
  <si>
    <t>AGROCOSTA PERU SAC</t>
  </si>
  <si>
    <t>NOR AUTOS CHICLAYO SAC</t>
  </si>
  <si>
    <t>POLYROOF SOCIEDAD ANONIMA CERRADA</t>
  </si>
  <si>
    <t>MOTO REPUESTOS &amp; AB SAC</t>
  </si>
  <si>
    <t>HILANDERIA LURIN SAC</t>
  </si>
  <si>
    <t>ECO PROYEC PERU S A C</t>
  </si>
  <si>
    <t>COMPRA Y VENTA DE MATERIALES METALICOS S A C</t>
  </si>
  <si>
    <t>DEXIM SRL</t>
  </si>
  <si>
    <t>CONTINENTAL TRAVEL SAC</t>
  </si>
  <si>
    <t>ISEG PERU SAC</t>
  </si>
  <si>
    <t>NEW FASHION PERU S A</t>
  </si>
  <si>
    <t>P A PERU S A C</t>
  </si>
  <si>
    <t>SOUTH PACIFIC INTERNATIONAL S A C</t>
  </si>
  <si>
    <t>KSL SAC</t>
  </si>
  <si>
    <t>AGROINDUSTRIAS HUARAL SAC</t>
  </si>
  <si>
    <t>PROVEEDORES MINEROS SAC</t>
  </si>
  <si>
    <t>GYA CONSTRUCCIONES SAC</t>
  </si>
  <si>
    <t>PENTATECH CONSTRUCCION S A C</t>
  </si>
  <si>
    <t>CONDUTO PERU SAC</t>
  </si>
  <si>
    <t>JOYERIA ALDO SAC</t>
  </si>
  <si>
    <t>CORPORATION WITHMORY SRL</t>
  </si>
  <si>
    <t>FERRETERIA CATALEYA SAC</t>
  </si>
  <si>
    <t>CIA INDUSTRIAL NUEVO MUNDO S A</t>
  </si>
  <si>
    <t>SEDISA S A C</t>
  </si>
  <si>
    <t>OREGON FOODS SAC</t>
  </si>
  <si>
    <t>AGRO INDUSTRIAL PARAMONGA SA</t>
  </si>
  <si>
    <t>ELECTRO DUNAS S A A</t>
  </si>
  <si>
    <t>MINERA TITAN DEL PERU S R L</t>
  </si>
  <si>
    <t>GRUPO DELTRON S A</t>
  </si>
  <si>
    <t>M &amp; M REPUESTOS Y SERVICIOS</t>
  </si>
  <si>
    <t>LA CALERA S A C</t>
  </si>
  <si>
    <t>ENERCITY SAC</t>
  </si>
  <si>
    <t>IMPULSA365 SAC</t>
  </si>
  <si>
    <t>INVERSIONES PECUARIAS LURIN S A</t>
  </si>
  <si>
    <t>CUPRICA S A C</t>
  </si>
  <si>
    <t>DAYR INVERSIONES MULTIPLES SOCIEDAD ANON</t>
  </si>
  <si>
    <t>CORPORACION MOLIENDA ZUR SAC</t>
  </si>
  <si>
    <t>LOGISTICA INTERMODAL DEL PERU SAC</t>
  </si>
  <si>
    <t>CLASIFICADORA DE LANAS MACEDO SAC</t>
  </si>
  <si>
    <t>INVERMIN PAITITI SOCIEDAD ANONIMA CERRADA</t>
  </si>
  <si>
    <t>LA JOYA COMERCIAL SAC</t>
  </si>
  <si>
    <t>EL BOSQUE EMPRESA INDIVIDUAL DE RLTDA</t>
  </si>
  <si>
    <t>DISTRIBUCIONES OLANO SAC</t>
  </si>
  <si>
    <t>SOCIEDAD DE AUTOMOTORES INKA SAC</t>
  </si>
  <si>
    <t>FORZAMAT SAC</t>
  </si>
  <si>
    <t>ESPINOZA ZAVALETA LILIAM DEL PILAR</t>
  </si>
  <si>
    <t>ESTACIONES Y SERVICIOS MHT EIRL</t>
  </si>
  <si>
    <t>QUICORNAC SAC</t>
  </si>
  <si>
    <t>LA TABERNA DISTRIBUCIONES SAC</t>
  </si>
  <si>
    <t>COMPA#IA AGROINDUSTRIAL SANTA ANA SAC</t>
  </si>
  <si>
    <t>PULPAS Y PROCESADOS DEL AGRO SOCIEDAD ANONIMA</t>
  </si>
  <si>
    <t>DISTRIB FARMACEUTICA LA LIBERTAD SAC</t>
  </si>
  <si>
    <t>HERMANOS NU#EZ GAONA SRL</t>
  </si>
  <si>
    <t>PERALES HUANCARUNA S A PERHUSA</t>
  </si>
  <si>
    <t>REPALSA SA</t>
  </si>
  <si>
    <t>CENTRO COMERCIAL PLAZA NORTE SAC</t>
  </si>
  <si>
    <t>CENTRO COMERCIAL MALL DEL SUR SAC</t>
  </si>
  <si>
    <t>ALVAREZ LARREA EQUIPOS MEDICOS ALEM CIA LTDA</t>
  </si>
  <si>
    <t>RIVAL Y COMPA#IA SAC</t>
  </si>
  <si>
    <t>URBANIZADORA JARDIN S A</t>
  </si>
  <si>
    <t>CONSORCIO ELECTRICO DE VILLACURI SAC</t>
  </si>
  <si>
    <t>OIL TRADING SAC</t>
  </si>
  <si>
    <t>PERUFARMA S A</t>
  </si>
  <si>
    <t>E &amp; M SRL</t>
  </si>
  <si>
    <t>LARI CONTRATISTAS SAC</t>
  </si>
  <si>
    <t>SUPERDEPORTE PLUS PERU SAC</t>
  </si>
  <si>
    <t>AEROPUERTOS DEL PERU S A</t>
  </si>
  <si>
    <t>J &amp; V RESGUARDO S A C</t>
  </si>
  <si>
    <t>TEXTIL DEL VALLE S A BIC</t>
  </si>
  <si>
    <t>AI INVERSIONES PALO ALTO II S A C</t>
  </si>
  <si>
    <t>AUTOMOTORES GILDEMEISTER PERU S A C</t>
  </si>
  <si>
    <t>HOMECENTERS PERUANOS SA</t>
  </si>
  <si>
    <t>FIBRAS MARINAS SA</t>
  </si>
  <si>
    <t>ALESE SAC</t>
  </si>
  <si>
    <t>AUTOFONDO SAC</t>
  </si>
  <si>
    <t>TRINY RENTAL SAC</t>
  </si>
  <si>
    <t>SERVOSA COMBUSTIBLES SAC</t>
  </si>
  <si>
    <t>DROCSA SAC</t>
  </si>
  <si>
    <t>LABORATORIOS SERVICIO MANUF Y ACABADOS SAC</t>
  </si>
  <si>
    <t>AMBACAR S A C</t>
  </si>
  <si>
    <t>LLANMAXXI DEL PERU SAC</t>
  </si>
  <si>
    <t>DRESDEN SA</t>
  </si>
  <si>
    <t>INKA TUBOS SA</t>
  </si>
  <si>
    <t>SUNSHINE EXPORT SAC</t>
  </si>
  <si>
    <t>INKAPACKING SAC</t>
  </si>
  <si>
    <t>DISTRIBUIDORA COMERCIAL ALVAREZ BOHL S R L</t>
  </si>
  <si>
    <t>NOR AUTOS PIURA SAC</t>
  </si>
  <si>
    <t>PREMIUM BRANDS S A C</t>
  </si>
  <si>
    <t>CONSORCIO DELY SAC</t>
  </si>
  <si>
    <t>CORPORACION FRUTICOLA DE CHINCHA S A C</t>
  </si>
  <si>
    <t>REBECA PRODUCCIONES SAC</t>
  </si>
  <si>
    <t>INCATECH S A C</t>
  </si>
  <si>
    <t>EMPRESA METAL MECANICA SA</t>
  </si>
  <si>
    <t>AGROVET MARKET SA</t>
  </si>
  <si>
    <t>SISTEMAS ANALITICOS SRL</t>
  </si>
  <si>
    <t>IXM TRADING PERU SAC</t>
  </si>
  <si>
    <t>OVOSUR S A</t>
  </si>
  <si>
    <t>AGRICOLA DON GUILLERMO S A C</t>
  </si>
  <si>
    <t>ESTILOS S R L</t>
  </si>
  <si>
    <t>INCA TOPS S A</t>
  </si>
  <si>
    <t>GRIFO JHP EIRL LTDA</t>
  </si>
  <si>
    <t>EXPRESO GRAEL SOCIEDAD ANONIMA CERRADA</t>
  </si>
  <si>
    <t>DISMAR EIR LTDA</t>
  </si>
  <si>
    <t>FRUTOS TONGORRAPE SOCIEDAD ANONIMA</t>
  </si>
  <si>
    <t>ZEDINA ALIMENTOS SAC</t>
  </si>
  <si>
    <t>LA LLAVE SA</t>
  </si>
  <si>
    <t>OPP FILM S A</t>
  </si>
  <si>
    <t>CONECTA RETAIL SA</t>
  </si>
  <si>
    <t>HUMON LATIN AMERICA SA</t>
  </si>
  <si>
    <t>PYMATEK AUTOMATION S R L</t>
  </si>
  <si>
    <t>INDUSTRIAS CLUTSAFE E I R L</t>
  </si>
  <si>
    <t>AMAZONAS TRADING PERU SAC</t>
  </si>
  <si>
    <t>CAMPOS DEL SUR SA</t>
  </si>
  <si>
    <t>TRACTO CAMIONES USA SAC</t>
  </si>
  <si>
    <t>FERNANDEZ SAC</t>
  </si>
  <si>
    <t>TRAUMA SOLUTIONS SAC</t>
  </si>
  <si>
    <t>TRITON TRADING SOCIEDAD ANONIMA</t>
  </si>
  <si>
    <t>FACTOTAL PERU SA</t>
  </si>
  <si>
    <t>C &amp; M SERVICENTROS SOCIEDAD ANONIMA CERRADA</t>
  </si>
  <si>
    <t>COMPLEJO AGROINDUSTRIAL BETA S A</t>
  </si>
  <si>
    <t>MOLINO TRUJILLO SAC</t>
  </si>
  <si>
    <t>DIAMANTE DEL PACIFICO SA</t>
  </si>
  <si>
    <t>SURPACK S A</t>
  </si>
  <si>
    <t>FASTPACK SAC</t>
  </si>
  <si>
    <t>FRUCTUS TERRUM SA</t>
  </si>
  <si>
    <t>FAMILY FARMS PERU SRL</t>
  </si>
  <si>
    <t>COMERCIAL MOLINERA SAN LUIS SAC</t>
  </si>
  <si>
    <t>SALESLAND PACIFICO SA</t>
  </si>
  <si>
    <t>METCO TRADING</t>
  </si>
  <si>
    <t>SERMEFIT SAC</t>
  </si>
  <si>
    <t>FORUM DISTRIBUIDORA DEL PERU SA</t>
  </si>
  <si>
    <t>ALMACENES FRIO NARVAL SAC</t>
  </si>
  <si>
    <t>SOLPACK SAC</t>
  </si>
  <si>
    <t>GRUPO FLOTEX SAC</t>
  </si>
  <si>
    <t>GRUPO QTC S A C</t>
  </si>
  <si>
    <t>COOPERATIVA DE AHORRO Y CREDITO PACIFICO</t>
  </si>
  <si>
    <t>MAREAUTO PERU SA</t>
  </si>
  <si>
    <t>PERU PRODUCTOS AGRICOLAS SAC</t>
  </si>
  <si>
    <t>TAGUMEDICA SA</t>
  </si>
  <si>
    <t>D.HERRERA*14796</t>
  </si>
  <si>
    <t>P.VENEGAS*15424</t>
  </si>
  <si>
    <t>ZONA LLANTAS SAC</t>
  </si>
  <si>
    <t>SORAYA SAC</t>
  </si>
  <si>
    <t>ESMERALDA CORP SAC</t>
  </si>
  <si>
    <t>DELICE SAC</t>
  </si>
  <si>
    <t>ACEROS COMERCIALES S C R L</t>
  </si>
  <si>
    <t>CONSTRUCTORA ABA S A C</t>
  </si>
  <si>
    <t>TACTICAL IT SAC</t>
  </si>
  <si>
    <t>Junio</t>
  </si>
  <si>
    <t>IMBAREX SA</t>
  </si>
  <si>
    <t>EMUSA PERU SAC</t>
  </si>
  <si>
    <t>CLASS COMPLEMENTS SAC</t>
  </si>
  <si>
    <t>INVERSIONES RUBIN S SAC</t>
  </si>
  <si>
    <t>S &amp; C SOLUCIONES INTEGRALES SAC</t>
  </si>
  <si>
    <t>PROCESADORA COMERCIALIZADORA MONTENEGRO SAC</t>
  </si>
  <si>
    <t>SUDAMERICANA DE FIBRAS S A</t>
  </si>
  <si>
    <t>MAPRIAL SAC</t>
  </si>
  <si>
    <t>BIG ROCK S A C</t>
  </si>
  <si>
    <t>OTOYA MH SAC</t>
  </si>
  <si>
    <t>CONSORCIO GEOHIDRAULICA SAC</t>
  </si>
  <si>
    <t>COLOREXA SOCIEDAD ANONIMA CERRADA</t>
  </si>
  <si>
    <t>AGROEXPORTACIONES NATHANAEL SAC</t>
  </si>
  <si>
    <t>LA GENOVESA SAC</t>
  </si>
  <si>
    <t>PERULAB S A</t>
  </si>
  <si>
    <t>TAMBOS PERU SAC</t>
  </si>
  <si>
    <t>VERDUM PERU SAC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</si>
</sst>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theme="0"/>
      <name val="Aptos Narrow"/>
      <family val="2"/>
      <scheme val="minor"/>
    </font>
    <font>
      <b/>
      <sz val="11"/>
      <color rgb="FFFF0000"/>
      <name val="Aptos Narrow"/>
      <family val="2"/>
      <scheme val="minor"/>
    </font>
    <font>
      <b/>
      <sz val="26"/>
      <color theme="4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darkGray"/>
    </fill>
    <fill>
      <patternFill patternType="solid">
        <fgColor theme="4"/>
        <bgColor indexed="64"/>
      </patternFill>
    </fill>
    <fill>
      <patternFill patternType="solid">
        <fgColor rgb="FFFFC000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26">
    <xf numFmtId="0" fontId="0" fillId="0" borderId="0" xfId="0"/>
    <xf numFmtId="0" fontId="0" fillId="0" borderId="0" xfId="0" pivotButton="1"/>
    <xf numFmtId="0" fontId="0" fillId="0" borderId="0" xfId="0" applyAlignment="1">
      <alignment horizontal="left"/>
    </xf>
    <xf numFmtId="2" fontId="0" fillId="0" borderId="0" xfId="0" applyNumberFormat="1"/>
    <xf numFmtId="0" fontId="0" fillId="0" borderId="0" xfId="0" applyAlignment="1">
      <alignment horizontal="center"/>
    </xf>
    <xf numFmtId="0" fontId="1" fillId="0" borderId="1" xfId="0" applyFont="1" applyBorder="1" applyAlignment="1">
      <alignment horizontal="center" vertical="center"/>
    </xf>
    <xf numFmtId="2" fontId="0" fillId="0" borderId="1" xfId="0" applyNumberFormat="1" applyBorder="1" applyAlignment="1">
      <alignment horizontal="center" vertical="center"/>
    </xf>
    <xf numFmtId="0" fontId="0" fillId="0" borderId="0" xfId="0" applyAlignment="1">
      <alignment horizontal="center" vertical="center"/>
    </xf>
    <xf numFmtId="2" fontId="0" fillId="0" borderId="0" xfId="0" applyNumberFormat="1" applyAlignment="1">
      <alignment horizontal="center"/>
    </xf>
    <xf numFmtId="0" fontId="0" fillId="0" borderId="1" xfId="0" applyBorder="1" applyAlignment="1">
      <alignment horizontal="center"/>
    </xf>
    <xf numFmtId="0" fontId="4" fillId="0" borderId="0" xfId="0" applyFont="1" applyAlignment="1">
      <alignment horizontal="center"/>
    </xf>
    <xf numFmtId="0" fontId="5" fillId="0" borderId="0" xfId="0" applyFont="1"/>
    <xf numFmtId="2" fontId="0" fillId="0" borderId="2" xfId="0" applyNumberFormat="1" applyBorder="1" applyAlignment="1">
      <alignment horizontal="center" vertical="center"/>
    </xf>
    <xf numFmtId="0" fontId="1" fillId="0" borderId="1" xfId="0" applyFont="1" applyBorder="1" applyAlignment="1">
      <alignment horizontal="right"/>
    </xf>
    <xf numFmtId="0" fontId="1" fillId="0" borderId="3" xfId="0" applyFont="1" applyBorder="1" applyAlignment="1">
      <alignment horizontal="right"/>
    </xf>
    <xf numFmtId="2" fontId="0" fillId="2" borderId="1" xfId="0" applyNumberForma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3" fillId="3" borderId="0" xfId="0" applyFont="1" applyFill="1" applyAlignment="1">
      <alignment horizontal="center" vertical="center"/>
    </xf>
    <xf numFmtId="0" fontId="3" fillId="3" borderId="0" xfId="0" applyFont="1" applyFill="1" applyAlignment="1">
      <alignment horizontal="center" vertical="center" wrapText="1"/>
    </xf>
    <xf numFmtId="0" fontId="2" fillId="3" borderId="1" xfId="0" applyFont="1" applyFill="1" applyBorder="1" applyAlignment="1">
      <alignment horizontal="center" vertical="center" wrapText="1"/>
    </xf>
    <xf numFmtId="0" fontId="1" fillId="4" borderId="1" xfId="0" applyFont="1" applyFill="1" applyBorder="1" applyAlignment="1">
      <alignment horizontal="center" vertical="center"/>
    </xf>
    <xf numFmtId="2" fontId="0" fillId="4" borderId="1" xfId="0" applyNumberFormat="1" applyFill="1" applyBorder="1" applyAlignment="1">
      <alignment horizontal="center" vertical="center"/>
    </xf>
    <xf numFmtId="2" fontId="4" fillId="4" borderId="1" xfId="0" applyNumberFormat="1" applyFont="1" applyFill="1" applyBorder="1" applyAlignment="1">
      <alignment horizontal="center" vertical="center"/>
    </xf>
    <xf numFmtId="14" fontId="4" fillId="0" borderId="0" xfId="0" applyNumberFormat="1" applyFont="1" applyAlignment="1">
      <alignment horizontal="left" vertical="center"/>
    </xf>
    <xf numFmtId="0" fontId="4" fillId="0" borderId="0" xfId="0" applyFont="1" applyAlignment="1">
      <alignment horizontal="left" wrapText="1"/>
    </xf>
    <xf numFmtId="0" fontId="0" fillId="0" borderId="0" xfId="0" applyNumberFormat="1" applyAlignment="1">
      <alignment horizontal="center"/>
    </xf>
  </cellXfs>
  <cellStyles count="1">
    <cellStyle name="Normal" xfId="0" builtinId="0"/>
  </cellStyles>
  <dxfs count="78">
    <dxf>
      <alignment wrapText="1"/>
    </dxf>
    <dxf>
      <alignment horizont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ill>
        <patternFill patternType="solid">
          <bgColor theme="4"/>
        </patternFill>
      </fill>
    </dxf>
    <dxf>
      <fill>
        <patternFill patternType="solid">
          <bgColor theme="4"/>
        </patternFill>
      </fill>
    </dxf>
    <dxf>
      <fill>
        <patternFill patternType="solid">
          <bgColor theme="4"/>
        </patternFill>
      </fill>
    </dxf>
    <dxf>
      <fill>
        <patternFill patternType="solid">
          <bgColor theme="4"/>
        </patternFill>
      </fill>
    </dxf>
    <dxf>
      <fill>
        <patternFill patternType="solid">
          <bgColor theme="4"/>
        </patternFill>
      </fill>
    </dxf>
    <dxf>
      <fill>
        <patternFill patternType="solid">
          <bgColor theme="4"/>
        </patternFill>
      </fill>
    </dxf>
    <dxf>
      <fill>
        <patternFill patternType="solid">
          <bgColor theme="4"/>
        </patternFill>
      </fill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alignment wrapText="1"/>
    </dxf>
    <dxf>
      <alignment wrapText="1"/>
    </dxf>
    <dxf>
      <alignment wrapText="1"/>
    </dxf>
    <dxf>
      <alignment wrapText="1"/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ill>
        <patternFill patternType="solid">
          <bgColor theme="4"/>
        </patternFill>
      </fill>
    </dxf>
    <dxf>
      <fill>
        <patternFill patternType="solid">
          <bgColor theme="4"/>
        </patternFill>
      </fill>
    </dxf>
    <dxf>
      <fill>
        <patternFill patternType="solid">
          <bgColor theme="4"/>
        </patternFill>
      </fill>
    </dxf>
    <dxf>
      <fill>
        <patternFill patternType="solid">
          <bgColor theme="4"/>
        </patternFill>
      </fill>
    </dxf>
    <dxf>
      <fill>
        <patternFill patternType="solid">
          <bgColor theme="4"/>
        </patternFill>
      </fill>
    </dxf>
    <dxf>
      <fill>
        <patternFill patternType="solid">
          <bgColor theme="4"/>
        </patternFill>
      </fill>
    </dxf>
    <dxf>
      <fill>
        <patternFill patternType="solid">
          <bgColor theme="4"/>
        </patternFill>
      </fill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wrapText="1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powerPivotData" Target="model/item.data"/><Relationship Id="rId18" Type="http://schemas.openxmlformats.org/officeDocument/2006/relationships/customXml" Target="../customXml/item4.xml"/><Relationship Id="rId26" Type="http://schemas.openxmlformats.org/officeDocument/2006/relationships/customXml" Target="../customXml/item12.xml"/><Relationship Id="rId3" Type="http://schemas.openxmlformats.org/officeDocument/2006/relationships/pivotCacheDefinition" Target="pivotCache/pivotCacheDefinition2.xml"/><Relationship Id="rId21" Type="http://schemas.openxmlformats.org/officeDocument/2006/relationships/customXml" Target="../customXml/item7.xml"/><Relationship Id="rId7" Type="http://schemas.microsoft.com/office/2007/relationships/slicerCache" Target="slicerCaches/slicerCache3.xml"/><Relationship Id="rId12" Type="http://schemas.openxmlformats.org/officeDocument/2006/relationships/sheetMetadata" Target="metadata.xml"/><Relationship Id="rId17" Type="http://schemas.openxmlformats.org/officeDocument/2006/relationships/customXml" Target="../customXml/item3.xml"/><Relationship Id="rId25" Type="http://schemas.openxmlformats.org/officeDocument/2006/relationships/customXml" Target="../customXml/item11.xml"/><Relationship Id="rId2" Type="http://schemas.openxmlformats.org/officeDocument/2006/relationships/pivotCacheDefinition" Target="pivotCache/pivotCacheDefinition1.xml"/><Relationship Id="rId16" Type="http://schemas.openxmlformats.org/officeDocument/2006/relationships/customXml" Target="../customXml/item2.xml"/><Relationship Id="rId20" Type="http://schemas.openxmlformats.org/officeDocument/2006/relationships/customXml" Target="../customXml/item6.xml"/><Relationship Id="rId29" Type="http://schemas.openxmlformats.org/officeDocument/2006/relationships/customXml" Target="../customXml/item15.xml"/><Relationship Id="rId1" Type="http://schemas.openxmlformats.org/officeDocument/2006/relationships/worksheet" Target="worksheets/sheet1.xml"/><Relationship Id="rId6" Type="http://schemas.microsoft.com/office/2007/relationships/slicerCache" Target="slicerCaches/slicerCache2.xml"/><Relationship Id="rId11" Type="http://schemas.openxmlformats.org/officeDocument/2006/relationships/sharedStrings" Target="sharedStrings.xml"/><Relationship Id="rId24" Type="http://schemas.openxmlformats.org/officeDocument/2006/relationships/customXml" Target="../customXml/item10.xml"/><Relationship Id="rId5" Type="http://schemas.microsoft.com/office/2007/relationships/slicerCache" Target="slicerCaches/slicerCache1.xml"/><Relationship Id="rId15" Type="http://schemas.openxmlformats.org/officeDocument/2006/relationships/customXml" Target="../customXml/item1.xml"/><Relationship Id="rId23" Type="http://schemas.openxmlformats.org/officeDocument/2006/relationships/customXml" Target="../customXml/item9.xml"/><Relationship Id="rId28" Type="http://schemas.openxmlformats.org/officeDocument/2006/relationships/customXml" Target="../customXml/item14.xml"/><Relationship Id="rId10" Type="http://schemas.openxmlformats.org/officeDocument/2006/relationships/styles" Target="styles.xml"/><Relationship Id="rId19" Type="http://schemas.openxmlformats.org/officeDocument/2006/relationships/customXml" Target="../customXml/item5.xml"/><Relationship Id="rId31" Type="http://schemas.openxmlformats.org/officeDocument/2006/relationships/customXml" Target="../customXml/item17.xml"/><Relationship Id="rId4" Type="http://schemas.openxmlformats.org/officeDocument/2006/relationships/pivotCacheDefinition" Target="pivotCache/pivotCacheDefinition3.xml"/><Relationship Id="rId9" Type="http://schemas.openxmlformats.org/officeDocument/2006/relationships/connections" Target="connections.xml"/><Relationship Id="rId14" Type="http://schemas.openxmlformats.org/officeDocument/2006/relationships/calcChain" Target="calcChain.xml"/><Relationship Id="rId22" Type="http://schemas.openxmlformats.org/officeDocument/2006/relationships/customXml" Target="../customXml/item8.xml"/><Relationship Id="rId27" Type="http://schemas.openxmlformats.org/officeDocument/2006/relationships/customXml" Target="../customXml/item13.xml"/><Relationship Id="rId30" Type="http://schemas.openxmlformats.org/officeDocument/2006/relationships/customXml" Target="../customXml/item16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207009</xdr:colOff>
      <xdr:row>2</xdr:row>
      <xdr:rowOff>100966</xdr:rowOff>
    </xdr:from>
    <xdr:to>
      <xdr:col>4</xdr:col>
      <xdr:colOff>1046162</xdr:colOff>
      <xdr:row>13</xdr:row>
      <xdr:rowOff>57150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2" name="NombreFuncionario">
              <a:extLst>
                <a:ext uri="{FF2B5EF4-FFF2-40B4-BE49-F238E27FC236}">
                  <a16:creationId xmlns:a16="http://schemas.microsoft.com/office/drawing/2014/main" id="{062203D1-6606-0C38-6B62-508984CF5AF1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NombreFuncionari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2496819" y="710069"/>
              <a:ext cx="2475300" cy="1838048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ES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0</xdr:col>
      <xdr:colOff>36197</xdr:colOff>
      <xdr:row>2</xdr:row>
      <xdr:rowOff>99379</xdr:rowOff>
    </xdr:from>
    <xdr:to>
      <xdr:col>2</xdr:col>
      <xdr:colOff>56295</xdr:colOff>
      <xdr:row>6</xdr:row>
      <xdr:rowOff>59690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3" name="Lider">
              <a:extLst>
                <a:ext uri="{FF2B5EF4-FFF2-40B4-BE49-F238E27FC236}">
                  <a16:creationId xmlns:a16="http://schemas.microsoft.com/office/drawing/2014/main" id="{D02E82D1-0586-D780-CFB8-85FF4D0EC40A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Lider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36197" y="708482"/>
              <a:ext cx="2306098" cy="692991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ES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0</xdr:col>
      <xdr:colOff>15240</xdr:colOff>
      <xdr:row>6</xdr:row>
      <xdr:rowOff>177165</xdr:rowOff>
    </xdr:from>
    <xdr:to>
      <xdr:col>2</xdr:col>
      <xdr:colOff>18194</xdr:colOff>
      <xdr:row>13</xdr:row>
      <xdr:rowOff>57150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4" name="Grupo">
              <a:extLst>
                <a:ext uri="{FF2B5EF4-FFF2-40B4-BE49-F238E27FC236}">
                  <a16:creationId xmlns:a16="http://schemas.microsoft.com/office/drawing/2014/main" id="{E67165A9-A777-3BFB-34FC-3D225156F2AB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Grup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9050" y="1515139"/>
              <a:ext cx="2285144" cy="979638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ES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</xdr:wsDr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Luis Zelada" refreshedDate="46188.507253124997" createdVersion="5" refreshedVersion="8" minRefreshableVersion="3" recordCount="0" supportSubquery="1" supportAdvancedDrill="1" xr:uid="{E16E5F9E-3107-4537-AFA8-91AABA175D0D}">
  <cacheSource type="external" connectionId="2"/>
  <cacheFields count="11">
    <cacheField name="[Desem].[Periodo].[Periodo]" caption="Periodo" numFmtId="0" level="1">
      <sharedItems containsSemiMixedTypes="0" containsString="0" containsNumber="1" containsInteger="1" minValue="202604" maxValue="202606" count="3">
        <n v="202604"/>
        <n v="202605"/>
        <n v="202606"/>
      </sharedItems>
      <extLst>
        <ext xmlns:x15="http://schemas.microsoft.com/office/spreadsheetml/2010/11/main" uri="{4F2E5C28-24EA-4eb8-9CBF-B6C8F9C3D259}">
          <x15:cachedUniqueNames>
            <x15:cachedUniqueName index="0" name="[Desem].[Periodo].&amp;[202604]"/>
            <x15:cachedUniqueName index="1" name="[Desem].[Periodo].&amp;[202605]"/>
            <x15:cachedUniqueName index="2" name="[Desem].[Periodo].&amp;[202606]"/>
          </x15:cachedUniqueNames>
        </ext>
      </extLst>
    </cacheField>
    <cacheField name="[Desem].[Operacion].[Operacion]" caption="Operacion" numFmtId="0" hierarchy="1" level="1">
      <sharedItems containsSemiMixedTypes="0" containsString="0" containsNumber="1" containsInteger="1" minValue="1751364607" maxValue="1764561155" count="504">
        <n v="1751364607"/>
        <n v="1751403947"/>
        <n v="1755779038"/>
        <n v="1755819129"/>
        <n v="1755820046"/>
        <n v="1755855222"/>
        <n v="1755874200"/>
        <n v="1751394824"/>
        <n v="1755697570"/>
        <n v="1755745192"/>
        <n v="1755745303"/>
        <n v="1755771800"/>
        <n v="1755799900"/>
        <n v="1755814623"/>
        <n v="1755852215"/>
        <n v="1755856946"/>
        <n v="1755868057"/>
        <n v="1755872240"/>
        <n v="1755878796"/>
        <n v="1751395430"/>
        <n v="1751420140"/>
        <n v="1755715552"/>
        <n v="1755715692"/>
        <n v="1755756216"/>
        <n v="1755757999"/>
        <n v="1755778058"/>
        <n v="1755851448"/>
        <n v="1755874340"/>
        <n v="1755891199"/>
        <n v="1751391485"/>
        <n v="1755670338"/>
        <n v="1755673736"/>
        <n v="1755679033"/>
        <n v="1755696116"/>
        <n v="1755715854"/>
        <n v="1755727534"/>
        <n v="1755742290"/>
        <n v="1755745222"/>
        <n v="1755770413"/>
        <n v="1755803320"/>
        <n v="1755803605"/>
        <n v="1755806220"/>
        <n v="1755863764"/>
        <n v="1755866763"/>
        <n v="1755867115"/>
        <n v="1755867808"/>
        <n v="1755873034"/>
        <n v="1755887507"/>
        <n v="1755888449"/>
        <n v="1751400395"/>
        <n v="1755736908"/>
        <n v="1755737700"/>
        <n v="1755849290"/>
        <n v="1755662858"/>
        <n v="1755717512"/>
        <n v="1755717570"/>
        <n v="1755722280"/>
        <n v="1755725914"/>
        <n v="1755774702"/>
        <n v="1755778244"/>
        <n v="1755802960"/>
        <n v="1755867050"/>
        <n v="1755868189"/>
        <n v="1755878230"/>
        <n v="1755662726"/>
        <n v="1755673230"/>
        <n v="1755726510"/>
        <n v="1755742843"/>
        <n v="1755768389"/>
        <n v="1755799720"/>
        <n v="1751403912"/>
        <n v="1751417018"/>
        <n v="1755672632"/>
        <n v="1755678967"/>
        <n v="1755819994"/>
        <n v="1755867662"/>
        <n v="1755874995"/>
        <n v="1755878540"/>
        <n v="1755883870"/>
        <n v="1755890036"/>
        <n v="1755890087"/>
        <n v="1755895150"/>
        <n v="1755895194"/>
        <n v="1751390357"/>
        <n v="1751416224"/>
        <n v="1751416313"/>
        <n v="1751416330"/>
        <n v="1755674783"/>
        <n v="1755674848"/>
        <n v="1755713096"/>
        <n v="1755713126"/>
        <n v="1755713207"/>
        <n v="1755733290"/>
        <n v="1755754582"/>
        <n v="1755754639"/>
        <n v="1755754698"/>
        <n v="1755764260"/>
        <n v="1755776250"/>
        <n v="1755783639"/>
        <n v="1755815130"/>
        <n v="1755849320"/>
        <n v="1755849443"/>
        <n v="1755849540"/>
        <n v="1755862539"/>
        <n v="1755867972"/>
        <n v="1755868383"/>
        <n v="1755868413"/>
        <n v="1755870272"/>
        <n v="1755871058"/>
        <n v="1755871287"/>
        <n v="1755871317"/>
        <n v="1755879075"/>
        <n v="1755879105"/>
        <n v="1755879120"/>
        <n v="1755879156"/>
        <n v="1755881680"/>
        <n v="1755881843"/>
        <n v="1755881894"/>
        <n v="1755881924"/>
        <n v="1755895402"/>
        <n v="1751372057"/>
        <n v="1755674538"/>
        <n v="1755732902"/>
        <n v="1755771169"/>
        <n v="1755771894"/>
        <n v="1755771959"/>
        <n v="1755784694"/>
        <n v="1755818343"/>
        <n v="1755884370"/>
        <n v="1755675828"/>
        <n v="1755878460"/>
        <n v="1755820453"/>
        <n v="1755848595"/>
        <n v="1755888635"/>
        <n v="1755891687"/>
        <n v="1751388476"/>
        <n v="1751388610"/>
        <n v="1751388654"/>
        <n v="1751396118"/>
        <n v="1751417239"/>
        <n v="1755670280"/>
        <n v="1755691130"/>
        <n v="1755697350"/>
        <n v="1755707436"/>
        <n v="1755710739"/>
        <n v="1755755406"/>
        <n v="1755770073"/>
        <n v="1755779097"/>
        <n v="1755779623"/>
        <n v="1755781008"/>
        <n v="1755816730"/>
        <n v="1755820615"/>
        <n v="1755849760"/>
        <n v="1755863357"/>
        <n v="1755863446"/>
        <n v="1755891296"/>
        <n v="1751416160"/>
        <n v="1751416488"/>
        <n v="1755658125"/>
        <n v="1755714440"/>
        <n v="1755726783"/>
        <n v="1755726929"/>
        <n v="1755728468"/>
        <n v="1751370290"/>
        <n v="1755664079"/>
        <n v="1755752598"/>
        <n v="1755755510"/>
        <n v="1755763506"/>
        <n v="1755771665"/>
        <n v="1755774753"/>
        <n v="1755799896"/>
        <n v="1755809719"/>
        <n v="1755813929"/>
        <n v="1755814224"/>
        <n v="1755866895"/>
        <n v="1755883463"/>
        <n v="1755883757"/>
        <n v="1755883919"/>
        <n v="1751371890"/>
        <n v="1751389073"/>
        <n v="1751390748"/>
        <n v="1755659880"/>
        <n v="1755659946"/>
        <n v="1755706200"/>
        <n v="1755717075"/>
        <n v="1755727216"/>
        <n v="1755727283"/>
        <n v="1755727290"/>
        <n v="1755741870"/>
        <n v="1755742746"/>
        <n v="1755774575"/>
        <n v="1755774613"/>
        <n v="1755774630"/>
        <n v="1755781075"/>
        <n v="1755817126"/>
        <n v="1755870949"/>
        <n v="1755873140"/>
        <n v="1755883200"/>
        <n v="1755884168"/>
        <n v="1755884450"/>
        <n v="1751367990"/>
        <n v="1755697562"/>
        <n v="1755767323"/>
        <n v="1755802099"/>
        <n v="1755813970"/>
        <n v="1755818874"/>
        <n v="1755818998"/>
        <n v="1755819072"/>
        <n v="1755819986"/>
        <n v="1755873107"/>
        <n v="1751390969"/>
        <n v="1755662793"/>
        <n v="1755697090"/>
        <n v="1755819706"/>
        <n v="1755852037"/>
        <n v="1755867565"/>
        <n v="1755868308"/>
        <n v="1755871066"/>
        <n v="1755895267"/>
        <n v="1755895585"/>
        <n v="1755774710"/>
        <n v="1755867700"/>
        <n v="1755722036"/>
        <n v="1760142786"/>
        <n v="1760203490"/>
        <n v="1760232890"/>
        <n v="1760278394"/>
        <n v="1755924844"/>
        <n v="1755931050"/>
        <n v="1755949405"/>
        <n v="1760131377"/>
        <n v="1760168084"/>
        <n v="1760173614"/>
        <n v="1760177083"/>
        <n v="1760179752"/>
        <n v="1760269409"/>
        <n v="1760270580"/>
        <n v="1760270695"/>
        <n v="1760311677"/>
        <n v="1760317420"/>
        <n v="1760344842"/>
        <n v="1760346560"/>
        <n v="1760347957"/>
        <n v="1760349402"/>
        <n v="1755927088"/>
        <n v="1755950012"/>
        <n v="1760142573"/>
        <n v="1760154300"/>
        <n v="1760167819"/>
        <n v="1760171980"/>
        <n v="1760171999"/>
        <n v="1760177377"/>
        <n v="1760203750"/>
        <n v="1760204404"/>
        <n v="1760213802"/>
        <n v="1760274305"/>
        <n v="1760278882"/>
        <n v="1760344930"/>
        <n v="1755910680"/>
        <n v="1755947712"/>
        <n v="1755948050"/>
        <n v="1760148946"/>
        <n v="1760159654"/>
        <n v="1760159750"/>
        <n v="1760235660"/>
        <n v="1760240486"/>
        <n v="1760270865"/>
        <n v="1760282316"/>
        <n v="1760288420"/>
        <n v="1760312932"/>
        <n v="1760317380"/>
        <n v="1760347868"/>
        <n v="1755928335"/>
        <n v="1760159719"/>
        <n v="1760167789"/>
        <n v="1760235210"/>
        <n v="1760240516"/>
        <n v="1760349780"/>
        <n v="1755927576"/>
        <n v="1755927622"/>
        <n v="1760143820"/>
        <n v="1755913140"/>
        <n v="1755935919"/>
        <n v="1760113476"/>
        <n v="1760117072"/>
        <n v="1760117080"/>
        <n v="1760120138"/>
        <n v="1760120367"/>
        <n v="1760167584"/>
        <n v="1760183350"/>
        <n v="1760183440"/>
        <n v="1760239470"/>
        <n v="1760273767"/>
        <n v="1755912470"/>
        <n v="1755912650"/>
        <n v="1755936818"/>
        <n v="1755952449"/>
        <n v="1755952473"/>
        <n v="1755954760"/>
        <n v="1760130656"/>
        <n v="1760171638"/>
        <n v="1760214094"/>
        <n v="1760226068"/>
        <n v="1760251895"/>
        <n v="1760346659"/>
        <n v="1755937938"/>
        <n v="1755939850"/>
        <n v="1755939914"/>
        <n v="1760136590"/>
        <n v="1760148610"/>
        <n v="1760166324"/>
        <n v="1760208094"/>
        <n v="1760217425"/>
        <n v="1760251526"/>
        <n v="1760251933"/>
        <n v="1760251940"/>
        <n v="1760251950"/>
        <n v="1760251968"/>
        <n v="1760286613"/>
        <n v="1760292486"/>
        <n v="1760349585"/>
        <n v="1760349763"/>
        <n v="1755943873"/>
        <n v="1755949758"/>
        <n v="1755953313"/>
        <n v="1755954786"/>
        <n v="1760114960"/>
        <n v="1760130249"/>
        <n v="1760130354"/>
        <n v="1760130389"/>
        <n v="1760142920"/>
        <n v="1760144100"/>
        <n v="1760154090"/>
        <n v="1760154156"/>
        <n v="1760154164"/>
        <n v="1760164844"/>
        <n v="1760164879"/>
        <n v="1760164984"/>
        <n v="1760165875"/>
        <n v="1760167703"/>
        <n v="1760170550"/>
        <n v="1760177120"/>
        <n v="1760247340"/>
        <n v="1760247420"/>
        <n v="1760281182"/>
        <n v="1760282669"/>
        <n v="1760282707"/>
        <n v="1760286036"/>
        <n v="1760286206"/>
        <n v="1760286230"/>
        <n v="1760344370"/>
        <n v="1760346845"/>
        <n v="1760349526"/>
        <n v="1760161055"/>
        <n v="1760292877"/>
        <n v="1760293016"/>
        <n v="1760170127"/>
        <n v="1760182974"/>
        <n v="1760183393"/>
        <n v="1760223867"/>
        <n v="1760240443"/>
        <n v="1760292109"/>
        <n v="1755948913"/>
        <n v="1760135496"/>
        <n v="1760142565"/>
        <n v="1760148288"/>
        <n v="1760171573"/>
        <n v="1760266167"/>
        <n v="1760274542"/>
        <n v="1760348988"/>
        <n v="1755949553"/>
        <n v="1755952546"/>
        <n v="1760113182"/>
        <n v="1760113298"/>
        <n v="1760165506"/>
        <n v="1760195766"/>
        <n v="1760195847"/>
        <n v="1760196096"/>
        <n v="1760196185"/>
        <n v="1760217816"/>
        <n v="1760223750"/>
        <n v="1760225916"/>
        <n v="1760226040"/>
        <n v="1760226050"/>
        <n v="1760292354"/>
        <n v="1755931492"/>
        <n v="1755932715"/>
        <n v="1755926870"/>
        <n v="1755927339"/>
        <n v="1755927370"/>
        <n v="1755946147"/>
        <n v="1760144045"/>
        <n v="1760166804"/>
        <n v="1760166944"/>
        <n v="1760218693"/>
        <n v="1760240400"/>
        <n v="1760246948"/>
        <n v="1760251470"/>
        <n v="1760269433"/>
        <n v="1760270660"/>
        <n v="1760270717"/>
        <n v="1760270733"/>
        <n v="1760270740"/>
        <n v="1760270750"/>
        <n v="1760270768"/>
        <n v="1760270784"/>
        <n v="1760270806"/>
        <n v="1760270822"/>
        <n v="1760273074"/>
        <n v="1760343595"/>
        <n v="1760142107"/>
        <n v="1760159735"/>
        <n v="1760167680"/>
        <n v="1760175780"/>
        <n v="1760203190"/>
        <n v="1760217735"/>
        <n v="1760224987"/>
        <n v="1760228450"/>
        <n v="1760235610"/>
        <n v="1760261645"/>
        <n v="1760281697"/>
        <n v="1760286567"/>
        <n v="1760291110"/>
        <n v="1760292605"/>
        <n v="1760319030"/>
        <n v="1760319040"/>
        <n v="1760319066"/>
        <n v="1760319074"/>
        <n v="1760323420"/>
        <n v="1755938012"/>
        <n v="1755942877"/>
        <n v="1760217719"/>
        <n v="1760218642"/>
        <n v="1760231118"/>
        <n v="1760236179"/>
        <n v="1760236209"/>
        <n v="1755954840"/>
        <n v="1760176834"/>
        <n v="1760223824"/>
        <n v="1760349968"/>
        <n v="1760147206"/>
        <n v="1760236306"/>
        <n v="1760348937"/>
        <n v="1760349054"/>
        <n v="1760120570"/>
        <n v="1760135747"/>
        <n v="1760135950"/>
        <n v="1760137286"/>
        <n v="1760148245"/>
        <n v="1760148520"/>
        <n v="1760196370"/>
        <n v="1760225592"/>
        <n v="1760261520"/>
        <n v="1760317322"/>
        <n v="1764526155"/>
        <n v="1764557638"/>
        <n v="1764560400"/>
        <n v="1760402656"/>
        <n v="1760379450"/>
        <n v="1760409448"/>
        <n v="1760358990"/>
        <n v="1760379352"/>
        <n v="1764536126"/>
        <n v="1764541103"/>
        <n v="1764541928"/>
        <n v="1764560280"/>
        <n v="1764561040"/>
        <n v="1764549783"/>
        <n v="1760362840"/>
        <n v="1760402150"/>
        <n v="1760411582"/>
        <n v="1764555775"/>
        <n v="1764531523"/>
        <n v="1764560370"/>
        <n v="1760375764"/>
        <n v="1760376220"/>
        <n v="1760397008"/>
        <n v="1760409090"/>
        <n v="1760412066"/>
        <n v="1764541390"/>
        <n v="1764541588"/>
        <n v="1764552407"/>
        <n v="1764552415"/>
        <n v="1760409723"/>
        <n v="1760411183"/>
        <n v="1760363227"/>
        <n v="1760380040"/>
        <n v="1760385450"/>
        <n v="1760385522"/>
        <n v="1760376604"/>
        <n v="1760397199"/>
        <n v="1764541880"/>
        <n v="1764557719"/>
        <n v="1764560060"/>
        <n v="1764560760"/>
        <n v="1764560973"/>
        <n v="1764561155"/>
        <n v="1760380423"/>
        <n v="1760398853"/>
        <n v="1764536053"/>
        <n v="1764537882"/>
        <n v="1760361356"/>
        <n v="1760379832"/>
        <n v="1764530420"/>
      </sharedItems>
    </cacheField>
    <cacheField name="[Desem].[NombreFuncionario].[NombreFuncionario]" caption="NombreFuncionario" numFmtId="0" hierarchy="9" level="1">
      <sharedItems count="22">
        <s v="A.ROJAS"/>
        <s v="C.ESPINOZA"/>
        <s v="C.MARKY*16024"/>
        <s v="C.MEJIA"/>
        <s v="E.NUNEZ"/>
        <s v="F.AMANS*13178"/>
        <s v="G.BRAVO"/>
        <s v="G.RAFFO"/>
        <s v="J.CARRERA"/>
        <s v="J.GRANDEZ"/>
        <s v="J.NAVARRO"/>
        <s v="J.NICOLI"/>
        <s v="J.RAFFO*14014"/>
        <s v="M.CASTAÑEDA"/>
        <s v="M.LAZO"/>
        <s v="M.ROA"/>
        <s v="M.RODRIGUEZ*16329"/>
        <s v="R.SOLIS"/>
        <s v="W.MACHUCA"/>
        <s v="W.MONTES"/>
        <s v="D.HERRERA*14796"/>
        <s v="P.VENEGAS*15424"/>
      </sharedItems>
    </cacheField>
    <cacheField name="[Desem].[NombreCliente].[NombreCliente]" caption="NombreCliente" numFmtId="0" hierarchy="10" level="1">
      <sharedItems count="225">
        <s v="CORPORACION BOLSIPOL SAC"/>
        <s v="GLOBENATURAL SUPERFOODS SAC"/>
        <s v="KIMSA FRESH SAC"/>
        <s v="M &amp; H GROUP SAC"/>
        <s v="M &amp; CALERA SANTA SAC"/>
        <s v="ITALTEL PERU SAC"/>
        <s v="LABORATORIOS LANSIER SAC"/>
        <s v="SIMED PERU SAC"/>
        <s v="LABORATORIOS BIOMONT S A"/>
        <s v="OPERACIONES SEPROCAL SAC"/>
        <s v="INDUSTRIAS JHOMERON S A"/>
        <s v="INTEGRACION LOGISTICA INLOG SAC"/>
        <s v="UNIBELL SAC"/>
        <s v="FLORIDABLANCA SAC"/>
        <s v="J CH COMERCIAL S A"/>
        <s v="AGROCOSTA PERU SAC"/>
        <s v="NOR AUTOS CHICLAYO SAC"/>
        <s v="MOTO REPUESTOS &amp; AB SAC"/>
        <s v="DEXIM SRL"/>
        <s v="CONTINENTAL TRAVEL SAC"/>
        <s v="ISEG PERU SAC"/>
        <s v="NEW FASHION PERU S A"/>
        <s v="P A PERU S A C"/>
        <s v="SOUTH PACIFIC INTERNATIONAL S A C"/>
        <s v="KSL SAC"/>
        <s v="AGROINDUSTRIAS HUARAL SAC"/>
        <s v="PROVEEDORES MINEROS SAC"/>
        <s v="GYA CONSTRUCCIONES SAC"/>
        <s v="PENTATECH CONSTRUCCION S A C"/>
        <s v="CONDUTO PERU SAC"/>
        <s v="JOYERIA ALDO SAC"/>
        <s v="ELECTRO DUNAS S A A"/>
        <s v="CORPORATION WITHMORY SRL"/>
        <s v="FERRETERIA CATALEYA SAC"/>
        <s v="CIA INDUSTRIAL NUEVO MUNDO S A"/>
        <s v="POLYROOF SOCIEDAD ANONIMA CERRADA"/>
        <s v="HILANDERIA LURIN SAC"/>
        <s v="SEDISA S A C"/>
        <s v="OREGON FOODS SAC"/>
        <s v="ECO PROYEC PERU S A C"/>
        <s v="AGRO INDUSTRIAL PARAMONGA SA"/>
        <s v="COMPRA Y VENTA DE MATERIALES METALICOS S A C"/>
        <s v="MINERA TITAN DEL PERU S R L"/>
        <s v="GRUPO DELTRON S A"/>
        <s v="M &amp; M REPUESTOS Y SERVICIOS"/>
        <s v="LA CALERA S A C"/>
        <s v="RELIPER PERU SAC"/>
        <s v="ACEROS Y CONCRETOS S A C"/>
        <s v="INTERLOOM S A C"/>
        <s v="INVERSIONES JOCEMA SAC"/>
        <s v="COLORTEX PERU S A"/>
        <s v="ONCOLOGIA SAC"/>
        <s v="COVALCO CIA LTDA SUCURSAL DEL PERU"/>
        <s v="S &amp; M FOODS SAC"/>
        <s v="REPRESENTACIONES TECNIMOTORS EIRL"/>
        <s v="WAN XIN GROUP EIRL"/>
        <s v="CORPORACION PANASERVICE SAC"/>
        <s v="PROYECTOS EJECUCION Y MONTAJES INDST S A"/>
        <s v="CAFERMA SAC"/>
        <s v="INDUSTRIA GRAFICA CIMAGRAF SAC"/>
        <s v="CORPORACION AGROEXPORTICA SAC"/>
        <s v="DRRP SOCIEDAD ANONIMA CERRADA"/>
        <s v="SYRUS DISTRIBUTION PERU"/>
        <s v="HIVIMAR S A C"/>
        <s v="ENERCITY SAC"/>
        <s v="INVERSIONES PECUARIAS LURIN S A"/>
        <s v="CUPRICA S A C"/>
        <s v="IMPULSA365 SAC"/>
        <s v="DAYR INVERSIONES MULTIPLES SOCIEDAD ANON"/>
        <s v="CORPORACION MOLIENDA ZUR SAC"/>
        <s v="LOGISTICA INTERMODAL DEL PERU SAC"/>
        <s v="CLASIFICADORA DE LANAS MACEDO SAC"/>
        <s v="INVERMIN PAITITI SOCIEDAD ANONIMA CERRADA"/>
        <s v="LA JOYA COMERCIAL SAC"/>
        <s v="EL BOSQUE EMPRESA INDIVIDUAL DE RLTDA"/>
        <s v="DISTRIBUCIONES OLANO SAC"/>
        <s v="SOCIEDAD DE AUTOMOTORES INKA SAC"/>
        <s v="FORZAMAT SAC"/>
        <s v="ESPINOZA ZAVALETA LILIAM DEL PILAR"/>
        <s v="ESTACIONES Y SERVICIOS MHT EIRL"/>
        <s v="QUICORNAC SAC"/>
        <s v="LA TABERNA DISTRIBUCIONES SAC"/>
        <s v="COMPA#IA AGROINDUSTRIAL SANTA ANA SAC"/>
        <s v="PULPAS Y PROCESADOS DEL AGRO SOCIEDAD ANONIMA"/>
        <s v="DISTRIB FARMACEUTICA LA LIBERTAD SAC"/>
        <s v="HERMANOS NU#EZ GAONA SRL"/>
        <s v="PERALES HUANCARUNA S A PERHUSA"/>
        <s v="REPALSA SA"/>
        <s v="CENTRO COMERCIAL PLAZA NORTE SAC"/>
        <s v="CENTRO COMERCIAL MALL DEL SUR SAC"/>
        <s v="ALVAREZ LARREA EQUIPOS MEDICOS ALEM CIA LTDA"/>
        <s v="RIVAL Y COMPA#IA SAC"/>
        <s v="URBANIZADORA JARDIN S A"/>
        <s v="CONSORCIO ELECTRICO DE VILLACURI SAC"/>
        <s v="OIL TRADING SAC"/>
        <s v="PERUFARMA S A"/>
        <s v="E &amp; M SRL"/>
        <s v="LARI CONTRATISTAS SAC"/>
        <s v="SUPERDEPORTE PLUS PERU SAC"/>
        <s v="AEROPUERTOS DEL PERU S A"/>
        <s v="J &amp; V RESGUARDO S A C"/>
        <s v="TEXTIL DEL VALLE S A BIC"/>
        <s v="SIFRAH BIJOU SAC"/>
        <s v="J R STEEL COMPANY"/>
        <s v="MOLINOS ASOCIADOS SOCIEDAD ANONIMA CERRADA"/>
        <s v="EXANDAL SA"/>
        <s v="BATTILANA NUTRICION SAC"/>
        <s v="MIRANDA LANGA AGRO EXPORT SAC"/>
        <s v="EXPORTADORA FRUTICOLA DEL SUR S A"/>
        <s v="POLIMEROS Y PLASTICOS ANDINA SAC"/>
        <s v="CORPORACION CAYMAN SAC"/>
        <s v="RIPCONCIV CONSTRUCCIONES CIVILES CIA LTDA SUC"/>
        <s v="CRECE CAPITAL SAC"/>
        <s v="AGRO SAN GERARDO SAC"/>
        <s v="AGROMAR INDUSTRIAL S A"/>
        <s v="UNION DE NEGOCIOS CORPORATIVOS SAC"/>
        <s v="MINERA ENPROYEC SAC"/>
        <s v="EDIFICADORA DE DISE#O Y CONSTRUCCION SAC"/>
        <s v="AI INVERSIONES PALO ALTO II S A C"/>
        <s v="AUTOMOTORES GILDEMEISTER PERU S A C"/>
        <s v="HOMECENTERS PERUANOS SA"/>
        <s v="FIBRAS MARINAS SA"/>
        <s v="ALESE SAC"/>
        <s v="AUTOFONDO SAC"/>
        <s v="SMART GLOBAL SOCIEDAD ANONIMA CERRADA"/>
        <s v="NOBEX AGROINDUSTRIAL SA"/>
        <s v="NATURAL GAS COMPANY S A C"/>
        <s v="NEGRISA S A C"/>
        <s v="IESA S A"/>
        <s v="UNION DE TECNICOS ELECTROMECANICOS SAC"/>
        <s v="ELECTRO FERRO CENTRO SAC EFC SAC"/>
        <s v="AZAFRE PERU S A C"/>
        <s v="COOPERATIVA DE AHORRO Y CREDITO FONDESURCO"/>
        <s v="TRINY RENTAL SAC"/>
        <s v="SERVOSA COMBUSTIBLES SAC"/>
        <s v="DROCSA SAC"/>
        <s v="MOLINO TRUJILLO SAC"/>
        <s v="LABORATORIOS SERVICIO MANUF Y ACABADOS SAC"/>
        <s v="AMBACAR S A C"/>
        <s v="GRUPO QTC S A C"/>
        <s v="ZONA LLANTAS SAC"/>
        <s v="SUNSHINE EXPORT SAC"/>
        <s v="INKAPACKING SAC"/>
        <s v="DISTRIBUIDORA COMERCIAL ALVAREZ BOHL S R L"/>
        <s v="NOR AUTOS PIURA SAC"/>
        <s v="FERNANDEZ SAC"/>
        <s v="CONSORCIO DELY SAC"/>
        <s v="CORPORACION FRUTICOLA DE CHINCHA S A C"/>
        <s v="DIAMANTE DEL PACIFICO SA"/>
        <s v="REBECA PRODUCCIONES SAC"/>
        <s v="INCATECH S A C"/>
        <s v="EMPRESA METAL MECANICA SA"/>
        <s v="LLANMAXXI DEL PERU SAC"/>
        <s v="DRESDEN SA"/>
        <s v="INKA TUBOS SA"/>
        <s v="AGROVET MARKET SA"/>
        <s v="PREMIUM BRANDS S A C"/>
        <s v="SISTEMAS ANALITICOS SRL"/>
        <s v="IXM TRADING PERU SAC"/>
        <s v="OVOSUR S A"/>
        <s v="SURPACK S A"/>
        <s v="TRAUMA SOLUTIONS SAC"/>
        <s v="TRITON TRADING SOCIEDAD ANONIMA"/>
        <s v="FASTPACK SAC"/>
        <s v="TAGUMEDICA SA"/>
        <s v="SORAYA SAC"/>
        <s v="ESMERALDA CORP SAC"/>
        <s v="DEUTSCHE PHARMA S A C"/>
        <s v="FITFLOW PERU SRL"/>
        <s v="MAREAUTO PERU SA"/>
        <s v="DELICE SAC"/>
        <s v="AGRICOLA DON GUILLERMO S A C"/>
        <s v="FRUCTUS TERRUM SA"/>
        <s v="FAMILY FARMS PERU SRL"/>
        <s v="ESTILOS S R L"/>
        <s v="INCA TOPS S A"/>
        <s v="GRIFO JHP EIRL LTDA"/>
        <s v="EXPRESO GRAEL SOCIEDAD ANONIMA CERRADA"/>
        <s v="ACEROS COMERCIALES S C R L"/>
        <s v="DISMAR EIR LTDA"/>
        <s v="FRUTOS TONGORRAPE SOCIEDAD ANONIMA"/>
        <s v="COMERCIAL MOLINERA SAN LUIS SAC"/>
        <s v="ZEDINA ALIMENTOS SAC"/>
        <s v="LA LLAVE SA"/>
        <s v="OPP FILM S A"/>
        <s v="CONECTA RETAIL SA"/>
        <s v="SALESLAND PACIFICO SA"/>
        <s v="METCO TRADING"/>
        <s v="COOPERATIVA DE AHORRO Y CREDITO PACIFICO"/>
        <s v="ADIPLUS S A C"/>
        <s v="FACTOTAL PERU SA"/>
        <s v="C &amp; M SERVICENTROS SOCIEDAD ANONIMA CERRADA"/>
        <s v="SERMEFIT SAC"/>
        <s v="PERU PRODUCTOS AGRICOLAS SAC"/>
        <s v="HUMON LATIN AMERICA SA"/>
        <s v="COMPLEJO AGROINDUSTRIAL BETA S A"/>
        <s v="FORUM DISTRIBUIDORA DEL PERU SA"/>
        <s v="PYMATEK AUTOMATION S R L"/>
        <s v="INDUSTRIAS CLUTSAFE E I R L"/>
        <s v="ALMACENES FRIO NARVAL SAC"/>
        <s v="CONSTRUCTORA ABA S A C"/>
        <s v="IMPLEMENTOS PERU S A C"/>
        <s v="SOLPACK SAC"/>
        <s v="TACTICAL IT SAC"/>
        <s v="AMAZONAS TRADING PERU SAC"/>
        <s v="CAMPOS DEL SUR SA"/>
        <s v="TRACTO CAMIONES USA SAC"/>
        <s v="GRUPO FLOTEX SAC"/>
        <s v="LA GENOVESA SAC"/>
        <s v="IMBAREX SA"/>
        <s v="OTOYA MH SAC"/>
        <s v="PERULAB S A"/>
        <s v="EMUSA PERU SAC"/>
        <s v="CONSORCIO GEOHIDRAULICA SAC"/>
        <s v="CLASS COMPLEMENTS SAC"/>
        <s v="INVERSIONES RUBIN S SAC"/>
        <s v="S &amp; C SOLUCIONES INTEGRALES SAC"/>
        <s v="PROCESADORA COMERCIALIZADORA MONTENEGRO SAC"/>
        <s v="TAMBOS PERU SAC"/>
        <s v="VERDUM PERU SAC"/>
        <s v="SUDAMERICANA DE FIBRAS S A"/>
        <s v="COLOREXA SOCIEDAD ANONIMA CERRADA"/>
        <s v="MAPRIAL SAC"/>
        <s v="BIG ROCK S A C"/>
        <s v="AGROEXPORTACIONES NATHANAEL SAC"/>
      </sharedItems>
    </cacheField>
    <cacheField name="[Desem].[Producto].[Producto]" caption="Producto" numFmtId="0" hierarchy="3" level="1">
      <sharedItems count="4">
        <s v="PRESTAMOS"/>
        <s v="COMEX"/>
        <s v="DESCUENTOS"/>
        <s v="MEDIANO PLAZO"/>
      </sharedItems>
    </cacheField>
    <cacheField name="[Desem].[Spread Desem.].[Spread Desem.]" caption="Spread Desem." numFmtId="0" hierarchy="6" level="1">
      <sharedItems containsSemiMixedTypes="0" containsString="0" containsNumber="1" minValue="-0.21" maxValue="10.42" count="98">
        <n v="3.34"/>
        <n v="2.16"/>
        <n v="4.71"/>
        <n v="4.2"/>
        <n v="1.75"/>
        <n v="1.5"/>
        <n v="1.66"/>
        <n v="0.9"/>
        <n v="2.76"/>
        <n v="2.3199999999999998"/>
        <n v="0.55000000000000004"/>
        <n v="3.57"/>
        <n v="9.6"/>
        <n v="0.1"/>
        <n v="1.2"/>
        <n v="0.2"/>
        <n v="2.35"/>
        <n v="1.1499999999999999"/>
        <n v="4.6900000000000004"/>
        <n v="-0.21"/>
        <n v="2.4500000000000002"/>
        <n v="4.4800000000000004"/>
        <n v="1.3"/>
        <n v="0.85"/>
        <n v="1.8"/>
        <n v="1"/>
        <n v="5.5"/>
        <n v="3.15"/>
        <n v="5.47"/>
        <n v="1.9"/>
        <n v="2.58"/>
        <n v="2.0499999999999998"/>
        <n v="3.94"/>
        <n v="10.42"/>
        <n v="10.37"/>
        <n v="1.45"/>
        <n v="0.15"/>
        <n v="2.2999999999999998"/>
        <n v="3.8"/>
        <n v="3.35"/>
        <n v="1.55"/>
        <n v="3.3"/>
        <n v="3.95"/>
        <n v="2.8"/>
        <n v="0.5"/>
        <n v="2.75"/>
        <n v="6.15"/>
        <n v="2.7"/>
        <n v="0.6"/>
        <n v="0.61"/>
        <n v="5.55"/>
        <n v="4.43"/>
        <n v="4.18"/>
        <n v="4.25"/>
        <n v="4.5"/>
        <n v="0.95"/>
        <n v="0.7"/>
        <n v="0.51"/>
        <n v="4.8"/>
        <n v="4.9000000000000004"/>
        <n v="2.5499999999999998"/>
        <n v="8"/>
        <n v="1.95"/>
        <n v="3.19"/>
        <n v="6.1"/>
        <n v="7.95"/>
        <n v="1.98"/>
        <n v="3.45"/>
        <n v="3.9"/>
        <n v="5"/>
        <n v="3.6"/>
        <n v="5.15"/>
        <n v="3.65"/>
        <n v="4.55"/>
        <n v="1.1000000000000001"/>
        <n v="1.7"/>
        <n v="3.5"/>
        <n v="8.1999999999999993"/>
        <n v="1.05"/>
        <n v="4.1500000000000004"/>
        <n v="4.7"/>
        <n v="0.2752"/>
        <n v="2.95"/>
        <n v="3.55"/>
        <n v="0.25"/>
        <n v="3"/>
        <n v="2.4"/>
        <n v="4.6500000000000004"/>
        <n v="5.0999999999999996"/>
        <n v="3.05"/>
        <n v="2.2000000000000002"/>
        <n v="0.8"/>
        <n v="0.35"/>
        <n v="1.35"/>
        <n v="3.83"/>
        <n v="1.08"/>
        <n v="0.45"/>
        <n v="2.15"/>
      </sharedItems>
    </cacheField>
    <cacheField name="[Measures].[Suma de Monto Desem. M]" caption="Suma de Monto Desem. M" numFmtId="0" hierarchy="15" level="32767"/>
    <cacheField name="[Measures].[Suma de Spread Desem.]" caption="Suma de Spread Desem." numFmtId="0" hierarchy="16" level="32767"/>
    <cacheField name="[Desem].[Moneda].[Moneda]" caption="Moneda" numFmtId="0" hierarchy="4" level="1">
      <sharedItems count="2">
        <s v="USD"/>
        <s v="PEN"/>
      </sharedItems>
    </cacheField>
    <cacheField name="[Desem].[Lider].[Lider]" caption="Lider" numFmtId="0" hierarchy="7" level="1">
      <sharedItems containsSemiMixedTypes="0" containsNonDate="0" containsString="0"/>
    </cacheField>
    <cacheField name="[Desem].[Grupo].[Grupo]" caption="Grupo" numFmtId="0" hierarchy="8" level="1">
      <sharedItems containsSemiMixedTypes="0" containsNonDate="0" containsString="0"/>
    </cacheField>
  </cacheFields>
  <cacheHierarchies count="17">
    <cacheHierarchy uniqueName="[Desem].[Periodo]" caption="Periodo" attribute="1" defaultMemberUniqueName="[Desem].[Periodo].[All]" allUniqueName="[Desem].[Periodo].[All]" dimensionUniqueName="[Desem]" displayFolder="" count="2" memberValueDatatype="20" unbalanced="0">
      <fieldsUsage count="2">
        <fieldUsage x="-1"/>
        <fieldUsage x="0"/>
      </fieldsUsage>
    </cacheHierarchy>
    <cacheHierarchy uniqueName="[Desem].[Operacion]" caption="Operacion" attribute="1" defaultMemberUniqueName="[Desem].[Operacion].[All]" allUniqueName="[Desem].[Operacion].[All]" dimensionUniqueName="[Desem]" displayFolder="" count="2" memberValueDatatype="5" unbalanced="0">
      <fieldsUsage count="2">
        <fieldUsage x="-1"/>
        <fieldUsage x="1"/>
      </fieldsUsage>
    </cacheHierarchy>
    <cacheHierarchy uniqueName="[Desem].[Cod]" caption="Cod" attribute="1" defaultMemberUniqueName="[Desem].[Cod].[All]" allUniqueName="[Desem].[Cod].[All]" dimensionUniqueName="[Desem]" displayFolder="" count="0" memberValueDatatype="5" unbalanced="0"/>
    <cacheHierarchy uniqueName="[Desem].[Producto]" caption="Producto" attribute="1" defaultMemberUniqueName="[Desem].[Producto].[All]" allUniqueName="[Desem].[Producto].[All]" dimensionUniqueName="[Desem]" displayFolder="" count="2" memberValueDatatype="130" unbalanced="0">
      <fieldsUsage count="2">
        <fieldUsage x="-1"/>
        <fieldUsage x="4"/>
      </fieldsUsage>
    </cacheHierarchy>
    <cacheHierarchy uniqueName="[Desem].[Moneda]" caption="Moneda" attribute="1" defaultMemberUniqueName="[Desem].[Moneda].[All]" allUniqueName="[Desem].[Moneda].[All]" dimensionUniqueName="[Desem]" displayFolder="" count="2" memberValueDatatype="130" unbalanced="0">
      <fieldsUsage count="2">
        <fieldUsage x="-1"/>
        <fieldUsage x="8"/>
      </fieldsUsage>
    </cacheHierarchy>
    <cacheHierarchy uniqueName="[Desem].[Monto Desem.]" caption="Monto Desem." attribute="1" defaultMemberUniqueName="[Desem].[Monto Desem.].[All]" allUniqueName="[Desem].[Monto Desem.].[All]" dimensionUniqueName="[Desem]" displayFolder="" count="0" memberValueDatatype="5" unbalanced="0"/>
    <cacheHierarchy uniqueName="[Desem].[Spread Desem.]" caption="Spread Desem." attribute="1" defaultMemberUniqueName="[Desem].[Spread Desem.].[All]" allUniqueName="[Desem].[Spread Desem.].[All]" dimensionUniqueName="[Desem]" displayFolder="" count="2" memberValueDatatype="5" unbalanced="0">
      <fieldsUsage count="2">
        <fieldUsage x="-1"/>
        <fieldUsage x="5"/>
      </fieldsUsage>
    </cacheHierarchy>
    <cacheHierarchy uniqueName="[Desem].[Lider]" caption="Lider" attribute="1" defaultMemberUniqueName="[Desem].[Lider].[All]" allUniqueName="[Desem].[Lider].[All]" dimensionUniqueName="[Desem]" displayFolder="" count="2" memberValueDatatype="130" unbalanced="0">
      <fieldsUsage count="2">
        <fieldUsage x="-1"/>
        <fieldUsage x="9"/>
      </fieldsUsage>
    </cacheHierarchy>
    <cacheHierarchy uniqueName="[Desem].[Grupo]" caption="Grupo" attribute="1" defaultMemberUniqueName="[Desem].[Grupo].[All]" allUniqueName="[Desem].[Grupo].[All]" dimensionUniqueName="[Desem]" displayFolder="" count="2" memberValueDatatype="130" unbalanced="0">
      <fieldsUsage count="2">
        <fieldUsage x="-1"/>
        <fieldUsage x="10"/>
      </fieldsUsage>
    </cacheHierarchy>
    <cacheHierarchy uniqueName="[Desem].[NombreFuncionario]" caption="NombreFuncionario" attribute="1" defaultMemberUniqueName="[Desem].[NombreFuncionario].[All]" allUniqueName="[Desem].[NombreFuncionario].[All]" dimensionUniqueName="[Desem]" displayFolder="" count="2" memberValueDatatype="130" unbalanced="0">
      <fieldsUsage count="2">
        <fieldUsage x="-1"/>
        <fieldUsage x="2"/>
      </fieldsUsage>
    </cacheHierarchy>
    <cacheHierarchy uniqueName="[Desem].[NombreCliente]" caption="NombreCliente" attribute="1" defaultMemberUniqueName="[Desem].[NombreCliente].[All]" allUniqueName="[Desem].[NombreCliente].[All]" dimensionUniqueName="[Desem]" displayFolder="" count="2" memberValueDatatype="130" unbalanced="0">
      <fieldsUsage count="2">
        <fieldUsage x="-1"/>
        <fieldUsage x="3"/>
      </fieldsUsage>
    </cacheHierarchy>
    <cacheHierarchy uniqueName="[Desem].[Monto Desem. M]" caption="Monto Desem. M" attribute="1" defaultMemberUniqueName="[Desem].[Monto Desem. M].[All]" allUniqueName="[Desem].[Monto Desem. M].[All]" dimensionUniqueName="[Desem]" displayFolder="" count="0" memberValueDatatype="5" unbalanced="0"/>
    <cacheHierarchy uniqueName="[Measures].[__XL_Count Desem]" caption="__XL_Count Desem" measure="1" displayFolder="" measureGroup="Desem" count="0" hidden="1"/>
    <cacheHierarchy uniqueName="[Measures].[__No measures defined]" caption="__No measures defined" measure="1" displayFolder="" count="0" hidden="1"/>
    <cacheHierarchy uniqueName="[Measures].[Suma de Monto Desem.]" caption="Suma de Monto Desem." measure="1" displayFolder="" measureGroup="Desem" count="0" hidden="1">
      <extLst>
        <ext xmlns:x15="http://schemas.microsoft.com/office/spreadsheetml/2010/11/main" uri="{B97F6D7D-B522-45F9-BDA1-12C45D357490}">
          <x15:cacheHierarchy aggregatedColumn="5"/>
        </ext>
      </extLst>
    </cacheHierarchy>
    <cacheHierarchy uniqueName="[Measures].[Suma de Monto Desem. M]" caption="Suma de Monto Desem. M" measure="1" displayFolder="" measureGroup="Desem" count="0" oneField="1" hidden="1">
      <fieldsUsage count="1">
        <fieldUsage x="6"/>
      </fieldsUsage>
      <extLst>
        <ext xmlns:x15="http://schemas.microsoft.com/office/spreadsheetml/2010/11/main" uri="{B97F6D7D-B522-45F9-BDA1-12C45D357490}">
          <x15:cacheHierarchy aggregatedColumn="11"/>
        </ext>
      </extLst>
    </cacheHierarchy>
    <cacheHierarchy uniqueName="[Measures].[Suma de Spread Desem.]" caption="Suma de Spread Desem." measure="1" displayFolder="" measureGroup="Desem" count="0" oneField="1" hidden="1">
      <fieldsUsage count="1">
        <fieldUsage x="7"/>
      </fieldsUsage>
      <extLst>
        <ext xmlns:x15="http://schemas.microsoft.com/office/spreadsheetml/2010/11/main" uri="{B97F6D7D-B522-45F9-BDA1-12C45D357490}">
          <x15:cacheHierarchy aggregatedColumn="6"/>
        </ext>
      </extLst>
    </cacheHierarchy>
  </cacheHierarchies>
  <kpis count="0"/>
  <dimensions count="2">
    <dimension name="Desem" uniqueName="[Desem]" caption="Desem"/>
    <dimension measure="1" name="Measures" uniqueName="[Measures]" caption="Measures"/>
  </dimensions>
  <measureGroups count="1">
    <measureGroup name="Desem" caption="Desem"/>
  </measureGroups>
  <maps count="1">
    <map measureGroup="0" dimension="0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Luis Zelada" refreshedDate="46188.507254166667" createdVersion="5" refreshedVersion="8" minRefreshableVersion="3" recordCount="0" supportSubquery="1" supportAdvancedDrill="1" xr:uid="{91FC5B72-2F0F-4E4B-AC75-F8DC5A46E310}">
  <cacheSource type="external" connectionId="2"/>
  <cacheFields count="1">
    <cacheField name="[Desem].[NombreFuncionario].[NombreFuncionario]" caption="NombreFuncionario" numFmtId="0" hierarchy="9" level="1">
      <sharedItems count="22">
        <s v="A.ROJAS"/>
        <s v="C.ESPINOZA"/>
        <s v="C.MARKY*16024"/>
        <s v="C.MEJIA"/>
        <s v="D.HERRERA*14796"/>
        <s v="E.NUNEZ"/>
        <s v="F.AMANS*13178"/>
        <s v="G.BRAVO"/>
        <s v="G.RAFFO"/>
        <s v="J.CARRERA"/>
        <s v="J.GRANDEZ"/>
        <s v="J.NAVARRO"/>
        <s v="J.NICOLI"/>
        <s v="J.RAFFO*14014"/>
        <s v="M.CASTAÑEDA"/>
        <s v="M.LAZO"/>
        <s v="M.ROA"/>
        <s v="M.RODRIGUEZ*16329"/>
        <s v="P.VENEGAS*15424"/>
        <s v="R.SOLIS"/>
        <s v="W.MACHUCA"/>
        <s v="W.MONTES"/>
      </sharedItems>
    </cacheField>
  </cacheFields>
  <cacheHierarchies count="17">
    <cacheHierarchy uniqueName="[Desem].[Periodo]" caption="Periodo" attribute="1" defaultMemberUniqueName="[Desem].[Periodo].[All]" allUniqueName="[Desem].[Periodo].[All]" dimensionUniqueName="[Desem]" displayFolder="" count="0" memberValueDatatype="20" unbalanced="0"/>
    <cacheHierarchy uniqueName="[Desem].[Operacion]" caption="Operacion" attribute="1" defaultMemberUniqueName="[Desem].[Operacion].[All]" allUniqueName="[Desem].[Operacion].[All]" dimensionUniqueName="[Desem]" displayFolder="" count="0" memberValueDatatype="5" unbalanced="0"/>
    <cacheHierarchy uniqueName="[Desem].[Cod]" caption="Cod" attribute="1" defaultMemberUniqueName="[Desem].[Cod].[All]" allUniqueName="[Desem].[Cod].[All]" dimensionUniqueName="[Desem]" displayFolder="" count="0" memberValueDatatype="5" unbalanced="0"/>
    <cacheHierarchy uniqueName="[Desem].[Producto]" caption="Producto" attribute="1" defaultMemberUniqueName="[Desem].[Producto].[All]" allUniqueName="[Desem].[Producto].[All]" dimensionUniqueName="[Desem]" displayFolder="" count="0" memberValueDatatype="130" unbalanced="0"/>
    <cacheHierarchy uniqueName="[Desem].[Moneda]" caption="Moneda" attribute="1" defaultMemberUniqueName="[Desem].[Moneda].[All]" allUniqueName="[Desem].[Moneda].[All]" dimensionUniqueName="[Desem]" displayFolder="" count="0" memberValueDatatype="130" unbalanced="0"/>
    <cacheHierarchy uniqueName="[Desem].[Monto Desem.]" caption="Monto Desem." attribute="1" defaultMemberUniqueName="[Desem].[Monto Desem.].[All]" allUniqueName="[Desem].[Monto Desem.].[All]" dimensionUniqueName="[Desem]" displayFolder="" count="0" memberValueDatatype="5" unbalanced="0"/>
    <cacheHierarchy uniqueName="[Desem].[Spread Desem.]" caption="Spread Desem." attribute="1" defaultMemberUniqueName="[Desem].[Spread Desem.].[All]" allUniqueName="[Desem].[Spread Desem.].[All]" dimensionUniqueName="[Desem]" displayFolder="" count="0" memberValueDatatype="5" unbalanced="0"/>
    <cacheHierarchy uniqueName="[Desem].[Lider]" caption="Lider" attribute="1" defaultMemberUniqueName="[Desem].[Lider].[All]" allUniqueName="[Desem].[Lider].[All]" dimensionUniqueName="[Desem]" displayFolder="" count="0" memberValueDatatype="130" unbalanced="0"/>
    <cacheHierarchy uniqueName="[Desem].[Grupo]" caption="Grupo" attribute="1" defaultMemberUniqueName="[Desem].[Grupo].[All]" allUniqueName="[Desem].[Grupo].[All]" dimensionUniqueName="[Desem]" displayFolder="" count="0" memberValueDatatype="130" unbalanced="0"/>
    <cacheHierarchy uniqueName="[Desem].[NombreFuncionario]" caption="NombreFuncionario" attribute="1" defaultMemberUniqueName="[Desem].[NombreFuncionario].[All]" allUniqueName="[Desem].[NombreFuncionario].[All]" dimensionUniqueName="[Desem]" displayFolder="" count="2" memberValueDatatype="130" unbalanced="0">
      <fieldsUsage count="2">
        <fieldUsage x="-1"/>
        <fieldUsage x="0"/>
      </fieldsUsage>
    </cacheHierarchy>
    <cacheHierarchy uniqueName="[Desem].[NombreCliente]" caption="NombreCliente" attribute="1" defaultMemberUniqueName="[Desem].[NombreCliente].[All]" allUniqueName="[Desem].[NombreCliente].[All]" dimensionUniqueName="[Desem]" displayFolder="" count="0" memberValueDatatype="130" unbalanced="0"/>
    <cacheHierarchy uniqueName="[Desem].[Monto Desem. M]" caption="Monto Desem. M" attribute="1" defaultMemberUniqueName="[Desem].[Monto Desem. M].[All]" allUniqueName="[Desem].[Monto Desem. M].[All]" dimensionUniqueName="[Desem]" displayFolder="" count="0" memberValueDatatype="5" unbalanced="0"/>
    <cacheHierarchy uniqueName="[Measures].[__XL_Count Desem]" caption="__XL_Count Desem" measure="1" displayFolder="" measureGroup="Desem" count="0" hidden="1"/>
    <cacheHierarchy uniqueName="[Measures].[__No measures defined]" caption="__No measures defined" measure="1" displayFolder="" count="0" hidden="1"/>
    <cacheHierarchy uniqueName="[Measures].[Suma de Monto Desem.]" caption="Suma de Monto Desem." measure="1" displayFolder="" measureGroup="Desem" count="0" hidden="1">
      <extLst>
        <ext xmlns:x15="http://schemas.microsoft.com/office/spreadsheetml/2010/11/main" uri="{B97F6D7D-B522-45F9-BDA1-12C45D357490}">
          <x15:cacheHierarchy aggregatedColumn="5"/>
        </ext>
      </extLst>
    </cacheHierarchy>
    <cacheHierarchy uniqueName="[Measures].[Suma de Monto Desem. M]" caption="Suma de Monto Desem. M" measure="1" displayFolder="" measureGroup="Desem" count="0" hidden="1">
      <extLst>
        <ext xmlns:x15="http://schemas.microsoft.com/office/spreadsheetml/2010/11/main" uri="{B97F6D7D-B522-45F9-BDA1-12C45D357490}">
          <x15:cacheHierarchy aggregatedColumn="11"/>
        </ext>
      </extLst>
    </cacheHierarchy>
    <cacheHierarchy uniqueName="[Measures].[Suma de Spread Desem.]" caption="Suma de Spread Desem." measure="1" displayFolder="" measureGroup="Desem" count="0" hidden="1">
      <extLst>
        <ext xmlns:x15="http://schemas.microsoft.com/office/spreadsheetml/2010/11/main" uri="{B97F6D7D-B522-45F9-BDA1-12C45D357490}">
          <x15:cacheHierarchy aggregatedColumn="6"/>
        </ext>
      </extLst>
    </cacheHierarchy>
  </cacheHierarchies>
  <kpis count="0"/>
  <dimensions count="2">
    <dimension name="Desem" uniqueName="[Desem]" caption="Desem"/>
    <dimension measure="1" name="Measures" uniqueName="[Measures]" caption="Measures"/>
  </dimensions>
  <measureGroups count="1">
    <measureGroup name="Desem" caption="Desem"/>
  </measureGroups>
  <maps count="1">
    <map measureGroup="0" dimension="0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Luis Zelada" refreshedDate="46188.507252083335" createdVersion="3" refreshedVersion="8" minRefreshableVersion="3" recordCount="0" supportSubquery="1" supportAdvancedDrill="1" xr:uid="{28F08D47-1C67-470F-BBDB-469A4A03300B}">
  <cacheSource type="external" connectionId="2">
    <extLst>
      <ext xmlns:x14="http://schemas.microsoft.com/office/spreadsheetml/2009/9/main" uri="{F057638F-6D5F-4e77-A914-E7F072B9BCA8}">
        <x14:sourceConnection name="ThisWorkbookDataModel"/>
      </ext>
    </extLst>
  </cacheSource>
  <cacheFields count="0"/>
  <cacheHierarchies count="17">
    <cacheHierarchy uniqueName="[Desem].[Periodo]" caption="Periodo" attribute="1" defaultMemberUniqueName="[Desem].[Periodo].[All]" allUniqueName="[Desem].[Periodo].[All]" dimensionUniqueName="[Desem]" displayFolder="" count="0" memberValueDatatype="20" unbalanced="0"/>
    <cacheHierarchy uniqueName="[Desem].[Operacion]" caption="Operacion" attribute="1" defaultMemberUniqueName="[Desem].[Operacion].[All]" allUniqueName="[Desem].[Operacion].[All]" dimensionUniqueName="[Desem]" displayFolder="" count="0" memberValueDatatype="5" unbalanced="0"/>
    <cacheHierarchy uniqueName="[Desem].[Cod]" caption="Cod" attribute="1" defaultMemberUniqueName="[Desem].[Cod].[All]" allUniqueName="[Desem].[Cod].[All]" dimensionUniqueName="[Desem]" displayFolder="" count="0" memberValueDatatype="5" unbalanced="0"/>
    <cacheHierarchy uniqueName="[Desem].[Producto]" caption="Producto" attribute="1" defaultMemberUniqueName="[Desem].[Producto].[All]" allUniqueName="[Desem].[Producto].[All]" dimensionUniqueName="[Desem]" displayFolder="" count="0" memberValueDatatype="130" unbalanced="0"/>
    <cacheHierarchy uniqueName="[Desem].[Moneda]" caption="Moneda" attribute="1" defaultMemberUniqueName="[Desem].[Moneda].[All]" allUniqueName="[Desem].[Moneda].[All]" dimensionUniqueName="[Desem]" displayFolder="" count="0" memberValueDatatype="130" unbalanced="0"/>
    <cacheHierarchy uniqueName="[Desem].[Monto Desem.]" caption="Monto Desem." attribute="1" defaultMemberUniqueName="[Desem].[Monto Desem.].[All]" allUniqueName="[Desem].[Monto Desem.].[All]" dimensionUniqueName="[Desem]" displayFolder="" count="0" memberValueDatatype="5" unbalanced="0"/>
    <cacheHierarchy uniqueName="[Desem].[Spread Desem.]" caption="Spread Desem." attribute="1" defaultMemberUniqueName="[Desem].[Spread Desem.].[All]" allUniqueName="[Desem].[Spread Desem.].[All]" dimensionUniqueName="[Desem]" displayFolder="" count="0" memberValueDatatype="5" unbalanced="0"/>
    <cacheHierarchy uniqueName="[Desem].[Lider]" caption="Lider" attribute="1" defaultMemberUniqueName="[Desem].[Lider].[All]" allUniqueName="[Desem].[Lider].[All]" dimensionUniqueName="[Desem]" displayFolder="" count="2" memberValueDatatype="130" unbalanced="0"/>
    <cacheHierarchy uniqueName="[Desem].[Grupo]" caption="Grupo" attribute="1" defaultMemberUniqueName="[Desem].[Grupo].[All]" allUniqueName="[Desem].[Grupo].[All]" dimensionUniqueName="[Desem]" displayFolder="" count="2" memberValueDatatype="130" unbalanced="0"/>
    <cacheHierarchy uniqueName="[Desem].[NombreFuncionario]" caption="NombreFuncionario" attribute="1" defaultMemberUniqueName="[Desem].[NombreFuncionario].[All]" allUniqueName="[Desem].[NombreFuncionario].[All]" dimensionUniqueName="[Desem]" displayFolder="" count="2" memberValueDatatype="130" unbalanced="0"/>
    <cacheHierarchy uniqueName="[Desem].[NombreCliente]" caption="NombreCliente" attribute="1" defaultMemberUniqueName="[Desem].[NombreCliente].[All]" allUniqueName="[Desem].[NombreCliente].[All]" dimensionUniqueName="[Desem]" displayFolder="" count="0" memberValueDatatype="130" unbalanced="0"/>
    <cacheHierarchy uniqueName="[Desem].[Monto Desem. M]" caption="Monto Desem. M" attribute="1" defaultMemberUniqueName="[Desem].[Monto Desem. M].[All]" allUniqueName="[Desem].[Monto Desem. M].[All]" dimensionUniqueName="[Desem]" displayFolder="" count="0" memberValueDatatype="5" unbalanced="0"/>
    <cacheHierarchy uniqueName="[Measures].[__XL_Count Desem]" caption="__XL_Count Desem" measure="1" displayFolder="" measureGroup="Desem" count="0" hidden="1"/>
    <cacheHierarchy uniqueName="[Measures].[__No measures defined]" caption="__No measures defined" measure="1" displayFolder="" count="0" hidden="1"/>
    <cacheHierarchy uniqueName="[Measures].[Suma de Monto Desem.]" caption="Suma de Monto Desem." measure="1" displayFolder="" measureGroup="Desem" count="0" hidden="1">
      <extLst>
        <ext xmlns:x15="http://schemas.microsoft.com/office/spreadsheetml/2010/11/main" uri="{B97F6D7D-B522-45F9-BDA1-12C45D357490}">
          <x15:cacheHierarchy aggregatedColumn="5"/>
        </ext>
      </extLst>
    </cacheHierarchy>
    <cacheHierarchy uniqueName="[Measures].[Suma de Monto Desem. M]" caption="Suma de Monto Desem. M" measure="1" displayFolder="" measureGroup="Desem" count="0" hidden="1">
      <extLst>
        <ext xmlns:x15="http://schemas.microsoft.com/office/spreadsheetml/2010/11/main" uri="{B97F6D7D-B522-45F9-BDA1-12C45D357490}">
          <x15:cacheHierarchy aggregatedColumn="11"/>
        </ext>
      </extLst>
    </cacheHierarchy>
    <cacheHierarchy uniqueName="[Measures].[Suma de Spread Desem.]" caption="Suma de Spread Desem." measure="1" displayFolder="" measureGroup="Desem" count="0" hidden="1">
      <extLst>
        <ext xmlns:x15="http://schemas.microsoft.com/office/spreadsheetml/2010/11/main" uri="{B97F6D7D-B522-45F9-BDA1-12C45D357490}">
          <x15:cacheHierarchy aggregatedColumn="6"/>
        </ext>
      </extLst>
    </cacheHierarchy>
  </cacheHierarchies>
  <kpis count="0"/>
  <extLst>
    <ext xmlns:x14="http://schemas.microsoft.com/office/spreadsheetml/2009/9/main" uri="{725AE2AE-9491-48be-B2B4-4EB974FC3084}">
      <x14:pivotCacheDefinition slicerData="1" pivotCacheId="1706892934" supportSubqueryNonVisual="1" supportSubqueryCalcMem="1" supportAddCalcMems="1"/>
    </ext>
  </extLst>
</pivotCacheDefinition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C7E888D-5494-4026-880D-DE0B5E515DC0}" name="TablaDinámica1" cacheId="30" applyNumberFormats="0" applyBorderFormats="0" applyFontFormats="0" applyPatternFormats="0" applyAlignmentFormats="0" applyWidthHeightFormats="1" dataCaption="Valores" tag="1e3b7414-440b-488d-a175-9297902054bf" updatedVersion="8" minRefreshableVersion="3" rowGrandTotals="0" colGrandTotals="0" itemPrintTitles="1" createdVersion="5" indent="0" compact="0" compactData="0" multipleFieldFilters="0">
  <location ref="A15:H519" firstHeaderRow="0" firstDataRow="1" firstDataCol="6"/>
  <pivotFields count="11">
    <pivotField axis="axisRow" compact="0" allDrilled="1" outline="0" subtotalTop="0" showAll="0" dataSourceSort="1" defaultSubtotal="0" defaultAttributeDrillState="1">
      <items count="3">
        <item x="0"/>
        <item x="1"/>
        <item x="2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allDrilled="1" outline="0" subtotalTop="0" showAll="0" dataSourceSort="1" defaultSubtotal="0" defaultAttributeDrillState="1">
      <items count="504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</items>
      <extLst>
        <ext xmlns:x14="http://schemas.microsoft.com/office/spreadsheetml/2009/9/main" uri="{2946ED86-A175-432a-8AC1-64E0C546D7DE}">
          <x14:pivotField fillDownLabels="1"/>
        </ext>
      </extLst>
    </pivotField>
    <pivotField name="Nombre Funcionario" axis="axisRow" compact="0" allDrilled="1" outline="0" subtotalTop="0" showAll="0" dataSourceSort="1" defaultSubtotal="0" defaultAttributeDrillState="1">
      <items count="22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allDrilled="1" outline="0" subtotalTop="0" showAll="0" dataSourceSort="1" defaultSubtotal="0" defaultAttributeDrillState="1">
      <items count="22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allDrilled="1" outline="0" subtotalTop="0" showAll="0" dataSourceSort="1" defaultSubtotal="0" defaultAttributeDrillState="1">
      <items count="4">
        <item x="0"/>
        <item x="1"/>
        <item x="2"/>
        <item x="3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allDrilled="1" outline="0" subtotalTop="0" showAll="0" sortType="ascending" defaultSubtotal="0" defaultAttributeDrillState="1">
      <items count="98">
        <item x="19"/>
        <item x="13"/>
        <item x="36"/>
        <item x="15"/>
        <item x="84"/>
        <item x="81"/>
        <item x="92"/>
        <item x="96"/>
        <item x="44"/>
        <item x="57"/>
        <item x="10"/>
        <item x="48"/>
        <item x="49"/>
        <item x="56"/>
        <item x="91"/>
        <item x="23"/>
        <item x="7"/>
        <item x="55"/>
        <item x="25"/>
        <item x="78"/>
        <item x="95"/>
        <item x="74"/>
        <item x="17"/>
        <item x="14"/>
        <item x="22"/>
        <item x="93"/>
        <item x="35"/>
        <item x="5"/>
        <item x="40"/>
        <item x="6"/>
        <item x="75"/>
        <item x="4"/>
        <item x="24"/>
        <item x="29"/>
        <item x="62"/>
        <item x="66"/>
        <item x="31"/>
        <item x="97"/>
        <item x="1"/>
        <item x="90"/>
        <item x="37"/>
        <item x="9"/>
        <item x="16"/>
        <item x="86"/>
        <item x="20"/>
        <item x="60"/>
        <item x="30"/>
        <item x="47"/>
        <item x="45"/>
        <item x="8"/>
        <item x="43"/>
        <item x="82"/>
        <item x="85"/>
        <item x="89"/>
        <item x="27"/>
        <item x="63"/>
        <item x="41"/>
        <item x="0"/>
        <item x="39"/>
        <item x="67"/>
        <item x="76"/>
        <item x="83"/>
        <item x="11"/>
        <item x="70"/>
        <item x="72"/>
        <item x="38"/>
        <item x="94"/>
        <item x="68"/>
        <item x="32"/>
        <item x="42"/>
        <item x="79"/>
        <item x="52"/>
        <item x="3"/>
        <item x="53"/>
        <item x="51"/>
        <item x="21"/>
        <item x="54"/>
        <item x="73"/>
        <item x="87"/>
        <item x="18"/>
        <item x="80"/>
        <item x="2"/>
        <item x="58"/>
        <item x="59"/>
        <item x="69"/>
        <item x="88"/>
        <item x="71"/>
        <item x="28"/>
        <item x="26"/>
        <item x="50"/>
        <item x="64"/>
        <item x="46"/>
        <item x="65"/>
        <item x="61"/>
        <item x="77"/>
        <item x="12"/>
        <item x="34"/>
        <item x="33"/>
      </items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allDrilled="1" outline="0" subtotalTop="0" showAll="0" dataSourceSort="1" defaultSubtotal="0" defaultAttributeDrillState="1">
      <items count="2">
        <item x="0"/>
        <item x="1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allDrilled="1" outline="0" subtotalTop="0" showAll="0" dataSourceSort="1" defaultSubtotal="0" defaultAttributeDrillState="1">
      <extLst>
        <ext xmlns:x14="http://schemas.microsoft.com/office/spreadsheetml/2009/9/main" uri="{2946ED86-A175-432a-8AC1-64E0C546D7DE}">
          <x14:pivotField fillDownLabels="1"/>
        </ext>
      </extLst>
    </pivotField>
    <pivotField compact="0" allDrilled="1" outline="0" subtotalTop="0" showAll="0" dataSourceSort="1" defaultSubtotal="0" defaultAttributeDrillState="1"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6">
    <field x="0"/>
    <field x="2"/>
    <field x="1"/>
    <field x="8"/>
    <field x="4"/>
    <field x="3"/>
  </rowFields>
  <rowItems count="504">
    <i>
      <x/>
      <x/>
      <x/>
      <x/>
      <x/>
      <x/>
    </i>
    <i r="2">
      <x v="1"/>
      <x v="1"/>
      <x v="1"/>
      <x v="1"/>
    </i>
    <i r="2">
      <x v="2"/>
      <x/>
      <x v="1"/>
      <x v="2"/>
    </i>
    <i r="2">
      <x v="3"/>
      <x/>
      <x/>
      <x v="3"/>
    </i>
    <i r="2">
      <x v="4"/>
      <x/>
      <x/>
      <x v="4"/>
    </i>
    <i r="2">
      <x v="5"/>
      <x/>
      <x/>
      <x/>
    </i>
    <i r="2">
      <x v="6"/>
      <x/>
      <x/>
      <x/>
    </i>
    <i r="1">
      <x v="1"/>
      <x v="7"/>
      <x v="1"/>
      <x v="2"/>
      <x v="5"/>
    </i>
    <i r="2">
      <x v="8"/>
      <x/>
      <x v="2"/>
      <x v="5"/>
    </i>
    <i r="2">
      <x v="9"/>
      <x v="1"/>
      <x/>
      <x v="6"/>
    </i>
    <i r="2">
      <x v="10"/>
      <x v="1"/>
      <x v="1"/>
      <x v="7"/>
    </i>
    <i r="2">
      <x v="11"/>
      <x/>
      <x v="1"/>
      <x v="8"/>
    </i>
    <i r="2">
      <x v="12"/>
      <x/>
      <x/>
      <x v="9"/>
    </i>
    <i r="2">
      <x v="13"/>
      <x/>
      <x/>
      <x v="10"/>
    </i>
    <i r="2">
      <x v="14"/>
      <x v="1"/>
      <x/>
      <x v="11"/>
    </i>
    <i r="2">
      <x v="15"/>
      <x v="1"/>
      <x v="1"/>
      <x v="12"/>
    </i>
    <i r="2">
      <x v="16"/>
      <x/>
      <x v="1"/>
      <x v="13"/>
    </i>
    <i r="2">
      <x v="17"/>
      <x v="1"/>
      <x v="2"/>
      <x v="5"/>
    </i>
    <i r="2">
      <x v="18"/>
      <x/>
      <x v="1"/>
      <x v="14"/>
    </i>
    <i r="1">
      <x v="2"/>
      <x v="19"/>
      <x/>
      <x v="1"/>
      <x v="15"/>
    </i>
    <i r="2">
      <x v="20"/>
      <x/>
      <x/>
      <x v="16"/>
    </i>
    <i r="2">
      <x v="21"/>
      <x/>
      <x v="1"/>
      <x v="17"/>
    </i>
    <i r="2">
      <x v="22"/>
      <x/>
      <x v="1"/>
      <x v="17"/>
    </i>
    <i r="2">
      <x v="23"/>
      <x/>
      <x v="1"/>
      <x v="17"/>
    </i>
    <i r="2">
      <x v="24"/>
      <x/>
      <x v="1"/>
      <x v="17"/>
    </i>
    <i r="2">
      <x v="25"/>
      <x/>
      <x v="1"/>
      <x v="17"/>
    </i>
    <i r="2">
      <x v="26"/>
      <x/>
      <x v="1"/>
      <x v="17"/>
    </i>
    <i r="2">
      <x v="27"/>
      <x/>
      <x v="1"/>
      <x v="17"/>
    </i>
    <i r="2">
      <x v="28"/>
      <x/>
      <x v="1"/>
      <x v="18"/>
    </i>
    <i r="1">
      <x v="3"/>
      <x v="29"/>
      <x/>
      <x/>
      <x v="19"/>
    </i>
    <i r="2">
      <x v="30"/>
      <x v="1"/>
      <x v="2"/>
      <x v="20"/>
    </i>
    <i r="2">
      <x v="31"/>
      <x/>
      <x v="1"/>
      <x v="21"/>
    </i>
    <i r="2">
      <x v="32"/>
      <x v="1"/>
      <x v="2"/>
      <x v="22"/>
    </i>
    <i r="2">
      <x v="33"/>
      <x v="1"/>
      <x v="2"/>
      <x v="20"/>
    </i>
    <i r="2">
      <x v="34"/>
      <x v="1"/>
      <x v="1"/>
      <x v="23"/>
    </i>
    <i r="2">
      <x v="35"/>
      <x v="1"/>
      <x v="2"/>
      <x v="22"/>
    </i>
    <i r="2">
      <x v="36"/>
      <x/>
      <x v="1"/>
      <x v="24"/>
    </i>
    <i r="2">
      <x v="37"/>
      <x/>
      <x/>
      <x v="25"/>
    </i>
    <i r="2">
      <x v="38"/>
      <x/>
      <x/>
      <x v="26"/>
    </i>
    <i r="2">
      <x v="39"/>
      <x v="1"/>
      <x v="2"/>
      <x v="22"/>
    </i>
    <i r="2">
      <x v="40"/>
      <x v="1"/>
      <x v="2"/>
      <x v="22"/>
    </i>
    <i r="2">
      <x v="41"/>
      <x v="1"/>
      <x v="2"/>
      <x v="27"/>
    </i>
    <i r="2">
      <x v="42"/>
      <x/>
      <x/>
      <x v="28"/>
    </i>
    <i r="2">
      <x v="43"/>
      <x v="1"/>
      <x v="2"/>
      <x v="23"/>
    </i>
    <i r="2">
      <x v="44"/>
      <x/>
      <x/>
      <x v="29"/>
    </i>
    <i r="2">
      <x v="45"/>
      <x/>
      <x/>
      <x v="29"/>
    </i>
    <i r="2">
      <x v="46"/>
      <x v="1"/>
      <x/>
      <x v="20"/>
    </i>
    <i r="2">
      <x v="47"/>
      <x/>
      <x v="1"/>
      <x v="30"/>
    </i>
    <i r="2">
      <x v="48"/>
      <x v="1"/>
      <x/>
      <x v="31"/>
    </i>
    <i r="1">
      <x v="4"/>
      <x v="49"/>
      <x/>
      <x v="1"/>
      <x v="32"/>
    </i>
    <i r="2">
      <x v="50"/>
      <x v="1"/>
      <x v="2"/>
      <x v="33"/>
    </i>
    <i r="2">
      <x v="51"/>
      <x v="1"/>
      <x v="2"/>
      <x v="33"/>
    </i>
    <i r="2">
      <x v="52"/>
      <x v="1"/>
      <x v="1"/>
      <x v="34"/>
    </i>
    <i r="1">
      <x v="5"/>
      <x v="53"/>
      <x/>
      <x v="1"/>
      <x v="35"/>
    </i>
    <i r="2">
      <x v="54"/>
      <x/>
      <x v="1"/>
      <x v="35"/>
    </i>
    <i r="2">
      <x v="55"/>
      <x/>
      <x v="1"/>
      <x v="35"/>
    </i>
    <i r="2">
      <x v="56"/>
      <x/>
      <x v="1"/>
      <x v="35"/>
    </i>
    <i r="2">
      <x v="57"/>
      <x/>
      <x v="1"/>
      <x v="35"/>
    </i>
    <i r="2">
      <x v="58"/>
      <x/>
      <x v="1"/>
      <x v="36"/>
    </i>
    <i r="2">
      <x v="59"/>
      <x/>
      <x v="1"/>
      <x v="37"/>
    </i>
    <i r="2">
      <x v="60"/>
      <x v="1"/>
      <x v="1"/>
      <x v="38"/>
    </i>
    <i r="2">
      <x v="61"/>
      <x/>
      <x v="1"/>
      <x v="39"/>
    </i>
    <i r="2">
      <x v="62"/>
      <x v="1"/>
      <x/>
      <x v="40"/>
    </i>
    <i r="2">
      <x v="63"/>
      <x v="1"/>
      <x v="1"/>
      <x v="41"/>
    </i>
    <i r="1">
      <x v="6"/>
      <x v="64"/>
      <x/>
      <x v="1"/>
      <x v="42"/>
    </i>
    <i r="2">
      <x v="65"/>
      <x/>
      <x v="1"/>
      <x v="42"/>
    </i>
    <i r="2">
      <x v="66"/>
      <x/>
      <x/>
      <x v="43"/>
    </i>
    <i r="2">
      <x v="67"/>
      <x/>
      <x v="1"/>
      <x v="44"/>
    </i>
    <i r="2">
      <x v="68"/>
      <x v="1"/>
      <x/>
      <x v="45"/>
    </i>
    <i r="2">
      <x v="69"/>
      <x/>
      <x v="1"/>
      <x v="44"/>
    </i>
    <i r="1">
      <x v="7"/>
      <x v="70"/>
      <x/>
      <x/>
      <x v="46"/>
    </i>
    <i r="2">
      <x v="71"/>
      <x/>
      <x v="2"/>
      <x v="47"/>
    </i>
    <i r="2">
      <x v="72"/>
      <x v="1"/>
      <x/>
      <x v="48"/>
    </i>
    <i r="2">
      <x v="73"/>
      <x/>
      <x v="1"/>
      <x v="49"/>
    </i>
    <i r="2">
      <x v="74"/>
      <x/>
      <x v="1"/>
      <x v="49"/>
    </i>
    <i r="2">
      <x v="75"/>
      <x/>
      <x v="1"/>
      <x v="50"/>
    </i>
    <i r="2">
      <x v="76"/>
      <x/>
      <x v="1"/>
      <x v="49"/>
    </i>
    <i r="2">
      <x v="77"/>
      <x v="1"/>
      <x/>
      <x v="51"/>
    </i>
    <i r="2">
      <x v="78"/>
      <x/>
      <x/>
      <x v="49"/>
    </i>
    <i r="2">
      <x v="79"/>
      <x/>
      <x/>
      <x v="52"/>
    </i>
    <i r="2">
      <x v="80"/>
      <x/>
      <x/>
      <x v="52"/>
    </i>
    <i r="2">
      <x v="81"/>
      <x v="1"/>
      <x v="2"/>
      <x v="47"/>
    </i>
    <i r="2">
      <x v="82"/>
      <x/>
      <x v="2"/>
      <x v="47"/>
    </i>
    <i r="1">
      <x v="8"/>
      <x v="83"/>
      <x/>
      <x v="1"/>
      <x v="53"/>
    </i>
    <i r="2">
      <x v="84"/>
      <x v="1"/>
      <x v="1"/>
      <x v="54"/>
    </i>
    <i r="2">
      <x v="85"/>
      <x v="1"/>
      <x v="1"/>
      <x v="54"/>
    </i>
    <i r="2">
      <x v="86"/>
      <x v="1"/>
      <x v="1"/>
      <x v="54"/>
    </i>
    <i r="2">
      <x v="87"/>
      <x/>
      <x v="1"/>
      <x v="55"/>
    </i>
    <i r="2">
      <x v="88"/>
      <x/>
      <x v="1"/>
      <x v="55"/>
    </i>
    <i r="2">
      <x v="89"/>
      <x v="1"/>
      <x v="1"/>
      <x v="54"/>
    </i>
    <i r="2">
      <x v="90"/>
      <x v="1"/>
      <x v="1"/>
      <x v="54"/>
    </i>
    <i r="2">
      <x v="91"/>
      <x v="1"/>
      <x v="1"/>
      <x v="54"/>
    </i>
    <i r="2">
      <x v="92"/>
      <x v="1"/>
      <x v="2"/>
      <x v="56"/>
    </i>
    <i r="2">
      <x v="93"/>
      <x v="1"/>
      <x v="1"/>
      <x v="54"/>
    </i>
    <i r="2">
      <x v="94"/>
      <x v="1"/>
      <x v="1"/>
      <x v="54"/>
    </i>
    <i r="2">
      <x v="95"/>
      <x v="1"/>
      <x v="1"/>
      <x v="54"/>
    </i>
    <i r="2">
      <x v="96"/>
      <x/>
      <x v="1"/>
      <x v="57"/>
    </i>
    <i r="2">
      <x v="97"/>
      <x/>
      <x v="2"/>
      <x v="57"/>
    </i>
    <i r="2">
      <x v="98"/>
      <x/>
      <x v="1"/>
      <x v="53"/>
    </i>
    <i r="2">
      <x v="99"/>
      <x v="1"/>
      <x v="1"/>
      <x v="58"/>
    </i>
    <i r="2">
      <x v="100"/>
      <x v="1"/>
      <x v="1"/>
      <x v="54"/>
    </i>
    <i r="2">
      <x v="101"/>
      <x v="1"/>
      <x v="1"/>
      <x v="54"/>
    </i>
    <i r="2">
      <x v="102"/>
      <x v="1"/>
      <x v="1"/>
      <x v="54"/>
    </i>
    <i r="2">
      <x v="103"/>
      <x/>
      <x v="1"/>
      <x v="59"/>
    </i>
    <i r="2">
      <x v="104"/>
      <x/>
      <x v="1"/>
      <x v="60"/>
    </i>
    <i r="2">
      <x v="105"/>
      <x v="1"/>
      <x v="2"/>
      <x v="61"/>
    </i>
    <i r="2">
      <x v="106"/>
      <x/>
      <x v="1"/>
      <x v="62"/>
    </i>
    <i r="2">
      <x v="107"/>
      <x/>
      <x v="1"/>
      <x v="59"/>
    </i>
    <i r="2">
      <x v="108"/>
      <x v="1"/>
      <x v="1"/>
      <x v="54"/>
    </i>
    <i r="2">
      <x v="109"/>
      <x v="1"/>
      <x v="1"/>
      <x v="54"/>
    </i>
    <i r="2">
      <x v="110"/>
      <x v="1"/>
      <x v="1"/>
      <x v="54"/>
    </i>
    <i r="2">
      <x v="111"/>
      <x/>
      <x/>
      <x v="63"/>
    </i>
    <i r="2">
      <x v="112"/>
      <x/>
      <x/>
      <x v="63"/>
    </i>
    <i r="2">
      <x v="113"/>
      <x/>
      <x/>
      <x v="63"/>
    </i>
    <i r="2">
      <x v="114"/>
      <x/>
      <x/>
      <x v="63"/>
    </i>
    <i r="2">
      <x v="115"/>
      <x v="1"/>
      <x v="1"/>
      <x v="54"/>
    </i>
    <i r="2">
      <x v="116"/>
      <x v="1"/>
      <x v="1"/>
      <x v="54"/>
    </i>
    <i r="2">
      <x v="117"/>
      <x v="1"/>
      <x v="1"/>
      <x v="54"/>
    </i>
    <i r="2">
      <x v="118"/>
      <x v="1"/>
      <x v="1"/>
      <x v="54"/>
    </i>
    <i r="2">
      <x v="119"/>
      <x/>
      <x v="2"/>
      <x v="57"/>
    </i>
    <i r="1">
      <x v="9"/>
      <x v="120"/>
      <x/>
      <x/>
      <x v="64"/>
    </i>
    <i r="2">
      <x v="121"/>
      <x v="1"/>
      <x v="1"/>
      <x v="65"/>
    </i>
    <i r="2">
      <x v="122"/>
      <x/>
      <x v="3"/>
      <x v="64"/>
    </i>
    <i r="2">
      <x v="123"/>
      <x/>
      <x v="1"/>
      <x v="66"/>
    </i>
    <i r="2">
      <x v="124"/>
      <x/>
      <x/>
      <x v="66"/>
    </i>
    <i r="2">
      <x v="125"/>
      <x/>
      <x/>
      <x v="64"/>
    </i>
    <i r="2">
      <x v="126"/>
      <x/>
      <x/>
      <x v="67"/>
    </i>
    <i r="2">
      <x v="127"/>
      <x v="1"/>
      <x v="1"/>
      <x v="65"/>
    </i>
    <i r="2">
      <x v="128"/>
      <x v="1"/>
      <x v="2"/>
      <x v="68"/>
    </i>
    <i r="1">
      <x v="10"/>
      <x v="129"/>
      <x/>
      <x v="1"/>
      <x v="69"/>
    </i>
    <i r="2">
      <x v="130"/>
      <x/>
      <x v="3"/>
      <x v="70"/>
    </i>
    <i r="1">
      <x v="11"/>
      <x v="131"/>
      <x/>
      <x v="1"/>
      <x v="71"/>
    </i>
    <i r="2">
      <x v="132"/>
      <x/>
      <x/>
      <x v="72"/>
    </i>
    <i r="2">
      <x v="133"/>
      <x/>
      <x/>
      <x v="73"/>
    </i>
    <i r="2">
      <x v="134"/>
      <x/>
      <x v="1"/>
      <x v="74"/>
    </i>
    <i r="1">
      <x v="12"/>
      <x v="135"/>
      <x v="1"/>
      <x/>
      <x v="75"/>
    </i>
    <i r="2">
      <x v="136"/>
      <x v="1"/>
      <x/>
      <x v="75"/>
    </i>
    <i r="2">
      <x v="137"/>
      <x v="1"/>
      <x/>
      <x v="75"/>
    </i>
    <i r="2">
      <x v="138"/>
      <x/>
      <x/>
      <x v="76"/>
    </i>
    <i r="2">
      <x v="139"/>
      <x v="1"/>
      <x/>
      <x v="77"/>
    </i>
    <i r="2">
      <x v="140"/>
      <x/>
      <x/>
      <x v="76"/>
    </i>
    <i r="2">
      <x v="141"/>
      <x v="1"/>
      <x/>
      <x v="78"/>
    </i>
    <i r="2">
      <x v="142"/>
      <x v="1"/>
      <x/>
      <x v="79"/>
    </i>
    <i r="2">
      <x v="143"/>
      <x/>
      <x/>
      <x v="80"/>
    </i>
    <i r="2">
      <x v="144"/>
      <x v="1"/>
      <x/>
      <x v="81"/>
    </i>
    <i r="2">
      <x v="145"/>
      <x v="1"/>
      <x/>
      <x v="78"/>
    </i>
    <i r="2">
      <x v="146"/>
      <x v="1"/>
      <x/>
      <x v="82"/>
    </i>
    <i r="2">
      <x v="147"/>
      <x/>
      <x v="1"/>
      <x v="83"/>
    </i>
    <i r="2">
      <x v="148"/>
      <x v="1"/>
      <x/>
      <x v="84"/>
    </i>
    <i r="2">
      <x v="149"/>
      <x v="1"/>
      <x/>
      <x v="85"/>
    </i>
    <i r="2">
      <x v="150"/>
      <x/>
      <x v="1"/>
      <x v="83"/>
    </i>
    <i r="2">
      <x v="151"/>
      <x/>
      <x v="1"/>
      <x v="86"/>
    </i>
    <i r="2">
      <x v="152"/>
      <x v="1"/>
      <x/>
      <x v="78"/>
    </i>
    <i r="2">
      <x v="153"/>
      <x v="1"/>
      <x/>
      <x v="87"/>
    </i>
    <i r="2">
      <x v="154"/>
      <x v="1"/>
      <x/>
      <x v="87"/>
    </i>
    <i r="2">
      <x v="155"/>
      <x/>
      <x v="1"/>
      <x v="83"/>
    </i>
    <i r="1">
      <x v="13"/>
      <x v="156"/>
      <x v="1"/>
      <x/>
      <x v="88"/>
    </i>
    <i r="2">
      <x v="157"/>
      <x v="1"/>
      <x/>
      <x v="88"/>
    </i>
    <i r="2">
      <x v="158"/>
      <x v="1"/>
      <x/>
      <x v="88"/>
    </i>
    <i r="2">
      <x v="159"/>
      <x v="1"/>
      <x/>
      <x v="88"/>
    </i>
    <i r="2">
      <x v="160"/>
      <x v="1"/>
      <x/>
      <x v="88"/>
    </i>
    <i r="2">
      <x v="161"/>
      <x v="1"/>
      <x/>
      <x v="88"/>
    </i>
    <i r="2">
      <x v="162"/>
      <x v="1"/>
      <x/>
      <x v="89"/>
    </i>
    <i r="1">
      <x v="14"/>
      <x v="163"/>
      <x v="1"/>
      <x/>
      <x v="90"/>
    </i>
    <i r="2">
      <x v="164"/>
      <x/>
      <x/>
      <x v="91"/>
    </i>
    <i r="2">
      <x v="165"/>
      <x/>
      <x v="3"/>
      <x v="92"/>
    </i>
    <i r="2">
      <x v="166"/>
      <x v="1"/>
      <x/>
      <x v="93"/>
    </i>
    <i r="2">
      <x v="167"/>
      <x v="1"/>
      <x/>
      <x v="90"/>
    </i>
    <i r="2">
      <x v="168"/>
      <x/>
      <x v="1"/>
      <x v="94"/>
    </i>
    <i r="2">
      <x v="169"/>
      <x v="1"/>
      <x v="2"/>
      <x v="95"/>
    </i>
    <i r="2">
      <x v="170"/>
      <x/>
      <x v="1"/>
      <x v="96"/>
    </i>
    <i r="2">
      <x v="171"/>
      <x v="1"/>
      <x/>
      <x v="97"/>
    </i>
    <i r="2">
      <x v="172"/>
      <x v="1"/>
      <x v="1"/>
      <x v="98"/>
    </i>
    <i r="2">
      <x v="173"/>
      <x/>
      <x/>
      <x v="99"/>
    </i>
    <i r="2">
      <x v="174"/>
      <x/>
      <x/>
      <x v="99"/>
    </i>
    <i r="2">
      <x v="175"/>
      <x v="1"/>
      <x/>
      <x v="100"/>
    </i>
    <i r="2">
      <x v="176"/>
      <x/>
      <x v="1"/>
      <x v="101"/>
    </i>
    <i r="2">
      <x v="177"/>
      <x/>
      <x v="1"/>
      <x v="101"/>
    </i>
    <i r="1">
      <x v="15"/>
      <x v="178"/>
      <x v="1"/>
      <x v="1"/>
      <x v="102"/>
    </i>
    <i r="2">
      <x v="179"/>
      <x v="1"/>
      <x v="1"/>
      <x v="103"/>
    </i>
    <i r="2">
      <x v="180"/>
      <x/>
      <x v="1"/>
      <x v="104"/>
    </i>
    <i r="2">
      <x v="181"/>
      <x/>
      <x v="1"/>
      <x v="105"/>
    </i>
    <i r="2">
      <x v="182"/>
      <x/>
      <x v="1"/>
      <x v="105"/>
    </i>
    <i r="2">
      <x v="183"/>
      <x/>
      <x v="1"/>
      <x v="106"/>
    </i>
    <i r="2">
      <x v="184"/>
      <x/>
      <x v="1"/>
      <x v="107"/>
    </i>
    <i r="2">
      <x v="185"/>
      <x/>
      <x v="1"/>
      <x v="108"/>
    </i>
    <i r="2">
      <x v="186"/>
      <x/>
      <x v="1"/>
      <x v="108"/>
    </i>
    <i r="2">
      <x v="187"/>
      <x/>
      <x v="1"/>
      <x v="108"/>
    </i>
    <i r="2">
      <x v="188"/>
      <x/>
      <x v="1"/>
      <x v="106"/>
    </i>
    <i r="2">
      <x v="189"/>
      <x/>
      <x v="1"/>
      <x v="109"/>
    </i>
    <i r="2">
      <x v="190"/>
      <x v="1"/>
      <x v="1"/>
      <x v="110"/>
    </i>
    <i r="2">
      <x v="191"/>
      <x v="1"/>
      <x v="1"/>
      <x v="110"/>
    </i>
    <i r="2">
      <x v="192"/>
      <x v="1"/>
      <x v="1"/>
      <x v="110"/>
    </i>
    <i r="2">
      <x v="193"/>
      <x/>
      <x v="3"/>
      <x v="111"/>
    </i>
    <i r="2">
      <x v="194"/>
      <x v="1"/>
      <x/>
      <x v="112"/>
    </i>
    <i r="2">
      <x v="195"/>
      <x/>
      <x v="1"/>
      <x v="113"/>
    </i>
    <i r="2">
      <x v="196"/>
      <x/>
      <x v="1"/>
      <x v="114"/>
    </i>
    <i r="2">
      <x v="197"/>
      <x/>
      <x v="1"/>
      <x v="115"/>
    </i>
    <i r="2">
      <x v="198"/>
      <x/>
      <x/>
      <x v="116"/>
    </i>
    <i r="2">
      <x v="199"/>
      <x v="1"/>
      <x v="2"/>
      <x v="117"/>
    </i>
    <i r="1">
      <x v="16"/>
      <x v="200"/>
      <x v="1"/>
      <x/>
      <x v="118"/>
    </i>
    <i r="2">
      <x v="201"/>
      <x/>
      <x v="1"/>
      <x v="119"/>
    </i>
    <i r="2">
      <x v="202"/>
      <x v="1"/>
      <x v="1"/>
      <x v="120"/>
    </i>
    <i r="2">
      <x v="203"/>
      <x v="1"/>
      <x v="1"/>
      <x v="120"/>
    </i>
    <i r="2">
      <x v="204"/>
      <x/>
      <x v="1"/>
      <x v="121"/>
    </i>
    <i r="2">
      <x v="205"/>
      <x/>
      <x/>
      <x v="122"/>
    </i>
    <i r="2">
      <x v="206"/>
      <x/>
      <x/>
      <x v="123"/>
    </i>
    <i r="2">
      <x v="207"/>
      <x/>
      <x/>
      <x v="122"/>
    </i>
    <i r="2">
      <x v="208"/>
      <x/>
      <x/>
      <x v="123"/>
    </i>
    <i r="2">
      <x v="209"/>
      <x/>
      <x v="1"/>
      <x v="121"/>
    </i>
    <i r="1">
      <x v="17"/>
      <x v="210"/>
      <x v="1"/>
      <x/>
      <x v="124"/>
    </i>
    <i r="2">
      <x v="211"/>
      <x/>
      <x v="1"/>
      <x v="125"/>
    </i>
    <i r="2">
      <x v="212"/>
      <x v="1"/>
      <x/>
      <x v="126"/>
    </i>
    <i r="2">
      <x v="213"/>
      <x/>
      <x v="1"/>
      <x v="127"/>
    </i>
    <i r="2">
      <x v="214"/>
      <x/>
      <x v="2"/>
      <x v="128"/>
    </i>
    <i r="2">
      <x v="215"/>
      <x v="1"/>
      <x v="2"/>
      <x v="129"/>
    </i>
    <i r="2">
      <x v="216"/>
      <x v="1"/>
      <x/>
      <x v="130"/>
    </i>
    <i r="2">
      <x v="217"/>
      <x v="1"/>
      <x v="1"/>
      <x v="131"/>
    </i>
    <i r="2">
      <x v="218"/>
      <x/>
      <x v="1"/>
      <x v="127"/>
    </i>
    <i r="2">
      <x v="219"/>
      <x v="1"/>
      <x/>
      <x v="132"/>
    </i>
    <i r="1">
      <x v="18"/>
      <x v="220"/>
      <x/>
      <x v="3"/>
      <x v="133"/>
    </i>
    <i r="2">
      <x v="221"/>
      <x v="1"/>
      <x v="2"/>
      <x v="134"/>
    </i>
    <i r="1">
      <x v="19"/>
      <x v="222"/>
      <x v="1"/>
      <x v="1"/>
      <x v="135"/>
    </i>
    <i>
      <x v="1"/>
      <x/>
      <x v="223"/>
      <x/>
      <x/>
      <x/>
    </i>
    <i r="2">
      <x v="224"/>
      <x/>
      <x/>
      <x/>
    </i>
    <i r="2">
      <x v="225"/>
      <x v="1"/>
      <x v="1"/>
      <x v="136"/>
    </i>
    <i r="2">
      <x v="226"/>
      <x/>
      <x/>
      <x/>
    </i>
    <i r="1">
      <x v="1"/>
      <x v="227"/>
      <x v="1"/>
      <x v="2"/>
      <x v="5"/>
    </i>
    <i r="2">
      <x v="228"/>
      <x/>
      <x v="1"/>
      <x v="13"/>
    </i>
    <i r="2">
      <x v="229"/>
      <x/>
      <x/>
      <x v="137"/>
    </i>
    <i r="2">
      <x v="230"/>
      <x/>
      <x v="1"/>
      <x v="138"/>
    </i>
    <i r="2">
      <x v="231"/>
      <x/>
      <x v="2"/>
      <x v="5"/>
    </i>
    <i r="2">
      <x v="232"/>
      <x/>
      <x v="2"/>
      <x v="5"/>
    </i>
    <i r="2">
      <x v="233"/>
      <x/>
      <x/>
      <x v="9"/>
    </i>
    <i r="2">
      <x v="234"/>
      <x v="1"/>
      <x v="1"/>
      <x v="7"/>
    </i>
    <i r="2">
      <x v="235"/>
      <x/>
      <x/>
      <x v="139"/>
    </i>
    <i r="2">
      <x v="236"/>
      <x/>
      <x v="1"/>
      <x v="8"/>
    </i>
    <i r="2">
      <x v="237"/>
      <x/>
      <x v="1"/>
      <x v="139"/>
    </i>
    <i r="2">
      <x v="238"/>
      <x/>
      <x v="2"/>
      <x v="5"/>
    </i>
    <i r="2">
      <x v="239"/>
      <x/>
      <x/>
      <x v="10"/>
    </i>
    <i r="2">
      <x v="240"/>
      <x/>
      <x v="1"/>
      <x v="140"/>
    </i>
    <i r="2">
      <x v="241"/>
      <x v="1"/>
      <x v="1"/>
      <x v="7"/>
    </i>
    <i r="2">
      <x v="242"/>
      <x/>
      <x/>
      <x v="139"/>
    </i>
    <i r="2">
      <x v="243"/>
      <x/>
      <x v="2"/>
      <x v="5"/>
    </i>
    <i r="1">
      <x v="2"/>
      <x v="244"/>
      <x/>
      <x v="1"/>
      <x v="17"/>
    </i>
    <i r="2">
      <x v="245"/>
      <x/>
      <x v="1"/>
      <x v="17"/>
    </i>
    <i r="2">
      <x v="246"/>
      <x/>
      <x v="1"/>
      <x v="141"/>
    </i>
    <i r="2">
      <x v="247"/>
      <x/>
      <x v="1"/>
      <x v="142"/>
    </i>
    <i r="2">
      <x v="248"/>
      <x/>
      <x v="1"/>
      <x v="17"/>
    </i>
    <i r="2">
      <x v="249"/>
      <x v="1"/>
      <x/>
      <x v="143"/>
    </i>
    <i r="2">
      <x v="250"/>
      <x/>
      <x/>
      <x v="144"/>
    </i>
    <i r="2">
      <x v="251"/>
      <x/>
      <x v="1"/>
      <x v="17"/>
    </i>
    <i r="2">
      <x v="252"/>
      <x/>
      <x v="1"/>
      <x v="17"/>
    </i>
    <i r="2">
      <x v="253"/>
      <x/>
      <x v="1"/>
      <x v="145"/>
    </i>
    <i r="2">
      <x v="254"/>
      <x/>
      <x v="1"/>
      <x v="17"/>
    </i>
    <i r="2">
      <x v="255"/>
      <x/>
      <x v="1"/>
      <x v="15"/>
    </i>
    <i r="2">
      <x v="256"/>
      <x/>
      <x v="1"/>
      <x v="17"/>
    </i>
    <i r="2">
      <x v="257"/>
      <x/>
      <x v="1"/>
      <x v="17"/>
    </i>
    <i r="1">
      <x v="3"/>
      <x v="258"/>
      <x/>
      <x/>
      <x v="146"/>
    </i>
    <i r="2">
      <x v="259"/>
      <x/>
      <x v="1"/>
      <x v="147"/>
    </i>
    <i r="2">
      <x v="260"/>
      <x/>
      <x v="1"/>
      <x v="147"/>
    </i>
    <i r="2">
      <x v="261"/>
      <x v="1"/>
      <x/>
      <x v="22"/>
    </i>
    <i r="2">
      <x v="262"/>
      <x v="1"/>
      <x v="2"/>
      <x v="20"/>
    </i>
    <i r="2">
      <x v="263"/>
      <x v="1"/>
      <x/>
      <x v="20"/>
    </i>
    <i r="2">
      <x v="264"/>
      <x/>
      <x v="1"/>
      <x v="24"/>
    </i>
    <i r="2">
      <x v="265"/>
      <x/>
      <x v="1"/>
      <x v="148"/>
    </i>
    <i r="2">
      <x v="266"/>
      <x v="1"/>
      <x v="2"/>
      <x v="22"/>
    </i>
    <i r="2">
      <x v="267"/>
      <x v="1"/>
      <x v="2"/>
      <x v="22"/>
    </i>
    <i r="2">
      <x v="268"/>
      <x v="1"/>
      <x v="1"/>
      <x v="23"/>
    </i>
    <i r="2">
      <x v="269"/>
      <x v="1"/>
      <x/>
      <x v="20"/>
    </i>
    <i r="2">
      <x v="270"/>
      <x v="1"/>
      <x v="1"/>
      <x v="23"/>
    </i>
    <i r="2">
      <x v="271"/>
      <x v="1"/>
      <x v="2"/>
      <x v="22"/>
    </i>
    <i r="1">
      <x v="20"/>
      <x v="272"/>
      <x v="1"/>
      <x v="2"/>
      <x v="149"/>
    </i>
    <i r="2">
      <x v="273"/>
      <x/>
      <x v="2"/>
      <x v="150"/>
    </i>
    <i r="2">
      <x v="274"/>
      <x/>
      <x v="2"/>
      <x v="150"/>
    </i>
    <i r="2">
      <x v="275"/>
      <x/>
      <x v="2"/>
      <x v="150"/>
    </i>
    <i r="2">
      <x v="276"/>
      <x/>
      <x v="2"/>
      <x v="150"/>
    </i>
    <i r="2">
      <x v="277"/>
      <x/>
      <x v="2"/>
      <x v="150"/>
    </i>
    <i r="1">
      <x v="4"/>
      <x v="278"/>
      <x/>
      <x/>
      <x v="151"/>
    </i>
    <i r="2">
      <x v="279"/>
      <x/>
      <x/>
      <x v="151"/>
    </i>
    <i r="2">
      <x v="280"/>
      <x/>
      <x v="1"/>
      <x v="32"/>
    </i>
    <i r="1">
      <x v="5"/>
      <x v="281"/>
      <x v="1"/>
      <x/>
      <x v="40"/>
    </i>
    <i r="2">
      <x v="282"/>
      <x/>
      <x v="1"/>
      <x v="152"/>
    </i>
    <i r="2">
      <x v="283"/>
      <x/>
      <x v="1"/>
      <x v="39"/>
    </i>
    <i r="2">
      <x v="284"/>
      <x/>
      <x/>
      <x v="153"/>
    </i>
    <i r="2">
      <x v="285"/>
      <x/>
      <x v="1"/>
      <x v="39"/>
    </i>
    <i r="2">
      <x v="286"/>
      <x/>
      <x/>
      <x v="153"/>
    </i>
    <i r="2">
      <x v="287"/>
      <x/>
      <x v="1"/>
      <x v="154"/>
    </i>
    <i r="2">
      <x v="288"/>
      <x v="1"/>
      <x v="1"/>
      <x v="155"/>
    </i>
    <i r="2">
      <x v="289"/>
      <x/>
      <x v="1"/>
      <x v="156"/>
    </i>
    <i r="2">
      <x v="290"/>
      <x v="1"/>
      <x v="1"/>
      <x v="157"/>
    </i>
    <i r="2">
      <x v="291"/>
      <x/>
      <x v="1"/>
      <x v="155"/>
    </i>
    <i r="2">
      <x v="292"/>
      <x v="1"/>
      <x v="1"/>
      <x v="38"/>
    </i>
    <i r="1">
      <x v="6"/>
      <x v="293"/>
      <x v="1"/>
      <x/>
      <x v="45"/>
    </i>
    <i r="2">
      <x v="294"/>
      <x v="1"/>
      <x/>
      <x v="45"/>
    </i>
    <i r="2">
      <x v="295"/>
      <x v="1"/>
      <x/>
      <x v="158"/>
    </i>
    <i r="2">
      <x v="296"/>
      <x/>
      <x/>
      <x v="159"/>
    </i>
    <i r="2">
      <x v="297"/>
      <x/>
      <x/>
      <x v="159"/>
    </i>
    <i r="2">
      <x v="298"/>
      <x/>
      <x v="1"/>
      <x v="43"/>
    </i>
    <i r="2">
      <x v="299"/>
      <x/>
      <x v="1"/>
      <x v="44"/>
    </i>
    <i r="2">
      <x v="300"/>
      <x/>
      <x v="1"/>
      <x v="43"/>
    </i>
    <i r="2">
      <x v="301"/>
      <x v="1"/>
      <x/>
      <x v="45"/>
    </i>
    <i r="2">
      <x v="302"/>
      <x/>
      <x v="1"/>
      <x v="160"/>
    </i>
    <i r="2">
      <x v="303"/>
      <x/>
      <x v="1"/>
      <x v="44"/>
    </i>
    <i r="2">
      <x v="304"/>
      <x/>
      <x v="1"/>
      <x v="44"/>
    </i>
    <i r="1">
      <x v="7"/>
      <x v="305"/>
      <x/>
      <x v="1"/>
      <x v="49"/>
    </i>
    <i r="2">
      <x v="306"/>
      <x/>
      <x/>
      <x v="52"/>
    </i>
    <i r="2">
      <x v="307"/>
      <x/>
      <x/>
      <x v="52"/>
    </i>
    <i r="2">
      <x v="308"/>
      <x v="1"/>
      <x v="2"/>
      <x v="47"/>
    </i>
    <i r="2">
      <x v="309"/>
      <x/>
      <x v="2"/>
      <x v="47"/>
    </i>
    <i r="2">
      <x v="310"/>
      <x v="1"/>
      <x/>
      <x v="51"/>
    </i>
    <i r="2">
      <x v="311"/>
      <x v="1"/>
      <x v="1"/>
      <x v="161"/>
    </i>
    <i r="2">
      <x v="312"/>
      <x/>
      <x v="1"/>
      <x v="162"/>
    </i>
    <i r="2">
      <x v="313"/>
      <x/>
      <x v="1"/>
      <x v="49"/>
    </i>
    <i r="2">
      <x v="314"/>
      <x/>
      <x/>
      <x v="163"/>
    </i>
    <i r="2">
      <x v="315"/>
      <x/>
      <x/>
      <x v="163"/>
    </i>
    <i r="2">
      <x v="316"/>
      <x/>
      <x/>
      <x v="163"/>
    </i>
    <i r="2">
      <x v="317"/>
      <x/>
      <x/>
      <x v="163"/>
    </i>
    <i r="2">
      <x v="318"/>
      <x v="1"/>
      <x v="1"/>
      <x v="161"/>
    </i>
    <i r="2">
      <x v="319"/>
      <x v="1"/>
      <x/>
      <x v="164"/>
    </i>
    <i r="2">
      <x v="320"/>
      <x v="1"/>
      <x v="2"/>
      <x v="165"/>
    </i>
    <i r="2">
      <x v="321"/>
      <x v="1"/>
      <x v="2"/>
      <x v="166"/>
    </i>
    <i r="1">
      <x v="8"/>
      <x v="322"/>
      <x/>
      <x/>
      <x v="63"/>
    </i>
    <i r="2">
      <x v="323"/>
      <x v="1"/>
      <x v="1"/>
      <x v="58"/>
    </i>
    <i r="2">
      <x v="324"/>
      <x/>
      <x v="1"/>
      <x v="60"/>
    </i>
    <i r="2">
      <x v="325"/>
      <x v="1"/>
      <x/>
      <x v="167"/>
    </i>
    <i r="2">
      <x v="326"/>
      <x/>
      <x v="1"/>
      <x v="55"/>
    </i>
    <i r="2">
      <x v="327"/>
      <x v="1"/>
      <x v="1"/>
      <x v="54"/>
    </i>
    <i r="2">
      <x v="328"/>
      <x v="1"/>
      <x v="1"/>
      <x v="54"/>
    </i>
    <i r="2">
      <x v="329"/>
      <x v="1"/>
      <x v="1"/>
      <x v="54"/>
    </i>
    <i r="2">
      <x v="330"/>
      <x/>
      <x v="1"/>
      <x v="59"/>
    </i>
    <i r="2">
      <x v="331"/>
      <x/>
      <x v="1"/>
      <x v="60"/>
    </i>
    <i r="2">
      <x v="332"/>
      <x v="1"/>
      <x v="1"/>
      <x v="54"/>
    </i>
    <i r="2">
      <x v="333"/>
      <x v="1"/>
      <x v="1"/>
      <x v="54"/>
    </i>
    <i r="2">
      <x v="334"/>
      <x v="1"/>
      <x v="1"/>
      <x v="54"/>
    </i>
    <i r="2">
      <x v="335"/>
      <x v="1"/>
      <x v="1"/>
      <x v="54"/>
    </i>
    <i r="2">
      <x v="336"/>
      <x v="1"/>
      <x v="1"/>
      <x v="54"/>
    </i>
    <i r="2">
      <x v="337"/>
      <x v="1"/>
      <x v="1"/>
      <x v="54"/>
    </i>
    <i r="2">
      <x v="338"/>
      <x/>
      <x/>
      <x v="63"/>
    </i>
    <i r="2">
      <x v="339"/>
      <x/>
      <x v="1"/>
      <x v="168"/>
    </i>
    <i r="2">
      <x v="340"/>
      <x/>
      <x v="1"/>
      <x v="60"/>
    </i>
    <i r="2">
      <x v="341"/>
      <x/>
      <x v="1"/>
      <x v="55"/>
    </i>
    <i r="2">
      <x v="342"/>
      <x/>
      <x/>
      <x v="63"/>
    </i>
    <i r="2">
      <x v="343"/>
      <x/>
      <x/>
      <x v="63"/>
    </i>
    <i r="2">
      <x v="344"/>
      <x/>
      <x/>
      <x v="53"/>
    </i>
    <i r="2">
      <x v="345"/>
      <x/>
      <x v="3"/>
      <x v="169"/>
    </i>
    <i r="2">
      <x v="346"/>
      <x/>
      <x v="3"/>
      <x v="169"/>
    </i>
    <i r="2">
      <x v="347"/>
      <x v="1"/>
      <x v="1"/>
      <x v="54"/>
    </i>
    <i r="2">
      <x v="348"/>
      <x v="1"/>
      <x v="1"/>
      <x v="54"/>
    </i>
    <i r="2">
      <x v="349"/>
      <x v="1"/>
      <x v="1"/>
      <x v="54"/>
    </i>
    <i r="2">
      <x v="350"/>
      <x/>
      <x v="1"/>
      <x v="62"/>
    </i>
    <i r="2">
      <x v="351"/>
      <x/>
      <x v="1"/>
      <x v="55"/>
    </i>
    <i r="2">
      <x v="352"/>
      <x/>
      <x/>
      <x v="170"/>
    </i>
    <i r="1">
      <x v="9"/>
      <x v="353"/>
      <x/>
      <x/>
      <x v="67"/>
    </i>
    <i r="2">
      <x v="354"/>
      <x v="1"/>
      <x v="2"/>
      <x v="68"/>
    </i>
    <i r="2">
      <x v="355"/>
      <x v="1"/>
      <x v="2"/>
      <x v="68"/>
    </i>
    <i r="1">
      <x v="10"/>
      <x v="356"/>
      <x/>
      <x/>
      <x v="69"/>
    </i>
    <i r="2">
      <x v="357"/>
      <x/>
      <x v="3"/>
      <x v="171"/>
    </i>
    <i r="2">
      <x v="358"/>
      <x/>
      <x v="3"/>
      <x v="171"/>
    </i>
    <i r="2">
      <x v="359"/>
      <x/>
      <x v="1"/>
      <x v="172"/>
    </i>
    <i r="2">
      <x v="360"/>
      <x/>
      <x v="1"/>
      <x v="173"/>
    </i>
    <i r="2">
      <x v="361"/>
      <x/>
      <x/>
      <x v="171"/>
    </i>
    <i r="1">
      <x v="11"/>
      <x v="362"/>
      <x v="1"/>
      <x/>
      <x v="174"/>
    </i>
    <i r="2">
      <x v="363"/>
      <x/>
      <x v="1"/>
      <x v="175"/>
    </i>
    <i r="2">
      <x v="364"/>
      <x v="1"/>
      <x/>
      <x v="176"/>
    </i>
    <i r="2">
      <x v="365"/>
      <x/>
      <x v="1"/>
      <x v="74"/>
    </i>
    <i r="2">
      <x v="366"/>
      <x/>
      <x v="3"/>
      <x v="177"/>
    </i>
    <i r="2">
      <x v="367"/>
      <x/>
      <x/>
      <x v="73"/>
    </i>
    <i r="2">
      <x v="368"/>
      <x/>
      <x v="1"/>
      <x v="74"/>
    </i>
    <i r="2">
      <x v="369"/>
      <x/>
      <x/>
      <x v="178"/>
    </i>
    <i r="1">
      <x v="12"/>
      <x v="370"/>
      <x v="1"/>
      <x/>
      <x v="179"/>
    </i>
    <i r="2">
      <x v="371"/>
      <x/>
      <x v="1"/>
      <x v="83"/>
    </i>
    <i r="2">
      <x v="372"/>
      <x v="1"/>
      <x/>
      <x v="87"/>
    </i>
    <i r="2">
      <x v="373"/>
      <x v="1"/>
      <x/>
      <x v="87"/>
    </i>
    <i r="2">
      <x v="374"/>
      <x/>
      <x v="3"/>
      <x v="180"/>
    </i>
    <i r="2">
      <x v="375"/>
      <x/>
      <x/>
      <x v="87"/>
    </i>
    <i r="2">
      <x v="376"/>
      <x/>
      <x/>
      <x v="87"/>
    </i>
    <i r="2">
      <x v="377"/>
      <x/>
      <x/>
      <x v="87"/>
    </i>
    <i r="2">
      <x v="378"/>
      <x/>
      <x/>
      <x v="87"/>
    </i>
    <i r="2">
      <x v="379"/>
      <x v="1"/>
      <x/>
      <x v="87"/>
    </i>
    <i r="2">
      <x v="380"/>
      <x v="1"/>
      <x/>
      <x v="87"/>
    </i>
    <i r="2">
      <x v="381"/>
      <x v="1"/>
      <x/>
      <x v="181"/>
    </i>
    <i r="2">
      <x v="382"/>
      <x v="1"/>
      <x/>
      <x v="181"/>
    </i>
    <i r="2">
      <x v="383"/>
      <x v="1"/>
      <x/>
      <x v="181"/>
    </i>
    <i r="2">
      <x v="384"/>
      <x v="1"/>
      <x/>
      <x v="84"/>
    </i>
    <i r="1">
      <x v="13"/>
      <x v="385"/>
      <x v="1"/>
      <x/>
      <x v="182"/>
    </i>
    <i r="2">
      <x v="386"/>
      <x/>
      <x v="1"/>
      <x v="182"/>
    </i>
    <i r="1">
      <x v="14"/>
      <x v="387"/>
      <x/>
      <x v="1"/>
      <x v="183"/>
    </i>
    <i r="2">
      <x v="388"/>
      <x/>
      <x v="1"/>
      <x v="183"/>
    </i>
    <i r="2">
      <x v="389"/>
      <x/>
      <x v="1"/>
      <x v="183"/>
    </i>
    <i r="2">
      <x v="390"/>
      <x/>
      <x v="3"/>
      <x v="92"/>
    </i>
    <i r="2">
      <x v="391"/>
      <x/>
      <x v="1"/>
      <x v="184"/>
    </i>
    <i r="2">
      <x v="392"/>
      <x v="1"/>
      <x/>
      <x v="185"/>
    </i>
    <i r="2">
      <x v="393"/>
      <x v="1"/>
      <x/>
      <x v="185"/>
    </i>
    <i r="2">
      <x v="394"/>
      <x/>
      <x/>
      <x v="99"/>
    </i>
    <i r="2">
      <x v="395"/>
      <x/>
      <x v="1"/>
      <x v="94"/>
    </i>
    <i r="2">
      <x v="396"/>
      <x v="1"/>
      <x/>
      <x v="186"/>
    </i>
    <i r="2">
      <x v="397"/>
      <x/>
      <x v="1"/>
      <x v="187"/>
    </i>
    <i r="2">
      <x v="398"/>
      <x v="1"/>
      <x/>
      <x v="188"/>
    </i>
    <i r="2">
      <x v="399"/>
      <x v="1"/>
      <x/>
      <x v="188"/>
    </i>
    <i r="2">
      <x v="400"/>
      <x v="1"/>
      <x/>
      <x v="188"/>
    </i>
    <i r="2">
      <x v="401"/>
      <x v="1"/>
      <x/>
      <x v="188"/>
    </i>
    <i r="2">
      <x v="402"/>
      <x v="1"/>
      <x/>
      <x v="188"/>
    </i>
    <i r="2">
      <x v="403"/>
      <x v="1"/>
      <x/>
      <x v="188"/>
    </i>
    <i r="2">
      <x v="404"/>
      <x v="1"/>
      <x/>
      <x v="188"/>
    </i>
    <i r="2">
      <x v="405"/>
      <x v="1"/>
      <x/>
      <x v="188"/>
    </i>
    <i r="2">
      <x v="406"/>
      <x v="1"/>
      <x/>
      <x v="188"/>
    </i>
    <i r="2">
      <x v="407"/>
      <x v="1"/>
      <x/>
      <x v="188"/>
    </i>
    <i r="2">
      <x v="408"/>
      <x/>
      <x v="3"/>
      <x v="92"/>
    </i>
    <i r="2">
      <x v="409"/>
      <x v="1"/>
      <x/>
      <x v="90"/>
    </i>
    <i r="1">
      <x v="15"/>
      <x v="410"/>
      <x/>
      <x v="1"/>
      <x v="115"/>
    </i>
    <i r="2">
      <x v="411"/>
      <x/>
      <x v="1"/>
      <x v="115"/>
    </i>
    <i r="2">
      <x v="412"/>
      <x v="1"/>
      <x v="1"/>
      <x v="110"/>
    </i>
    <i r="2">
      <x v="413"/>
      <x/>
      <x v="1"/>
      <x v="189"/>
    </i>
    <i r="2">
      <x v="414"/>
      <x v="1"/>
      <x/>
      <x v="190"/>
    </i>
    <i r="2">
      <x v="415"/>
      <x v="1"/>
      <x v="2"/>
      <x v="191"/>
    </i>
    <i r="2">
      <x v="416"/>
      <x/>
      <x v="1"/>
      <x v="115"/>
    </i>
    <i r="2">
      <x v="417"/>
      <x/>
      <x v="1"/>
      <x v="192"/>
    </i>
    <i r="2">
      <x v="418"/>
      <x/>
      <x v="1"/>
      <x v="192"/>
    </i>
    <i r="2">
      <x v="419"/>
      <x v="1"/>
      <x v="1"/>
      <x v="103"/>
    </i>
    <i r="2">
      <x v="420"/>
      <x/>
      <x v="1"/>
      <x v="193"/>
    </i>
    <i r="2">
      <x v="421"/>
      <x/>
      <x v="1"/>
      <x v="115"/>
    </i>
    <i r="2">
      <x v="422"/>
      <x v="1"/>
      <x v="1"/>
      <x v="110"/>
    </i>
    <i r="2">
      <x v="423"/>
      <x v="1"/>
      <x v="2"/>
      <x v="191"/>
    </i>
    <i r="2">
      <x v="424"/>
      <x/>
      <x v="1"/>
      <x v="108"/>
    </i>
    <i r="2">
      <x v="425"/>
      <x/>
      <x v="1"/>
      <x v="108"/>
    </i>
    <i r="2">
      <x v="426"/>
      <x/>
      <x v="1"/>
      <x v="108"/>
    </i>
    <i r="2">
      <x v="427"/>
      <x/>
      <x v="1"/>
      <x v="108"/>
    </i>
    <i r="2">
      <x v="428"/>
      <x/>
      <x v="1"/>
      <x v="113"/>
    </i>
    <i r="1">
      <x v="16"/>
      <x v="429"/>
      <x/>
      <x v="1"/>
      <x v="194"/>
    </i>
    <i r="2">
      <x v="430"/>
      <x/>
      <x v="1"/>
      <x v="194"/>
    </i>
    <i r="2">
      <x v="431"/>
      <x/>
      <x v="1"/>
      <x v="195"/>
    </i>
    <i r="2">
      <x v="432"/>
      <x/>
      <x v="1"/>
      <x v="119"/>
    </i>
    <i r="2">
      <x v="433"/>
      <x/>
      <x v="1"/>
      <x v="195"/>
    </i>
    <i r="2">
      <x v="434"/>
      <x/>
      <x/>
      <x v="196"/>
    </i>
    <i r="2">
      <x v="435"/>
      <x/>
      <x/>
      <x v="196"/>
    </i>
    <i r="1">
      <x v="21"/>
      <x v="436"/>
      <x/>
      <x v="2"/>
      <x v="197"/>
    </i>
    <i r="2">
      <x v="437"/>
      <x v="1"/>
      <x v="2"/>
      <x v="198"/>
    </i>
    <i r="2">
      <x v="438"/>
      <x v="1"/>
      <x v="2"/>
      <x v="199"/>
    </i>
    <i r="2">
      <x v="439"/>
      <x v="1"/>
      <x v="2"/>
      <x v="200"/>
    </i>
    <i r="1">
      <x v="17"/>
      <x v="440"/>
      <x v="1"/>
      <x v="1"/>
      <x v="201"/>
    </i>
    <i r="2">
      <x v="441"/>
      <x/>
      <x/>
      <x v="202"/>
    </i>
    <i r="2">
      <x v="442"/>
      <x/>
      <x/>
      <x v="203"/>
    </i>
    <i r="2">
      <x v="443"/>
      <x/>
      <x v="2"/>
      <x v="128"/>
    </i>
    <i r="1">
      <x v="18"/>
      <x v="444"/>
      <x v="1"/>
      <x v="1"/>
      <x v="204"/>
    </i>
    <i r="2">
      <x v="445"/>
      <x/>
      <x v="1"/>
      <x v="205"/>
    </i>
    <i r="2">
      <x v="446"/>
      <x/>
      <x v="1"/>
      <x v="205"/>
    </i>
    <i r="2">
      <x v="447"/>
      <x/>
      <x v="1"/>
      <x v="206"/>
    </i>
    <i r="2">
      <x v="448"/>
      <x/>
      <x v="1"/>
      <x v="206"/>
    </i>
    <i r="2">
      <x v="449"/>
      <x/>
      <x v="1"/>
      <x v="206"/>
    </i>
    <i r="2">
      <x v="450"/>
      <x v="1"/>
      <x v="2"/>
      <x v="134"/>
    </i>
    <i r="2">
      <x v="451"/>
      <x/>
      <x v="1"/>
      <x v="207"/>
    </i>
    <i r="2">
      <x v="452"/>
      <x/>
      <x v="1"/>
      <x v="206"/>
    </i>
    <i r="2">
      <x v="453"/>
      <x v="1"/>
      <x v="2"/>
      <x v="134"/>
    </i>
    <i>
      <x v="2"/>
      <x/>
      <x v="454"/>
      <x/>
      <x/>
      <x/>
    </i>
    <i r="2">
      <x v="455"/>
      <x/>
      <x/>
      <x/>
    </i>
    <i r="2">
      <x v="456"/>
      <x v="1"/>
      <x/>
      <x v="208"/>
    </i>
    <i r="1">
      <x v="1"/>
      <x v="457"/>
      <x/>
      <x/>
      <x v="9"/>
    </i>
    <i r="1">
      <x v="2"/>
      <x v="458"/>
      <x/>
      <x v="1"/>
      <x v="17"/>
    </i>
    <i r="2">
      <x v="459"/>
      <x/>
      <x v="1"/>
      <x v="17"/>
    </i>
    <i r="1">
      <x v="3"/>
      <x v="460"/>
      <x v="1"/>
      <x v="2"/>
      <x v="22"/>
    </i>
    <i r="2">
      <x v="461"/>
      <x/>
      <x v="1"/>
      <x v="209"/>
    </i>
    <i r="2">
      <x v="462"/>
      <x v="1"/>
      <x v="2"/>
      <x v="20"/>
    </i>
    <i r="2">
      <x v="463"/>
      <x v="1"/>
      <x v="1"/>
      <x v="23"/>
    </i>
    <i r="2">
      <x v="464"/>
      <x v="1"/>
      <x/>
      <x v="210"/>
    </i>
    <i r="1">
      <x v="20"/>
      <x v="465"/>
      <x/>
      <x v="2"/>
      <x v="150"/>
    </i>
    <i r="1">
      <x v="4"/>
      <x v="466"/>
      <x v="1"/>
      <x v="1"/>
      <x v="211"/>
    </i>
    <i r="1">
      <x v="5"/>
      <x v="467"/>
      <x/>
      <x v="1"/>
      <x v="156"/>
    </i>
    <i r="1">
      <x v="6"/>
      <x v="468"/>
      <x v="1"/>
      <x/>
      <x v="212"/>
    </i>
    <i r="2">
      <x v="469"/>
      <x/>
      <x v="1"/>
      <x v="42"/>
    </i>
    <i r="2">
      <x v="470"/>
      <x/>
      <x v="1"/>
      <x v="44"/>
    </i>
    <i r="2">
      <x v="471"/>
      <x/>
      <x v="1"/>
      <x v="44"/>
    </i>
    <i r="1">
      <x v="7"/>
      <x v="472"/>
      <x v="1"/>
      <x v="2"/>
      <x v="47"/>
    </i>
    <i r="2">
      <x v="473"/>
      <x/>
      <x v="2"/>
      <x v="47"/>
    </i>
    <i r="1">
      <x v="8"/>
      <x v="474"/>
      <x/>
      <x/>
      <x v="63"/>
    </i>
    <i r="2">
      <x v="475"/>
      <x/>
      <x v="1"/>
      <x v="59"/>
    </i>
    <i r="2">
      <x v="476"/>
      <x/>
      <x v="1"/>
      <x v="53"/>
    </i>
    <i r="2">
      <x v="477"/>
      <x v="1"/>
      <x v="2"/>
      <x v="61"/>
    </i>
    <i r="2">
      <x v="478"/>
      <x v="1"/>
      <x v="2"/>
      <x v="61"/>
    </i>
    <i r="2">
      <x v="479"/>
      <x v="1"/>
      <x v="1"/>
      <x v="58"/>
    </i>
    <i r="2">
      <x v="480"/>
      <x/>
      <x/>
      <x v="213"/>
    </i>
    <i r="2">
      <x v="481"/>
      <x/>
      <x/>
      <x v="63"/>
    </i>
    <i r="2">
      <x v="482"/>
      <x/>
      <x/>
      <x v="63"/>
    </i>
    <i r="1">
      <x v="9"/>
      <x v="483"/>
      <x v="1"/>
      <x v="1"/>
      <x v="214"/>
    </i>
    <i r="2">
      <x v="484"/>
      <x v="1"/>
      <x/>
      <x v="215"/>
    </i>
    <i r="1">
      <x v="10"/>
      <x v="485"/>
      <x/>
      <x v="1"/>
      <x v="173"/>
    </i>
    <i r="2">
      <x v="486"/>
      <x v="1"/>
      <x/>
      <x v="216"/>
    </i>
    <i r="1">
      <x v="11"/>
      <x v="487"/>
      <x/>
      <x v="1"/>
      <x v="71"/>
    </i>
    <i r="2">
      <x v="488"/>
      <x/>
      <x v="1"/>
      <x v="71"/>
    </i>
    <i r="1">
      <x v="12"/>
      <x v="489"/>
      <x/>
      <x v="1"/>
      <x v="217"/>
    </i>
    <i r="2">
      <x v="490"/>
      <x/>
      <x v="1"/>
      <x v="217"/>
    </i>
    <i r="2">
      <x v="491"/>
      <x/>
      <x v="1"/>
      <x v="83"/>
    </i>
    <i r="2">
      <x v="492"/>
      <x v="1"/>
      <x/>
      <x v="218"/>
    </i>
    <i r="2">
      <x v="493"/>
      <x v="1"/>
      <x/>
      <x v="79"/>
    </i>
    <i r="2">
      <x v="494"/>
      <x v="1"/>
      <x/>
      <x v="85"/>
    </i>
    <i r="2">
      <x v="495"/>
      <x/>
      <x/>
      <x v="76"/>
    </i>
    <i r="2">
      <x v="496"/>
      <x/>
      <x v="1"/>
      <x v="219"/>
    </i>
    <i r="1">
      <x v="14"/>
      <x v="497"/>
      <x/>
      <x v="1"/>
      <x v="220"/>
    </i>
    <i r="2">
      <x v="498"/>
      <x/>
      <x v="1"/>
      <x v="184"/>
    </i>
    <i r="1">
      <x v="15"/>
      <x v="499"/>
      <x/>
      <x v="1"/>
      <x v="221"/>
    </i>
    <i r="1">
      <x v="16"/>
      <x v="500"/>
      <x/>
      <x v="1"/>
      <x v="119"/>
    </i>
    <i r="1">
      <x v="21"/>
      <x v="501"/>
      <x/>
      <x v="2"/>
      <x v="222"/>
    </i>
    <i r="2">
      <x v="502"/>
      <x v="1"/>
      <x v="2"/>
      <x v="223"/>
    </i>
    <i r="1">
      <x v="19"/>
      <x v="503"/>
      <x/>
      <x v="1"/>
      <x v="224"/>
    </i>
  </rowItems>
  <colFields count="1">
    <field x="-2"/>
  </colFields>
  <colItems count="2">
    <i>
      <x/>
    </i>
    <i i="1">
      <x v="1"/>
    </i>
  </colItems>
  <dataFields count="2">
    <dataField name="Monto Desem." fld="6" baseField="4" baseItem="1" numFmtId="2"/>
    <dataField name="Spread Desem." fld="7" baseField="4" baseItem="1"/>
  </dataFields>
  <formats count="39">
    <format dxfId="77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76">
      <pivotArea outline="0" collapsedLevelsAreSubtotals="1" fieldPosition="0"/>
    </format>
    <format dxfId="75">
      <pivotArea field="0" type="button" dataOnly="0" labelOnly="1" outline="0" axis="axisRow" fieldPosition="0"/>
    </format>
    <format dxfId="74">
      <pivotArea field="2" type="button" dataOnly="0" labelOnly="1" outline="0" axis="axisRow" fieldPosition="1"/>
    </format>
    <format dxfId="73">
      <pivotArea field="1" type="button" dataOnly="0" labelOnly="1" outline="0" axis="axisRow" fieldPosition="2"/>
    </format>
    <format dxfId="72">
      <pivotArea field="8" type="button" dataOnly="0" labelOnly="1" outline="0" axis="axisRow" fieldPosition="3"/>
    </format>
    <format dxfId="71">
      <pivotArea field="4" type="button" dataOnly="0" labelOnly="1" outline="0" axis="axisRow" fieldPosition="4"/>
    </format>
    <format dxfId="70">
      <pivotArea field="3" type="button" dataOnly="0" labelOnly="1" outline="0" axis="axisRow" fieldPosition="5"/>
    </format>
    <format dxfId="69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68">
      <pivotArea field="0" type="button" dataOnly="0" labelOnly="1" outline="0" axis="axisRow" fieldPosition="0"/>
    </format>
    <format dxfId="67">
      <pivotArea field="2" type="button" dataOnly="0" labelOnly="1" outline="0" axis="axisRow" fieldPosition="1"/>
    </format>
    <format dxfId="66">
      <pivotArea field="1" type="button" dataOnly="0" labelOnly="1" outline="0" axis="axisRow" fieldPosition="2"/>
    </format>
    <format dxfId="65">
      <pivotArea field="8" type="button" dataOnly="0" labelOnly="1" outline="0" axis="axisRow" fieldPosition="3"/>
    </format>
    <format dxfId="64">
      <pivotArea field="4" type="button" dataOnly="0" labelOnly="1" outline="0" axis="axisRow" fieldPosition="4"/>
    </format>
    <format dxfId="63">
      <pivotArea field="3" type="button" dataOnly="0" labelOnly="1" outline="0" axis="axisRow" fieldPosition="5"/>
    </format>
    <format dxfId="62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61">
      <pivotArea field="0" type="button" dataOnly="0" labelOnly="1" outline="0" axis="axisRow" fieldPosition="0"/>
    </format>
    <format dxfId="60">
      <pivotArea field="2" type="button" dataOnly="0" labelOnly="1" outline="0" axis="axisRow" fieldPosition="1"/>
    </format>
    <format dxfId="59">
      <pivotArea field="1" type="button" dataOnly="0" labelOnly="1" outline="0" axis="axisRow" fieldPosition="2"/>
    </format>
    <format dxfId="58">
      <pivotArea field="8" type="button" dataOnly="0" labelOnly="1" outline="0" axis="axisRow" fieldPosition="3"/>
    </format>
    <format dxfId="57">
      <pivotArea field="4" type="button" dataOnly="0" labelOnly="1" outline="0" axis="axisRow" fieldPosition="4"/>
    </format>
    <format dxfId="56">
      <pivotArea field="3" type="button" dataOnly="0" labelOnly="1" outline="0" axis="axisRow" fieldPosition="5"/>
    </format>
    <format dxfId="55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54">
      <pivotArea field="0" type="button" dataOnly="0" labelOnly="1" outline="0" axis="axisRow" fieldPosition="0"/>
    </format>
    <format dxfId="53">
      <pivotArea field="2" type="button" dataOnly="0" labelOnly="1" outline="0" axis="axisRow" fieldPosition="1"/>
    </format>
    <format dxfId="52">
      <pivotArea field="1" type="button" dataOnly="0" labelOnly="1" outline="0" axis="axisRow" fieldPosition="2"/>
    </format>
    <format dxfId="51">
      <pivotArea field="8" type="button" dataOnly="0" labelOnly="1" outline="0" axis="axisRow" fieldPosition="3"/>
    </format>
    <format dxfId="50">
      <pivotArea field="4" type="button" dataOnly="0" labelOnly="1" outline="0" axis="axisRow" fieldPosition="4"/>
    </format>
    <format dxfId="49">
      <pivotArea field="3" type="button" dataOnly="0" labelOnly="1" outline="0" axis="axisRow" fieldPosition="5"/>
    </format>
    <format dxfId="48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47">
      <pivotArea field="0" type="button" dataOnly="0" labelOnly="1" outline="0" axis="axisRow" fieldPosition="0"/>
    </format>
    <format dxfId="46">
      <pivotArea field="2" type="button" dataOnly="0" labelOnly="1" outline="0" axis="axisRow" fieldPosition="1"/>
    </format>
    <format dxfId="45">
      <pivotArea field="1" type="button" dataOnly="0" labelOnly="1" outline="0" axis="axisRow" fieldPosition="2"/>
    </format>
    <format dxfId="44">
      <pivotArea field="8" type="button" dataOnly="0" labelOnly="1" outline="0" axis="axisRow" fieldPosition="3"/>
    </format>
    <format dxfId="43">
      <pivotArea field="4" type="button" dataOnly="0" labelOnly="1" outline="0" axis="axisRow" fieldPosition="4"/>
    </format>
    <format dxfId="42">
      <pivotArea field="3" type="button" dataOnly="0" labelOnly="1" outline="0" axis="axisRow" fieldPosition="5"/>
    </format>
    <format dxfId="41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40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39">
      <pivotArea field="2" type="button" dataOnly="0" labelOnly="1" outline="0" axis="axisRow" fieldPosition="1"/>
    </format>
  </formats>
  <pivotHierarchies count="17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/>
    <pivotHierarchy multipleItemSelectionAllowed="1" dragToData="1"/>
    <pivotHierarchy multipleItemSelectionAllowed="1" dragToData="1" caption="Nombre Funcionario"/>
    <pivotHierarchy dragToData="1"/>
    <pivotHierarchy dragToData="1"/>
    <pivotHierarchy dragToRow="0" dragToCol="0" dragToPage="0" dragToData="1"/>
    <pivotHierarchy dragToRow="0" dragToCol="0" dragToPage="0" dragToData="1"/>
    <pivotHierarchy dragToData="1"/>
    <pivotHierarchy dragToData="1" caption="Monto Desem."/>
    <pivotHierarchy dragToData="1" caption="Spread Desem."/>
  </pivotHierarchies>
  <pivotTableStyleInfo name="PivotStyleLight22" showRowHeaders="1" showColHeaders="1" showRowStripes="0" showColStripes="0" showLastColumn="1"/>
  <rowHierarchiesUsage count="6">
    <rowHierarchyUsage hierarchyUsage="0"/>
    <rowHierarchyUsage hierarchyUsage="9"/>
    <rowHierarchyUsage hierarchyUsage="1"/>
    <rowHierarchyUsage hierarchyUsage="4"/>
    <rowHierarchyUsage hierarchyUsage="3"/>
    <rowHierarchyUsage hierarchyUsage="10"/>
  </rowHierarchiesUsage>
  <colHierarchiesUsage count="1">
    <colHierarchyUsage hierarchyUsage="-2"/>
  </colHierarchiesUsage>
  <extLst>
    <ext xmlns:x14="http://schemas.microsoft.com/office/spreadsheetml/2009/9/main" uri="{962EF5D1-5CA2-4c93-8EF4-DBF5C05439D2}">
      <x14:pivotTableDefinition xmlns:xm="http://schemas.microsoft.com/office/excel/2006/main" fillDownLabelsDefault="1" calculatedMembersInFilters="1" hideValuesRow="1"/>
    </ext>
    <ext xmlns:x15="http://schemas.microsoft.com/office/spreadsheetml/2010/11/main" uri="{E67621CE-5B39-4880-91FE-76760E9C1902}">
      <x15:pivotTableUISettings>
        <x15:activeTabTopLevelEntity name="[Desem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CF62379-51F4-4F35-967D-EF6995F0209B}" name="TablaDinámica2" cacheId="33" applyNumberFormats="0" applyBorderFormats="0" applyFontFormats="0" applyPatternFormats="0" applyAlignmentFormats="0" applyWidthHeightFormats="1" dataCaption="Valores" tag="bac1cb54-c0dd-4878-8a6c-55a8789dd33a" updatedVersion="8" minRefreshableVersion="3" useAutoFormatting="1" itemPrintTitles="1" createdVersion="5" indent="0" outline="1" outlineData="1" multipleFieldFilters="0">
  <location ref="S16:S39" firstHeaderRow="1" firstDataRow="1" firstDataCol="1"/>
  <pivotFields count="1">
    <pivotField axis="axisRow" allDrilled="1" subtotalTop="0" showAll="0" dataSourceSort="1" defaultSubtotal="0" defaultAttributeDrillState="1">
      <items count="22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</items>
    </pivotField>
  </pivotFields>
  <rowFields count="1">
    <field x="0"/>
  </rowFields>
  <rowItems count="23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 t="grand">
      <x/>
    </i>
  </rowItems>
  <pivotHierarchies count="17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/>
    <pivotHierarchy dragToData="1"/>
    <pivotHierarchy dragToData="1"/>
    <pivotHierarchy dragToRow="0" dragToCol="0" dragToPage="0" dragToData="1"/>
    <pivotHierarchy dragToRow="0" dragToCol="0" dragToPage="0" dragToData="1"/>
    <pivotHierarchy dragToData="1"/>
    <pivotHierarchy dragToData="1"/>
    <pivotHierarchy dragToData="1"/>
  </pivotHierarchies>
  <pivotTableStyleInfo name="PivotStyleLight16" showRowHeaders="1" showColHeaders="1" showRowStripes="0" showColStripes="0" showLastColumn="1"/>
  <rowHierarchiesUsage count="1">
    <rowHierarchyUsage hierarchyUsage="9"/>
  </row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Desem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NombreFuncionario" xr10:uid="{5D83FFE1-8D33-4941-B308-6CA031B7F7E7}" sourceName="[Desem].[NombreFuncionario]">
  <pivotTables>
    <pivotTable tabId="2" name="TablaDinámica1"/>
    <pivotTable tabId="2" name="TablaDinámica2"/>
  </pivotTables>
  <data>
    <olap pivotCacheId="1706892934">
      <levels count="2">
        <level uniqueName="[Desem].[NombreFuncionario].[(All)]" sourceCaption="(All)" count="0"/>
        <level uniqueName="[Desem].[NombreFuncionario].[NombreFuncionario]" sourceCaption="NombreFuncionario" count="22">
          <ranges>
            <range startItem="0">
              <i n="[Desem].[NombreFuncionario].&amp;[A.ROJAS]" c="A.ROJAS"/>
              <i n="[Desem].[NombreFuncionario].&amp;[C.ESPINOZA]" c="C.ESPINOZA"/>
              <i n="[Desem].[NombreFuncionario].&amp;[C.MARKY*16024]" c="C.MARKY*16024"/>
              <i n="[Desem].[NombreFuncionario].&amp;[C.MEJIA]" c="C.MEJIA"/>
              <i n="[Desem].[NombreFuncionario].&amp;[D.HERRERA*14796]" c="D.HERRERA*14796"/>
              <i n="[Desem].[NombreFuncionario].&amp;[E.NUNEZ]" c="E.NUNEZ"/>
              <i n="[Desem].[NombreFuncionario].&amp;[F.AMANS*13178]" c="F.AMANS*13178"/>
              <i n="[Desem].[NombreFuncionario].&amp;[G.BRAVO]" c="G.BRAVO"/>
              <i n="[Desem].[NombreFuncionario].&amp;[G.RAFFO]" c="G.RAFFO"/>
              <i n="[Desem].[NombreFuncionario].&amp;[J.CARRERA]" c="J.CARRERA"/>
              <i n="[Desem].[NombreFuncionario].&amp;[J.GRANDEZ]" c="J.GRANDEZ"/>
              <i n="[Desem].[NombreFuncionario].&amp;[J.NAVARRO]" c="J.NAVARRO"/>
              <i n="[Desem].[NombreFuncionario].&amp;[J.NICOLI]" c="J.NICOLI"/>
              <i n="[Desem].[NombreFuncionario].&amp;[J.RAFFO*14014]" c="J.RAFFO*14014"/>
              <i n="[Desem].[NombreFuncionario].&amp;[M.CASTAÑEDA]" c="M.CASTAÑEDA"/>
              <i n="[Desem].[NombreFuncionario].&amp;[M.LAZO]" c="M.LAZO"/>
              <i n="[Desem].[NombreFuncionario].&amp;[M.ROA]" c="M.ROA"/>
              <i n="[Desem].[NombreFuncionario].&amp;[M.RODRIGUEZ*16329]" c="M.RODRIGUEZ*16329"/>
              <i n="[Desem].[NombreFuncionario].&amp;[P.VENEGAS*15424]" c="P.VENEGAS*15424"/>
              <i n="[Desem].[NombreFuncionario].&amp;[R.SOLIS]" c="R.SOLIS"/>
              <i n="[Desem].[NombreFuncionario].&amp;[W.MACHUCA]" c="W.MACHUCA"/>
              <i n="[Desem].[NombreFuncionario].&amp;[W.MONTES]" c="W.MONTES"/>
            </range>
          </ranges>
        </level>
      </levels>
      <selections count="1">
        <selection n="[Desem].[NombreFuncionario].[All]"/>
      </selections>
    </olap>
  </data>
</slicerCacheDefinition>
</file>

<file path=xl/slicerCaches/slicerCache2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Lider" xr10:uid="{2BD32238-8118-43AB-996F-5DA3BFE9CF63}" sourceName="[Desem].[Lider]">
  <pivotTables>
    <pivotTable tabId="2" name="TablaDinámica1"/>
  </pivotTables>
  <data>
    <olap pivotCacheId="1706892934">
      <levels count="2">
        <level uniqueName="[Desem].[Lider].[(All)]" sourceCaption="(All)" count="0"/>
        <level uniqueName="[Desem].[Lider].[Lider]" sourceCaption="Lider" count="2">
          <ranges>
            <range startItem="0">
              <i n="[Desem].[Lider].&amp;[D.BARCO]" c="D.BARCO"/>
              <i n="[Desem].[Lider].&amp;[M.CARDENAS]" c="M.CARDENAS"/>
            </range>
          </ranges>
        </level>
      </levels>
      <selections count="1">
        <selection n="[Desem].[Lider].[All]"/>
      </selections>
    </olap>
  </data>
</slicerCacheDefinition>
</file>

<file path=xl/slicerCaches/slicerCache3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Grupo" xr10:uid="{FE70E14D-72CC-49B5-84B4-0125A129602E}" sourceName="[Desem].[Grupo]">
  <pivotTables>
    <pivotTable tabId="2" name="TablaDinámica1"/>
  </pivotTables>
  <data>
    <olap pivotCacheId="1706892934">
      <levels count="2">
        <level uniqueName="[Desem].[Grupo].[(All)]" sourceCaption="(All)" count="0"/>
        <level uniqueName="[Desem].[Grupo].[Grupo]" sourceCaption="Grupo" count="5">
          <ranges>
            <range startItem="0">
              <i n="[Desem].[Grupo].&amp;[C.YUCRA]" c="C.YUCRA"/>
              <i n="[Desem].[Grupo].&amp;[D.BARCO]" c="D.BARCO"/>
              <i n="[Desem].[Grupo].&amp;[F.AMANS]" c="F.AMANS"/>
              <i n="[Desem].[Grupo].&amp;[G.DAVILA]" c="G.DAVILA"/>
              <i n="[Desem].[Grupo].&amp;[P.QUEZADA]" c="P.QUEZADA"/>
            </range>
          </ranges>
        </level>
      </levels>
      <selections count="1">
        <selection n="[Desem].[Grupo].[All]"/>
      </selections>
    </olap>
  </data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NombreFuncionario" xr10:uid="{D2FEA99C-81BD-463A-BD9C-BC96A7FDC434}" cache="SegmentaciónDeDatos_NombreFuncionario" caption="NombreFuncionario" columnCount="2" level="1" rowHeight="247650"/>
  <slicer name="Lider" xr10:uid="{CDBDA8FD-7540-4881-A134-8E6164A3A9B3}" cache="SegmentaciónDeDatos_Lider" caption="Lider" columnCount="2" level="1" rowHeight="247650"/>
  <slicer name="Grupo" xr10:uid="{FC314CF5-A2A6-44AB-B115-60749C192BFE}" cache="SegmentaciónDeDatos_Grupo" caption="Grupo" columnCount="2" level="1" rowHeight="247650"/>
</slicer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1.bin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Relationship Id="rId5" Type="http://schemas.microsoft.com/office/2007/relationships/slicer" Target="../slicers/slicer1.xml"/><Relationship Id="rId4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8142F3-C4FB-4F9F-AF99-3E9E4FCD4331}">
  <dimension ref="A1:V519"/>
  <sheetViews>
    <sheetView showGridLines="0" tabSelected="1" zoomScaleNormal="100" workbookViewId="0">
      <selection activeCell="B3" sqref="B3"/>
    </sheetView>
  </sheetViews>
  <sheetFormatPr baseColWidth="10" defaultColWidth="11.42578125" defaultRowHeight="15" x14ac:dyDescent="0.25"/>
  <cols>
    <col min="1" max="1" width="11.28515625" customWidth="1"/>
    <col min="2" max="2" width="22.140625" customWidth="1"/>
    <col min="3" max="3" width="14.140625" bestFit="1" customWidth="1"/>
    <col min="4" max="4" width="9.7109375" bestFit="1" customWidth="1"/>
    <col min="5" max="5" width="16.42578125" bestFit="1" customWidth="1"/>
    <col min="6" max="6" width="37.7109375" customWidth="1"/>
    <col min="7" max="7" width="12.7109375" style="4" bestFit="1" customWidth="1"/>
    <col min="8" max="8" width="9.85546875" style="4" customWidth="1"/>
    <col min="9" max="9" width="9.140625" style="4" customWidth="1"/>
    <col min="10" max="10" width="9.28515625" style="4" customWidth="1"/>
    <col min="11" max="11" width="9.42578125" style="4" customWidth="1"/>
    <col min="19" max="19" width="16.5703125" hidden="1" customWidth="1"/>
    <col min="20" max="22" width="0" hidden="1" customWidth="1"/>
  </cols>
  <sheetData>
    <row r="1" spans="1:22" ht="34.5" x14ac:dyDescent="0.55000000000000004">
      <c r="A1" s="11" t="s">
        <v>0</v>
      </c>
    </row>
    <row r="2" spans="1:22" ht="14.45" customHeight="1" x14ac:dyDescent="0.25">
      <c r="A2" s="24" t="s">
        <v>1</v>
      </c>
      <c r="B2" s="23">
        <v>46187</v>
      </c>
    </row>
    <row r="4" spans="1:22" x14ac:dyDescent="0.25">
      <c r="G4" s="7"/>
      <c r="H4" s="16"/>
      <c r="I4"/>
      <c r="J4"/>
      <c r="K4"/>
    </row>
    <row r="5" spans="1:22" x14ac:dyDescent="0.25">
      <c r="G5" s="5" t="s">
        <v>2</v>
      </c>
      <c r="H5" s="20" t="s">
        <v>3</v>
      </c>
      <c r="I5"/>
      <c r="J5"/>
      <c r="K5"/>
    </row>
    <row r="6" spans="1:22" x14ac:dyDescent="0.25">
      <c r="F6" s="13" t="s">
        <v>4</v>
      </c>
      <c r="G6" s="12">
        <f>+SUMIFS(G16:G999997,A16:A999997,202604)</f>
        <v>270.15397926097012</v>
      </c>
      <c r="H6" s="21" cm="1">
        <f t="array" ref="H6">SUMPRODUCT(G16:G1006,H16:H1006*(A16:A1006=202604))/SUMIFS(G16:G1006,A16:A1006,202604)</f>
        <v>1.5555641403979383</v>
      </c>
      <c r="I6"/>
      <c r="J6"/>
      <c r="K6"/>
    </row>
    <row r="7" spans="1:22" x14ac:dyDescent="0.25">
      <c r="F7" s="14" t="s">
        <v>5</v>
      </c>
      <c r="G7" s="6">
        <f>+IFERROR(SUMIFS(G16:G999997,A16:A999997,202605),0)</f>
        <v>314.49254606149987</v>
      </c>
      <c r="H7" s="21" cm="1">
        <f t="array" ref="H7">IFERROR(SUMPRODUCT(G16:G1006,H16:H1006*(A16:A1006=202605))/SUMIFS(G16:G1006,A16:A1006,202605),0)</f>
        <v>1.6592242191893114</v>
      </c>
      <c r="I7"/>
      <c r="J7"/>
      <c r="K7"/>
    </row>
    <row r="8" spans="1:22" x14ac:dyDescent="0.25">
      <c r="F8" s="14" t="s">
        <v>263</v>
      </c>
      <c r="G8" s="6">
        <f>+IFERROR(SUMIFS(G16:G999997,A16:A999997,202606),0)</f>
        <v>49.017123091990008</v>
      </c>
      <c r="H8" s="21" cm="1">
        <f t="array" ref="H8">IFERROR(SUMPRODUCT(G16:G1006,H16:H1006*(A16:A1006=202606))/SUMIFS(G16:G1006,A16:A1006,202606),0)</f>
        <v>1.8223440384114316</v>
      </c>
      <c r="I8"/>
      <c r="J8"/>
      <c r="K8"/>
    </row>
    <row r="9" spans="1:22" x14ac:dyDescent="0.25">
      <c r="F9" s="13" t="str">
        <f>+F8 &amp; " Simulado"</f>
        <v>Junio Simulado</v>
      </c>
      <c r="G9" s="6">
        <f>+G8+SUM(J16:J999997)</f>
        <v>52.017123091990008</v>
      </c>
      <c r="H9" s="21">
        <f>+IFERROR(((G8*H8)+(SUM(J16:J1006)*(SUMPRODUCT(J16:J1006,K16:K1006)/SUM(J16:J1006))))/(G8+SUM(J16:J1006)),H8)</f>
        <v>1.7287780773215196</v>
      </c>
      <c r="I9"/>
      <c r="J9"/>
      <c r="K9"/>
    </row>
    <row r="10" spans="1:22" x14ac:dyDescent="0.25">
      <c r="F10" s="13" t="s">
        <v>6</v>
      </c>
      <c r="G10" s="6">
        <f>+SUM(G16:G999997)</f>
        <v>633.66364841446045</v>
      </c>
      <c r="H10" s="21">
        <f>+SUMPRODUCT(G16:G1006,H16:H1006)/SUM(G16:G1006)</f>
        <v>1.6276482899585458</v>
      </c>
      <c r="I10"/>
      <c r="J10"/>
      <c r="K10"/>
    </row>
    <row r="11" spans="1:22" x14ac:dyDescent="0.25">
      <c r="F11" s="13" t="s">
        <v>7</v>
      </c>
      <c r="G11" s="6">
        <f>+G10+SUM(J16:J999997)</f>
        <v>636.66364841446045</v>
      </c>
      <c r="H11" s="21">
        <f>+IFERROR(((G10*H10)+(SUM(J16:J1006)*(SUMPRODUCT(J16:J1006,K16:K1006)/SUM(J16:J1006))))/(G10+SUM(J16:J1006)),H10)</f>
        <v>1.6209211195279081</v>
      </c>
      <c r="I11"/>
      <c r="J11"/>
      <c r="K11"/>
    </row>
    <row r="12" spans="1:22" x14ac:dyDescent="0.25">
      <c r="F12" s="13" t="s">
        <v>8</v>
      </c>
      <c r="G12" s="15"/>
      <c r="H12" s="22">
        <f>+IFERROR(T17,0)</f>
        <v>0</v>
      </c>
      <c r="I12"/>
      <c r="J12"/>
      <c r="K12"/>
    </row>
    <row r="13" spans="1:22" x14ac:dyDescent="0.25">
      <c r="I13"/>
      <c r="J13"/>
      <c r="K13"/>
    </row>
    <row r="14" spans="1:22" x14ac:dyDescent="0.25">
      <c r="G14" s="10" t="s">
        <v>9</v>
      </c>
      <c r="H14" s="7"/>
      <c r="K14" s="10" t="s">
        <v>10</v>
      </c>
    </row>
    <row r="15" spans="1:22" s="7" customFormat="1" ht="30" x14ac:dyDescent="0.25">
      <c r="A15" s="17" t="s">
        <v>11</v>
      </c>
      <c r="B15" s="18" t="s">
        <v>12</v>
      </c>
      <c r="C15" s="17" t="s">
        <v>13</v>
      </c>
      <c r="D15" s="17" t="s">
        <v>14</v>
      </c>
      <c r="E15" s="17" t="s">
        <v>15</v>
      </c>
      <c r="F15" s="17" t="s">
        <v>16</v>
      </c>
      <c r="G15" s="18" t="s">
        <v>17</v>
      </c>
      <c r="H15" s="18" t="s">
        <v>18</v>
      </c>
      <c r="J15" s="19" t="s">
        <v>17</v>
      </c>
      <c r="K15" s="19" t="s">
        <v>18</v>
      </c>
    </row>
    <row r="16" spans="1:22" x14ac:dyDescent="0.25">
      <c r="A16">
        <v>202604</v>
      </c>
      <c r="B16" t="s">
        <v>19</v>
      </c>
      <c r="C16">
        <v>1751364607</v>
      </c>
      <c r="D16" t="s">
        <v>20</v>
      </c>
      <c r="E16" t="s">
        <v>21</v>
      </c>
      <c r="F16" t="s">
        <v>100</v>
      </c>
      <c r="G16" s="8">
        <v>5.2365000000000002E-2</v>
      </c>
      <c r="H16" s="25">
        <v>3.34</v>
      </c>
      <c r="J16" s="9">
        <v>3</v>
      </c>
      <c r="K16" s="9">
        <v>0.2</v>
      </c>
      <c r="S16" s="1" t="s">
        <v>22</v>
      </c>
      <c r="U16" t="s">
        <v>23</v>
      </c>
      <c r="V16" t="s">
        <v>24</v>
      </c>
    </row>
    <row r="17" spans="1:22" x14ac:dyDescent="0.25">
      <c r="A17">
        <v>202604</v>
      </c>
      <c r="B17" t="s">
        <v>19</v>
      </c>
      <c r="C17">
        <v>1751403947</v>
      </c>
      <c r="D17" t="s">
        <v>25</v>
      </c>
      <c r="E17" t="s">
        <v>26</v>
      </c>
      <c r="F17" t="s">
        <v>101</v>
      </c>
      <c r="G17" s="8">
        <v>0.58899999999999997</v>
      </c>
      <c r="H17" s="25">
        <v>2.16</v>
      </c>
      <c r="J17" s="9"/>
      <c r="K17" s="9"/>
      <c r="S17" s="2" t="s">
        <v>19</v>
      </c>
      <c r="T17" s="3" t="e">
        <f>+_xlfn.XLOOKUP(S17,U:U,V:V)</f>
        <v>#N/A</v>
      </c>
      <c r="U17" t="s">
        <v>27</v>
      </c>
      <c r="V17">
        <v>0.99974690651541986</v>
      </c>
    </row>
    <row r="18" spans="1:22" x14ac:dyDescent="0.25">
      <c r="A18">
        <v>202604</v>
      </c>
      <c r="B18" t="s">
        <v>19</v>
      </c>
      <c r="C18">
        <v>1755779038</v>
      </c>
      <c r="D18" t="s">
        <v>20</v>
      </c>
      <c r="E18" t="s">
        <v>26</v>
      </c>
      <c r="F18" t="s">
        <v>102</v>
      </c>
      <c r="G18" s="8">
        <v>0.68799999999999994</v>
      </c>
      <c r="H18" s="25">
        <v>4.71</v>
      </c>
      <c r="J18" s="9"/>
      <c r="K18" s="9"/>
      <c r="S18" s="2" t="s">
        <v>28</v>
      </c>
      <c r="U18" t="s">
        <v>29</v>
      </c>
      <c r="V18">
        <v>1.162423520139795</v>
      </c>
    </row>
    <row r="19" spans="1:22" x14ac:dyDescent="0.25">
      <c r="A19">
        <v>202604</v>
      </c>
      <c r="B19" t="s">
        <v>19</v>
      </c>
      <c r="C19">
        <v>1755819129</v>
      </c>
      <c r="D19" t="s">
        <v>20</v>
      </c>
      <c r="E19" t="s">
        <v>21</v>
      </c>
      <c r="F19" t="s">
        <v>103</v>
      </c>
      <c r="G19" s="8">
        <v>0.129049734</v>
      </c>
      <c r="H19" s="25">
        <v>4.2</v>
      </c>
      <c r="J19" s="9"/>
      <c r="K19" s="9"/>
      <c r="S19" s="2" t="s">
        <v>94</v>
      </c>
      <c r="U19" t="s">
        <v>31</v>
      </c>
      <c r="V19">
        <v>1.1940724259871067</v>
      </c>
    </row>
    <row r="20" spans="1:22" x14ac:dyDescent="0.25">
      <c r="A20">
        <v>202604</v>
      </c>
      <c r="B20" t="s">
        <v>19</v>
      </c>
      <c r="C20">
        <v>1755820046</v>
      </c>
      <c r="D20" t="s">
        <v>20</v>
      </c>
      <c r="E20" t="s">
        <v>21</v>
      </c>
      <c r="F20" t="s">
        <v>104</v>
      </c>
      <c r="G20" s="8">
        <v>0.129049734</v>
      </c>
      <c r="H20" s="25">
        <v>4.2</v>
      </c>
      <c r="J20" s="9"/>
      <c r="K20" s="9"/>
      <c r="S20" s="2" t="s">
        <v>32</v>
      </c>
      <c r="U20" t="s">
        <v>33</v>
      </c>
      <c r="V20">
        <v>2.7470303438054513</v>
      </c>
    </row>
    <row r="21" spans="1:22" x14ac:dyDescent="0.25">
      <c r="A21">
        <v>202604</v>
      </c>
      <c r="B21" t="s">
        <v>19</v>
      </c>
      <c r="C21">
        <v>1755855222</v>
      </c>
      <c r="D21" t="s">
        <v>20</v>
      </c>
      <c r="E21" t="s">
        <v>21</v>
      </c>
      <c r="F21" t="s">
        <v>100</v>
      </c>
      <c r="G21" s="8">
        <v>5.2574999999999997E-2</v>
      </c>
      <c r="H21" s="25">
        <v>3.34</v>
      </c>
      <c r="J21" s="9"/>
      <c r="K21" s="9"/>
      <c r="S21" s="2" t="s">
        <v>254</v>
      </c>
      <c r="U21" t="s">
        <v>35</v>
      </c>
      <c r="V21">
        <v>2.4818507118473381</v>
      </c>
    </row>
    <row r="22" spans="1:22" x14ac:dyDescent="0.25">
      <c r="A22">
        <v>202604</v>
      </c>
      <c r="B22" t="s">
        <v>19</v>
      </c>
      <c r="C22">
        <v>1755874200</v>
      </c>
      <c r="D22" t="s">
        <v>20</v>
      </c>
      <c r="E22" t="s">
        <v>21</v>
      </c>
      <c r="F22" t="s">
        <v>100</v>
      </c>
      <c r="G22" s="8">
        <v>8.8175000000000003E-2</v>
      </c>
      <c r="H22" s="25">
        <v>3.34</v>
      </c>
      <c r="J22" s="9"/>
      <c r="K22" s="9"/>
      <c r="S22" s="2" t="s">
        <v>34</v>
      </c>
      <c r="U22" t="s">
        <v>36</v>
      </c>
      <c r="V22">
        <v>2.2475108275483411</v>
      </c>
    </row>
    <row r="23" spans="1:22" x14ac:dyDescent="0.25">
      <c r="A23">
        <v>202604</v>
      </c>
      <c r="B23" t="s">
        <v>28</v>
      </c>
      <c r="C23">
        <v>1751394824</v>
      </c>
      <c r="D23" t="s">
        <v>25</v>
      </c>
      <c r="E23" t="s">
        <v>37</v>
      </c>
      <c r="F23" t="s">
        <v>105</v>
      </c>
      <c r="G23" s="8">
        <v>1.0529678999999998</v>
      </c>
      <c r="H23" s="25">
        <v>1.5</v>
      </c>
      <c r="J23" s="9"/>
      <c r="K23" s="9"/>
      <c r="S23" s="2" t="s">
        <v>95</v>
      </c>
      <c r="U23" t="s">
        <v>38</v>
      </c>
      <c r="V23">
        <v>1.3588268129797207</v>
      </c>
    </row>
    <row r="24" spans="1:22" x14ac:dyDescent="0.25">
      <c r="A24">
        <v>202604</v>
      </c>
      <c r="B24" t="s">
        <v>28</v>
      </c>
      <c r="C24">
        <v>1755697570</v>
      </c>
      <c r="D24" t="s">
        <v>20</v>
      </c>
      <c r="E24" t="s">
        <v>37</v>
      </c>
      <c r="F24" t="s">
        <v>105</v>
      </c>
      <c r="G24" s="8">
        <v>0.30074921646000002</v>
      </c>
      <c r="H24" s="25">
        <v>1.66</v>
      </c>
      <c r="J24" s="9"/>
      <c r="K24" s="9"/>
      <c r="S24" s="2" t="s">
        <v>27</v>
      </c>
      <c r="U24" t="s">
        <v>39</v>
      </c>
      <c r="V24">
        <v>1.4</v>
      </c>
    </row>
    <row r="25" spans="1:22" x14ac:dyDescent="0.25">
      <c r="A25">
        <v>202604</v>
      </c>
      <c r="B25" t="s">
        <v>28</v>
      </c>
      <c r="C25">
        <v>1755745192</v>
      </c>
      <c r="D25" t="s">
        <v>25</v>
      </c>
      <c r="E25" t="s">
        <v>21</v>
      </c>
      <c r="F25" t="s">
        <v>106</v>
      </c>
      <c r="G25" s="8">
        <v>1</v>
      </c>
      <c r="H25" s="25">
        <v>0.9</v>
      </c>
      <c r="J25" s="9"/>
      <c r="K25" s="9"/>
      <c r="S25" s="2" t="s">
        <v>39</v>
      </c>
      <c r="U25" t="s">
        <v>40</v>
      </c>
      <c r="V25">
        <v>2.2000000000000002</v>
      </c>
    </row>
    <row r="26" spans="1:22" x14ac:dyDescent="0.25">
      <c r="A26">
        <v>202604</v>
      </c>
      <c r="B26" t="s">
        <v>28</v>
      </c>
      <c r="C26">
        <v>1755745303</v>
      </c>
      <c r="D26" t="s">
        <v>25</v>
      </c>
      <c r="E26" t="s">
        <v>26</v>
      </c>
      <c r="F26" t="s">
        <v>107</v>
      </c>
      <c r="G26" s="8">
        <v>0.4</v>
      </c>
      <c r="H26" s="25">
        <v>2.76</v>
      </c>
      <c r="J26" s="9"/>
      <c r="K26" s="9"/>
      <c r="S26" s="2" t="s">
        <v>40</v>
      </c>
      <c r="U26" t="s">
        <v>42</v>
      </c>
      <c r="V26">
        <v>2.2999999999999998</v>
      </c>
    </row>
    <row r="27" spans="1:22" x14ac:dyDescent="0.25">
      <c r="A27">
        <v>202604</v>
      </c>
      <c r="B27" t="s">
        <v>28</v>
      </c>
      <c r="C27">
        <v>1755771800</v>
      </c>
      <c r="D27" t="s">
        <v>20</v>
      </c>
      <c r="E27" t="s">
        <v>26</v>
      </c>
      <c r="F27" t="s">
        <v>108</v>
      </c>
      <c r="G27" s="8">
        <v>0.31884530013000001</v>
      </c>
      <c r="H27" s="25">
        <v>2.3199999999999998</v>
      </c>
      <c r="J27" s="9"/>
      <c r="K27" s="9"/>
      <c r="S27" s="2" t="s">
        <v>41</v>
      </c>
      <c r="U27" t="s">
        <v>44</v>
      </c>
      <c r="V27">
        <v>1.395144852541258</v>
      </c>
    </row>
    <row r="28" spans="1:22" x14ac:dyDescent="0.25">
      <c r="A28">
        <v>202604</v>
      </c>
      <c r="B28" t="s">
        <v>28</v>
      </c>
      <c r="C28">
        <v>1755799900</v>
      </c>
      <c r="D28" t="s">
        <v>20</v>
      </c>
      <c r="E28" t="s">
        <v>21</v>
      </c>
      <c r="F28" t="s">
        <v>109</v>
      </c>
      <c r="G28" s="8">
        <v>0.93567999999999996</v>
      </c>
      <c r="H28" s="25">
        <v>0.55000000000000004</v>
      </c>
      <c r="S28" s="2" t="s">
        <v>43</v>
      </c>
      <c r="U28" t="s">
        <v>28</v>
      </c>
      <c r="V28">
        <v>1.55</v>
      </c>
    </row>
    <row r="29" spans="1:22" x14ac:dyDescent="0.25">
      <c r="A29">
        <v>202604</v>
      </c>
      <c r="B29" t="s">
        <v>28</v>
      </c>
      <c r="C29">
        <v>1755814623</v>
      </c>
      <c r="D29" t="s">
        <v>20</v>
      </c>
      <c r="E29" t="s">
        <v>21</v>
      </c>
      <c r="F29" t="s">
        <v>110</v>
      </c>
      <c r="G29" s="8">
        <v>0.41676000000000002</v>
      </c>
      <c r="H29" s="25">
        <v>3.57</v>
      </c>
      <c r="S29" s="2" t="s">
        <v>35</v>
      </c>
      <c r="U29" t="s">
        <v>30</v>
      </c>
      <c r="V29">
        <v>1.6</v>
      </c>
    </row>
    <row r="30" spans="1:22" x14ac:dyDescent="0.25">
      <c r="A30">
        <v>202604</v>
      </c>
      <c r="B30" t="s">
        <v>28</v>
      </c>
      <c r="C30">
        <v>1755852215</v>
      </c>
      <c r="D30" t="s">
        <v>25</v>
      </c>
      <c r="E30" t="s">
        <v>21</v>
      </c>
      <c r="F30" t="s">
        <v>111</v>
      </c>
      <c r="G30" s="8">
        <v>0.05</v>
      </c>
      <c r="H30" s="25">
        <v>9.6</v>
      </c>
      <c r="S30" s="2" t="s">
        <v>36</v>
      </c>
      <c r="U30" t="s">
        <v>32</v>
      </c>
      <c r="V30">
        <v>1.75</v>
      </c>
    </row>
    <row r="31" spans="1:22" x14ac:dyDescent="0.25">
      <c r="A31">
        <v>202604</v>
      </c>
      <c r="B31" t="s">
        <v>28</v>
      </c>
      <c r="C31">
        <v>1755856946</v>
      </c>
      <c r="D31" t="s">
        <v>25</v>
      </c>
      <c r="E31" t="s">
        <v>26</v>
      </c>
      <c r="F31" t="s">
        <v>112</v>
      </c>
      <c r="G31" s="8">
        <v>1.5</v>
      </c>
      <c r="H31" s="25">
        <v>0.8</v>
      </c>
      <c r="S31" s="2" t="s">
        <v>45</v>
      </c>
      <c r="U31" t="s">
        <v>41</v>
      </c>
      <c r="V31">
        <v>2.4</v>
      </c>
    </row>
    <row r="32" spans="1:22" x14ac:dyDescent="0.25">
      <c r="A32">
        <v>202604</v>
      </c>
      <c r="B32" t="s">
        <v>28</v>
      </c>
      <c r="C32">
        <v>1755868057</v>
      </c>
      <c r="D32" t="s">
        <v>20</v>
      </c>
      <c r="E32" t="s">
        <v>26</v>
      </c>
      <c r="F32" t="s">
        <v>113</v>
      </c>
      <c r="G32" s="8">
        <v>0.35160000000000002</v>
      </c>
      <c r="H32" s="25">
        <v>0.1</v>
      </c>
      <c r="S32" s="2" t="s">
        <v>29</v>
      </c>
    </row>
    <row r="33" spans="1:19" x14ac:dyDescent="0.25">
      <c r="A33">
        <v>202604</v>
      </c>
      <c r="B33" t="s">
        <v>28</v>
      </c>
      <c r="C33">
        <v>1755872240</v>
      </c>
      <c r="D33" t="s">
        <v>25</v>
      </c>
      <c r="E33" t="s">
        <v>37</v>
      </c>
      <c r="F33" t="s">
        <v>105</v>
      </c>
      <c r="G33" s="8">
        <v>0.66326483999999997</v>
      </c>
      <c r="H33" s="25">
        <v>1.51</v>
      </c>
      <c r="S33" s="2" t="s">
        <v>42</v>
      </c>
    </row>
    <row r="34" spans="1:19" x14ac:dyDescent="0.25">
      <c r="A34">
        <v>202604</v>
      </c>
      <c r="B34" t="s">
        <v>28</v>
      </c>
      <c r="C34">
        <v>1755878796</v>
      </c>
      <c r="D34" t="s">
        <v>20</v>
      </c>
      <c r="E34" t="s">
        <v>26</v>
      </c>
      <c r="F34" t="s">
        <v>114</v>
      </c>
      <c r="G34" s="8">
        <v>2.4689000000000001</v>
      </c>
      <c r="H34" s="25">
        <v>0.25</v>
      </c>
      <c r="S34" s="2" t="s">
        <v>96</v>
      </c>
    </row>
    <row r="35" spans="1:19" x14ac:dyDescent="0.25">
      <c r="A35">
        <v>202604</v>
      </c>
      <c r="B35" t="s">
        <v>94</v>
      </c>
      <c r="C35">
        <v>1751395430</v>
      </c>
      <c r="D35" t="s">
        <v>20</v>
      </c>
      <c r="E35" t="s">
        <v>26</v>
      </c>
      <c r="F35" t="s">
        <v>115</v>
      </c>
      <c r="G35" s="8">
        <v>1.7184999999999999</v>
      </c>
      <c r="H35" s="25">
        <v>3.35</v>
      </c>
      <c r="S35" s="2" t="s">
        <v>255</v>
      </c>
    </row>
    <row r="36" spans="1:19" x14ac:dyDescent="0.25">
      <c r="A36">
        <v>202604</v>
      </c>
      <c r="B36" t="s">
        <v>94</v>
      </c>
      <c r="C36">
        <v>1751420140</v>
      </c>
      <c r="D36" t="s">
        <v>20</v>
      </c>
      <c r="E36" t="s">
        <v>21</v>
      </c>
      <c r="F36" t="s">
        <v>116</v>
      </c>
      <c r="G36" s="8">
        <v>1.0182</v>
      </c>
      <c r="H36" s="25">
        <v>1.55</v>
      </c>
      <c r="S36" s="2" t="s">
        <v>44</v>
      </c>
    </row>
    <row r="37" spans="1:19" x14ac:dyDescent="0.25">
      <c r="A37">
        <v>202604</v>
      </c>
      <c r="B37" t="s">
        <v>94</v>
      </c>
      <c r="C37">
        <v>1755715552</v>
      </c>
      <c r="D37" t="s">
        <v>20</v>
      </c>
      <c r="E37" t="s">
        <v>26</v>
      </c>
      <c r="F37" t="s">
        <v>118</v>
      </c>
      <c r="G37" s="8">
        <v>0.309747249</v>
      </c>
      <c r="H37" s="25">
        <v>3.3</v>
      </c>
      <c r="S37" s="2" t="s">
        <v>46</v>
      </c>
    </row>
    <row r="38" spans="1:19" x14ac:dyDescent="0.25">
      <c r="A38">
        <v>202604</v>
      </c>
      <c r="B38" t="s">
        <v>94</v>
      </c>
      <c r="C38">
        <v>1755715692</v>
      </c>
      <c r="D38" t="s">
        <v>20</v>
      </c>
      <c r="E38" t="s">
        <v>26</v>
      </c>
      <c r="F38" t="s">
        <v>118</v>
      </c>
      <c r="G38" s="8">
        <v>0.29371837181999999</v>
      </c>
      <c r="H38" s="25">
        <v>3.3</v>
      </c>
      <c r="S38" s="2" t="s">
        <v>47</v>
      </c>
    </row>
    <row r="39" spans="1:19" x14ac:dyDescent="0.25">
      <c r="A39">
        <v>202604</v>
      </c>
      <c r="B39" t="s">
        <v>94</v>
      </c>
      <c r="C39">
        <v>1755756216</v>
      </c>
      <c r="D39" t="s">
        <v>20</v>
      </c>
      <c r="E39" t="s">
        <v>26</v>
      </c>
      <c r="F39" t="s">
        <v>118</v>
      </c>
      <c r="G39" s="8">
        <v>0.687866584</v>
      </c>
      <c r="H39" s="25">
        <v>3.3</v>
      </c>
      <c r="S39" s="2" t="s">
        <v>48</v>
      </c>
    </row>
    <row r="40" spans="1:19" x14ac:dyDescent="0.25">
      <c r="A40">
        <v>202604</v>
      </c>
      <c r="B40" t="s">
        <v>94</v>
      </c>
      <c r="C40">
        <v>1755757999</v>
      </c>
      <c r="D40" t="s">
        <v>20</v>
      </c>
      <c r="E40" t="s">
        <v>26</v>
      </c>
      <c r="F40" t="s">
        <v>118</v>
      </c>
      <c r="G40" s="8">
        <v>0.35734399999999999</v>
      </c>
      <c r="H40" s="25">
        <v>3.3</v>
      </c>
    </row>
    <row r="41" spans="1:19" x14ac:dyDescent="0.25">
      <c r="A41">
        <v>202604</v>
      </c>
      <c r="B41" t="s">
        <v>94</v>
      </c>
      <c r="C41">
        <v>1755778058</v>
      </c>
      <c r="D41" t="s">
        <v>20</v>
      </c>
      <c r="E41" t="s">
        <v>26</v>
      </c>
      <c r="F41" t="s">
        <v>118</v>
      </c>
      <c r="G41" s="8">
        <v>0.34442311999999997</v>
      </c>
      <c r="H41" s="25">
        <v>3.3</v>
      </c>
    </row>
    <row r="42" spans="1:19" x14ac:dyDescent="0.25">
      <c r="A42">
        <v>202604</v>
      </c>
      <c r="B42" t="s">
        <v>94</v>
      </c>
      <c r="C42">
        <v>1755851448</v>
      </c>
      <c r="D42" t="s">
        <v>20</v>
      </c>
      <c r="E42" t="s">
        <v>26</v>
      </c>
      <c r="F42" t="s">
        <v>118</v>
      </c>
      <c r="G42" s="8">
        <v>0.31766866499999996</v>
      </c>
      <c r="H42" s="25">
        <v>3.3</v>
      </c>
    </row>
    <row r="43" spans="1:19" x14ac:dyDescent="0.25">
      <c r="A43">
        <v>202604</v>
      </c>
      <c r="B43" t="s">
        <v>94</v>
      </c>
      <c r="C43">
        <v>1755874340</v>
      </c>
      <c r="D43" t="s">
        <v>20</v>
      </c>
      <c r="E43" t="s">
        <v>26</v>
      </c>
      <c r="F43" t="s">
        <v>118</v>
      </c>
      <c r="G43" s="8">
        <v>0.52965311699999995</v>
      </c>
      <c r="H43" s="25">
        <v>3.3</v>
      </c>
    </row>
    <row r="44" spans="1:19" x14ac:dyDescent="0.25">
      <c r="A44">
        <v>202604</v>
      </c>
      <c r="B44" t="s">
        <v>94</v>
      </c>
      <c r="C44">
        <v>1755891199</v>
      </c>
      <c r="D44" t="s">
        <v>20</v>
      </c>
      <c r="E44" t="s">
        <v>26</v>
      </c>
      <c r="F44" t="s">
        <v>122</v>
      </c>
      <c r="G44" s="8">
        <v>1.0550999999999999</v>
      </c>
      <c r="H44" s="25">
        <v>2.99</v>
      </c>
    </row>
    <row r="45" spans="1:19" x14ac:dyDescent="0.25">
      <c r="A45">
        <v>202604</v>
      </c>
      <c r="B45" t="s">
        <v>32</v>
      </c>
      <c r="C45">
        <v>1751391485</v>
      </c>
      <c r="D45" t="s">
        <v>20</v>
      </c>
      <c r="E45" t="s">
        <v>21</v>
      </c>
      <c r="F45" t="s">
        <v>123</v>
      </c>
      <c r="G45" s="8">
        <v>0.34370000000000001</v>
      </c>
      <c r="H45" s="25">
        <v>2.4500000000000002</v>
      </c>
    </row>
    <row r="46" spans="1:19" x14ac:dyDescent="0.25">
      <c r="A46">
        <v>202604</v>
      </c>
      <c r="B46" t="s">
        <v>32</v>
      </c>
      <c r="C46">
        <v>1755670338</v>
      </c>
      <c r="D46" t="s">
        <v>25</v>
      </c>
      <c r="E46" t="s">
        <v>37</v>
      </c>
      <c r="F46" t="s">
        <v>124</v>
      </c>
      <c r="G46" s="8">
        <v>0.45964360999999998</v>
      </c>
      <c r="H46" s="25">
        <v>4.4800000000000004</v>
      </c>
    </row>
    <row r="47" spans="1:19" x14ac:dyDescent="0.25">
      <c r="A47">
        <v>202604</v>
      </c>
      <c r="B47" t="s">
        <v>32</v>
      </c>
      <c r="C47">
        <v>1755673736</v>
      </c>
      <c r="D47" t="s">
        <v>20</v>
      </c>
      <c r="E47" t="s">
        <v>26</v>
      </c>
      <c r="F47" t="s">
        <v>125</v>
      </c>
      <c r="G47" s="8">
        <v>0.6764</v>
      </c>
      <c r="H47" s="25">
        <v>1.3</v>
      </c>
    </row>
    <row r="48" spans="1:19" x14ac:dyDescent="0.25">
      <c r="A48">
        <v>202604</v>
      </c>
      <c r="B48" t="s">
        <v>32</v>
      </c>
      <c r="C48">
        <v>1755679033</v>
      </c>
      <c r="D48" t="s">
        <v>25</v>
      </c>
      <c r="E48" t="s">
        <v>37</v>
      </c>
      <c r="F48" t="s">
        <v>126</v>
      </c>
      <c r="G48" s="8">
        <v>1.2383976200000002</v>
      </c>
      <c r="H48" s="25">
        <v>0.85</v>
      </c>
    </row>
    <row r="49" spans="1:8" x14ac:dyDescent="0.25">
      <c r="A49">
        <v>202604</v>
      </c>
      <c r="B49" t="s">
        <v>32</v>
      </c>
      <c r="C49">
        <v>1755696116</v>
      </c>
      <c r="D49" t="s">
        <v>25</v>
      </c>
      <c r="E49" t="s">
        <v>37</v>
      </c>
      <c r="F49" t="s">
        <v>124</v>
      </c>
      <c r="G49" s="8">
        <v>0.41494830999999999</v>
      </c>
      <c r="H49" s="25">
        <v>4.4800000000000004</v>
      </c>
    </row>
    <row r="50" spans="1:8" x14ac:dyDescent="0.25">
      <c r="A50">
        <v>202604</v>
      </c>
      <c r="B50" t="s">
        <v>32</v>
      </c>
      <c r="C50">
        <v>1755715854</v>
      </c>
      <c r="D50" t="s">
        <v>25</v>
      </c>
      <c r="E50" t="s">
        <v>26</v>
      </c>
      <c r="F50" t="s">
        <v>127</v>
      </c>
      <c r="G50" s="8">
        <v>0.17699999999999999</v>
      </c>
      <c r="H50" s="25">
        <v>1.8</v>
      </c>
    </row>
    <row r="51" spans="1:8" x14ac:dyDescent="0.25">
      <c r="A51">
        <v>202604</v>
      </c>
      <c r="B51" t="s">
        <v>32</v>
      </c>
      <c r="C51">
        <v>1755727534</v>
      </c>
      <c r="D51" t="s">
        <v>25</v>
      </c>
      <c r="E51" t="s">
        <v>37</v>
      </c>
      <c r="F51" t="s">
        <v>126</v>
      </c>
      <c r="G51" s="8">
        <v>3.1083238900000003</v>
      </c>
      <c r="H51" s="25">
        <v>1</v>
      </c>
    </row>
    <row r="52" spans="1:8" x14ac:dyDescent="0.25">
      <c r="A52">
        <v>202604</v>
      </c>
      <c r="B52" t="s">
        <v>32</v>
      </c>
      <c r="C52">
        <v>1755742290</v>
      </c>
      <c r="D52" t="s">
        <v>20</v>
      </c>
      <c r="E52" t="s">
        <v>26</v>
      </c>
      <c r="F52" t="s">
        <v>128</v>
      </c>
      <c r="G52" s="8">
        <v>0.1719</v>
      </c>
      <c r="H52" s="25">
        <v>5.5</v>
      </c>
    </row>
    <row r="53" spans="1:8" x14ac:dyDescent="0.25">
      <c r="A53">
        <v>202604</v>
      </c>
      <c r="B53" t="s">
        <v>32</v>
      </c>
      <c r="C53">
        <v>1755745222</v>
      </c>
      <c r="D53" t="s">
        <v>20</v>
      </c>
      <c r="E53" t="s">
        <v>21</v>
      </c>
      <c r="F53" t="s">
        <v>129</v>
      </c>
      <c r="G53" s="8">
        <v>1.2033</v>
      </c>
      <c r="H53" s="25">
        <v>1</v>
      </c>
    </row>
    <row r="54" spans="1:8" x14ac:dyDescent="0.25">
      <c r="A54">
        <v>202604</v>
      </c>
      <c r="B54" t="s">
        <v>32</v>
      </c>
      <c r="C54">
        <v>1755770413</v>
      </c>
      <c r="D54" t="s">
        <v>20</v>
      </c>
      <c r="E54" t="s">
        <v>21</v>
      </c>
      <c r="F54" t="s">
        <v>130</v>
      </c>
      <c r="G54" s="8">
        <v>0.127169</v>
      </c>
      <c r="H54" s="25">
        <v>3.15</v>
      </c>
    </row>
    <row r="55" spans="1:8" x14ac:dyDescent="0.25">
      <c r="A55">
        <v>202604</v>
      </c>
      <c r="B55" t="s">
        <v>32</v>
      </c>
      <c r="C55">
        <v>1755803320</v>
      </c>
      <c r="D55" t="s">
        <v>25</v>
      </c>
      <c r="E55" t="s">
        <v>37</v>
      </c>
      <c r="F55" t="s">
        <v>126</v>
      </c>
      <c r="G55" s="8">
        <v>0.64853263000000005</v>
      </c>
      <c r="H55" s="25">
        <v>0.85</v>
      </c>
    </row>
    <row r="56" spans="1:8" x14ac:dyDescent="0.25">
      <c r="A56">
        <v>202604</v>
      </c>
      <c r="B56" t="s">
        <v>32</v>
      </c>
      <c r="C56">
        <v>1755803605</v>
      </c>
      <c r="D56" t="s">
        <v>25</v>
      </c>
      <c r="E56" t="s">
        <v>37</v>
      </c>
      <c r="F56" t="s">
        <v>126</v>
      </c>
      <c r="G56" s="8">
        <v>2.9580357599999996</v>
      </c>
      <c r="H56" s="25">
        <v>0.85</v>
      </c>
    </row>
    <row r="57" spans="1:8" x14ac:dyDescent="0.25">
      <c r="A57">
        <v>202604</v>
      </c>
      <c r="B57" t="s">
        <v>32</v>
      </c>
      <c r="C57">
        <v>1755806220</v>
      </c>
      <c r="D57" t="s">
        <v>25</v>
      </c>
      <c r="E57" t="s">
        <v>37</v>
      </c>
      <c r="F57" t="s">
        <v>131</v>
      </c>
      <c r="G57" s="8">
        <v>0.87602671999999993</v>
      </c>
      <c r="H57" s="25">
        <v>5.47</v>
      </c>
    </row>
    <row r="58" spans="1:8" x14ac:dyDescent="0.25">
      <c r="A58">
        <v>202604</v>
      </c>
      <c r="B58" t="s">
        <v>32</v>
      </c>
      <c r="C58">
        <v>1755863764</v>
      </c>
      <c r="D58" t="s">
        <v>20</v>
      </c>
      <c r="E58" t="s">
        <v>21</v>
      </c>
      <c r="F58" t="s">
        <v>132</v>
      </c>
      <c r="G58" s="8">
        <v>1.0548</v>
      </c>
      <c r="H58" s="25">
        <v>1.9</v>
      </c>
    </row>
    <row r="59" spans="1:8" x14ac:dyDescent="0.25">
      <c r="A59">
        <v>202604</v>
      </c>
      <c r="B59" t="s">
        <v>32</v>
      </c>
      <c r="C59">
        <v>1755866763</v>
      </c>
      <c r="D59" t="s">
        <v>25</v>
      </c>
      <c r="E59" t="s">
        <v>37</v>
      </c>
      <c r="F59" t="s">
        <v>127</v>
      </c>
      <c r="G59" s="8">
        <v>4.9428569999999998E-2</v>
      </c>
      <c r="H59" s="25">
        <v>2.58</v>
      </c>
    </row>
    <row r="60" spans="1:8" x14ac:dyDescent="0.25">
      <c r="A60">
        <v>202604</v>
      </c>
      <c r="B60" t="s">
        <v>32</v>
      </c>
      <c r="C60">
        <v>1755867115</v>
      </c>
      <c r="D60" t="s">
        <v>20</v>
      </c>
      <c r="E60" t="s">
        <v>21</v>
      </c>
      <c r="F60" t="s">
        <v>133</v>
      </c>
      <c r="G60" s="8">
        <v>1.758</v>
      </c>
      <c r="H60" s="25">
        <v>1.95</v>
      </c>
    </row>
    <row r="61" spans="1:8" x14ac:dyDescent="0.25">
      <c r="A61">
        <v>202604</v>
      </c>
      <c r="B61" t="s">
        <v>32</v>
      </c>
      <c r="C61">
        <v>1755867808</v>
      </c>
      <c r="D61" t="s">
        <v>20</v>
      </c>
      <c r="E61" t="s">
        <v>21</v>
      </c>
      <c r="F61" t="s">
        <v>133</v>
      </c>
      <c r="G61" s="8">
        <v>3.8675999999999999</v>
      </c>
      <c r="H61" s="25">
        <v>1.95</v>
      </c>
    </row>
    <row r="62" spans="1:8" x14ac:dyDescent="0.25">
      <c r="A62">
        <v>202604</v>
      </c>
      <c r="B62" t="s">
        <v>32</v>
      </c>
      <c r="C62">
        <v>1755873034</v>
      </c>
      <c r="D62" t="s">
        <v>25</v>
      </c>
      <c r="E62" t="s">
        <v>21</v>
      </c>
      <c r="F62" t="s">
        <v>124</v>
      </c>
      <c r="G62" s="8">
        <v>0.52600000000000002</v>
      </c>
      <c r="H62" s="25">
        <v>3.33</v>
      </c>
    </row>
    <row r="63" spans="1:8" x14ac:dyDescent="0.25">
      <c r="A63">
        <v>202604</v>
      </c>
      <c r="B63" t="s">
        <v>32</v>
      </c>
      <c r="C63">
        <v>1755887507</v>
      </c>
      <c r="D63" t="s">
        <v>20</v>
      </c>
      <c r="E63" t="s">
        <v>26</v>
      </c>
      <c r="F63" t="s">
        <v>134</v>
      </c>
      <c r="G63" s="8">
        <v>1.5826499999999999</v>
      </c>
      <c r="H63" s="25">
        <v>0.2</v>
      </c>
    </row>
    <row r="64" spans="1:8" x14ac:dyDescent="0.25">
      <c r="A64">
        <v>202604</v>
      </c>
      <c r="B64" t="s">
        <v>32</v>
      </c>
      <c r="C64">
        <v>1755888449</v>
      </c>
      <c r="D64" t="s">
        <v>25</v>
      </c>
      <c r="E64" t="s">
        <v>21</v>
      </c>
      <c r="F64" t="s">
        <v>141</v>
      </c>
      <c r="G64" s="8">
        <v>20</v>
      </c>
      <c r="H64" s="25">
        <v>0.39</v>
      </c>
    </row>
    <row r="65" spans="1:8" x14ac:dyDescent="0.25">
      <c r="A65">
        <v>202604</v>
      </c>
      <c r="B65" t="s">
        <v>34</v>
      </c>
      <c r="C65">
        <v>1751400395</v>
      </c>
      <c r="D65" t="s">
        <v>20</v>
      </c>
      <c r="E65" t="s">
        <v>26</v>
      </c>
      <c r="F65" t="s">
        <v>135</v>
      </c>
      <c r="G65" s="8">
        <v>0.34320000000000001</v>
      </c>
      <c r="H65" s="25">
        <v>3.94</v>
      </c>
    </row>
    <row r="66" spans="1:8" x14ac:dyDescent="0.25">
      <c r="A66">
        <v>202604</v>
      </c>
      <c r="B66" t="s">
        <v>34</v>
      </c>
      <c r="C66">
        <v>1755736908</v>
      </c>
      <c r="D66" t="s">
        <v>25</v>
      </c>
      <c r="E66" t="s">
        <v>37</v>
      </c>
      <c r="F66" t="s">
        <v>136</v>
      </c>
      <c r="G66" s="8">
        <v>9.1002300000000008E-2</v>
      </c>
      <c r="H66" s="25">
        <v>10.42</v>
      </c>
    </row>
    <row r="67" spans="1:8" x14ac:dyDescent="0.25">
      <c r="A67">
        <v>202604</v>
      </c>
      <c r="B67" t="s">
        <v>34</v>
      </c>
      <c r="C67">
        <v>1755737700</v>
      </c>
      <c r="D67" t="s">
        <v>25</v>
      </c>
      <c r="E67" t="s">
        <v>37</v>
      </c>
      <c r="F67" t="s">
        <v>136</v>
      </c>
      <c r="G67" s="8">
        <v>0.10800053999999999</v>
      </c>
      <c r="H67" s="25">
        <v>10.37</v>
      </c>
    </row>
    <row r="68" spans="1:8" x14ac:dyDescent="0.25">
      <c r="A68">
        <v>202604</v>
      </c>
      <c r="B68" t="s">
        <v>34</v>
      </c>
      <c r="C68">
        <v>1755849290</v>
      </c>
      <c r="D68" t="s">
        <v>25</v>
      </c>
      <c r="E68" t="s">
        <v>26</v>
      </c>
      <c r="F68" t="s">
        <v>137</v>
      </c>
      <c r="G68" s="8">
        <v>1.46</v>
      </c>
      <c r="H68" s="25">
        <v>0.5</v>
      </c>
    </row>
    <row r="69" spans="1:8" x14ac:dyDescent="0.25">
      <c r="A69">
        <v>202604</v>
      </c>
      <c r="B69" t="s">
        <v>95</v>
      </c>
      <c r="C69">
        <v>1755662858</v>
      </c>
      <c r="D69" t="s">
        <v>20</v>
      </c>
      <c r="E69" t="s">
        <v>26</v>
      </c>
      <c r="F69" t="s">
        <v>117</v>
      </c>
      <c r="G69" s="8">
        <v>0.67600000000000005</v>
      </c>
      <c r="H69" s="25">
        <v>1.2</v>
      </c>
    </row>
    <row r="70" spans="1:8" x14ac:dyDescent="0.25">
      <c r="A70">
        <v>202604</v>
      </c>
      <c r="B70" t="s">
        <v>95</v>
      </c>
      <c r="C70">
        <v>1755717512</v>
      </c>
      <c r="D70" t="s">
        <v>20</v>
      </c>
      <c r="E70" t="s">
        <v>26</v>
      </c>
      <c r="F70" t="s">
        <v>117</v>
      </c>
      <c r="G70" s="8">
        <v>0.27448</v>
      </c>
      <c r="H70" s="25">
        <v>1.2</v>
      </c>
    </row>
    <row r="71" spans="1:8" x14ac:dyDescent="0.25">
      <c r="A71">
        <v>202604</v>
      </c>
      <c r="B71" t="s">
        <v>95</v>
      </c>
      <c r="C71">
        <v>1755717570</v>
      </c>
      <c r="D71" t="s">
        <v>20</v>
      </c>
      <c r="E71" t="s">
        <v>26</v>
      </c>
      <c r="F71" t="s">
        <v>117</v>
      </c>
      <c r="G71" s="8">
        <v>0.68620000000000003</v>
      </c>
      <c r="H71" s="25">
        <v>1.2</v>
      </c>
    </row>
    <row r="72" spans="1:8" x14ac:dyDescent="0.25">
      <c r="A72">
        <v>202604</v>
      </c>
      <c r="B72" t="s">
        <v>95</v>
      </c>
      <c r="C72">
        <v>1755722280</v>
      </c>
      <c r="D72" t="s">
        <v>20</v>
      </c>
      <c r="E72" t="s">
        <v>26</v>
      </c>
      <c r="F72" t="s">
        <v>117</v>
      </c>
      <c r="G72" s="8">
        <v>0.68620000000000003</v>
      </c>
      <c r="H72" s="25">
        <v>1.2</v>
      </c>
    </row>
    <row r="73" spans="1:8" x14ac:dyDescent="0.25">
      <c r="A73">
        <v>202604</v>
      </c>
      <c r="B73" t="s">
        <v>95</v>
      </c>
      <c r="C73">
        <v>1755725914</v>
      </c>
      <c r="D73" t="s">
        <v>20</v>
      </c>
      <c r="E73" t="s">
        <v>26</v>
      </c>
      <c r="F73" t="s">
        <v>117</v>
      </c>
      <c r="G73" s="8">
        <v>0.34320000000000001</v>
      </c>
      <c r="H73" s="25">
        <v>1.2</v>
      </c>
    </row>
    <row r="74" spans="1:8" x14ac:dyDescent="0.25">
      <c r="A74">
        <v>202604</v>
      </c>
      <c r="B74" t="s">
        <v>95</v>
      </c>
      <c r="C74">
        <v>1755774702</v>
      </c>
      <c r="D74" t="s">
        <v>20</v>
      </c>
      <c r="E74" t="s">
        <v>26</v>
      </c>
      <c r="F74" t="s">
        <v>119</v>
      </c>
      <c r="G74" s="8">
        <v>1.5466500000000001</v>
      </c>
      <c r="H74" s="25">
        <v>0.2</v>
      </c>
    </row>
    <row r="75" spans="1:8" x14ac:dyDescent="0.25">
      <c r="A75">
        <v>202604</v>
      </c>
      <c r="B75" t="s">
        <v>95</v>
      </c>
      <c r="C75">
        <v>1755778244</v>
      </c>
      <c r="D75" t="s">
        <v>20</v>
      </c>
      <c r="E75" t="s">
        <v>26</v>
      </c>
      <c r="F75" t="s">
        <v>138</v>
      </c>
      <c r="G75" s="8">
        <v>0.53585887919999997</v>
      </c>
      <c r="H75" s="25">
        <v>2.35</v>
      </c>
    </row>
    <row r="76" spans="1:8" x14ac:dyDescent="0.25">
      <c r="A76">
        <v>202604</v>
      </c>
      <c r="B76" t="s">
        <v>95</v>
      </c>
      <c r="C76">
        <v>1755802960</v>
      </c>
      <c r="D76" t="s">
        <v>25</v>
      </c>
      <c r="E76" t="s">
        <v>26</v>
      </c>
      <c r="F76" t="s">
        <v>139</v>
      </c>
      <c r="G76" s="8">
        <v>2</v>
      </c>
      <c r="H76" s="25">
        <v>1.1499999999999999</v>
      </c>
    </row>
    <row r="77" spans="1:8" x14ac:dyDescent="0.25">
      <c r="A77">
        <v>202604</v>
      </c>
      <c r="B77" t="s">
        <v>95</v>
      </c>
      <c r="C77">
        <v>1755867050</v>
      </c>
      <c r="D77" t="s">
        <v>20</v>
      </c>
      <c r="E77" t="s">
        <v>26</v>
      </c>
      <c r="F77" t="s">
        <v>120</v>
      </c>
      <c r="G77" s="8">
        <v>0.35160000000000002</v>
      </c>
      <c r="H77" s="25">
        <v>4.6900000000000004</v>
      </c>
    </row>
    <row r="78" spans="1:8" x14ac:dyDescent="0.25">
      <c r="A78">
        <v>202604</v>
      </c>
      <c r="B78" t="s">
        <v>95</v>
      </c>
      <c r="C78">
        <v>1755868189</v>
      </c>
      <c r="D78" t="s">
        <v>25</v>
      </c>
      <c r="E78" t="s">
        <v>21</v>
      </c>
      <c r="F78" t="s">
        <v>140</v>
      </c>
      <c r="G78" s="8">
        <v>7.5</v>
      </c>
      <c r="H78" s="25">
        <v>0.49</v>
      </c>
    </row>
    <row r="79" spans="1:8" x14ac:dyDescent="0.25">
      <c r="A79">
        <v>202604</v>
      </c>
      <c r="B79" t="s">
        <v>95</v>
      </c>
      <c r="C79">
        <v>1755878230</v>
      </c>
      <c r="D79" t="s">
        <v>25</v>
      </c>
      <c r="E79" t="s">
        <v>26</v>
      </c>
      <c r="F79" t="s">
        <v>121</v>
      </c>
      <c r="G79" s="8">
        <v>1.337364</v>
      </c>
      <c r="H79" s="25">
        <v>0.5</v>
      </c>
    </row>
    <row r="80" spans="1:8" x14ac:dyDescent="0.25">
      <c r="A80">
        <v>202604</v>
      </c>
      <c r="B80" t="s">
        <v>27</v>
      </c>
      <c r="C80">
        <v>1755662726</v>
      </c>
      <c r="D80" t="s">
        <v>20</v>
      </c>
      <c r="E80" t="s">
        <v>26</v>
      </c>
      <c r="F80" t="s">
        <v>142</v>
      </c>
      <c r="G80" s="8">
        <v>2.7040000000000002</v>
      </c>
      <c r="H80" s="25">
        <v>3.95</v>
      </c>
    </row>
    <row r="81" spans="1:8" x14ac:dyDescent="0.25">
      <c r="A81">
        <v>202604</v>
      </c>
      <c r="B81" t="s">
        <v>27</v>
      </c>
      <c r="C81">
        <v>1755673230</v>
      </c>
      <c r="D81" t="s">
        <v>20</v>
      </c>
      <c r="E81" t="s">
        <v>26</v>
      </c>
      <c r="F81" t="s">
        <v>142</v>
      </c>
      <c r="G81" s="8">
        <v>2.0291999999999999</v>
      </c>
      <c r="H81" s="25">
        <v>3.95</v>
      </c>
    </row>
    <row r="82" spans="1:8" x14ac:dyDescent="0.25">
      <c r="A82">
        <v>202604</v>
      </c>
      <c r="B82" t="s">
        <v>27</v>
      </c>
      <c r="C82">
        <v>1755726510</v>
      </c>
      <c r="D82" t="s">
        <v>20</v>
      </c>
      <c r="E82" t="s">
        <v>21</v>
      </c>
      <c r="F82" t="s">
        <v>143</v>
      </c>
      <c r="G82" s="8">
        <v>4.6675199999999997</v>
      </c>
      <c r="H82" s="25">
        <v>1.1499999999999999</v>
      </c>
    </row>
    <row r="83" spans="1:8" x14ac:dyDescent="0.25">
      <c r="A83">
        <v>202604</v>
      </c>
      <c r="B83" t="s">
        <v>27</v>
      </c>
      <c r="C83">
        <v>1755742843</v>
      </c>
      <c r="D83" t="s">
        <v>20</v>
      </c>
      <c r="E83" t="s">
        <v>26</v>
      </c>
      <c r="F83" t="s">
        <v>144</v>
      </c>
      <c r="G83" s="8">
        <v>0.25859422385999997</v>
      </c>
      <c r="H83" s="25">
        <v>2.8</v>
      </c>
    </row>
    <row r="84" spans="1:8" x14ac:dyDescent="0.25">
      <c r="A84">
        <v>202604</v>
      </c>
      <c r="B84" t="s">
        <v>27</v>
      </c>
      <c r="C84">
        <v>1755768389</v>
      </c>
      <c r="D84" t="s">
        <v>25</v>
      </c>
      <c r="E84" t="s">
        <v>21</v>
      </c>
      <c r="F84" t="s">
        <v>145</v>
      </c>
      <c r="G84" s="8">
        <v>2.2000000000000002</v>
      </c>
      <c r="H84" s="25">
        <v>0.5</v>
      </c>
    </row>
    <row r="85" spans="1:8" x14ac:dyDescent="0.25">
      <c r="A85">
        <v>202604</v>
      </c>
      <c r="B85" t="s">
        <v>27</v>
      </c>
      <c r="C85">
        <v>1755799720</v>
      </c>
      <c r="D85" t="s">
        <v>20</v>
      </c>
      <c r="E85" t="s">
        <v>26</v>
      </c>
      <c r="F85" t="s">
        <v>144</v>
      </c>
      <c r="G85" s="8">
        <v>0.1834038408</v>
      </c>
      <c r="H85" s="25">
        <v>2.75</v>
      </c>
    </row>
    <row r="86" spans="1:8" x14ac:dyDescent="0.25">
      <c r="A86">
        <v>202604</v>
      </c>
      <c r="B86" t="s">
        <v>39</v>
      </c>
      <c r="C86">
        <v>1751403912</v>
      </c>
      <c r="D86" t="s">
        <v>20</v>
      </c>
      <c r="E86" t="s">
        <v>21</v>
      </c>
      <c r="F86" t="s">
        <v>49</v>
      </c>
      <c r="G86" s="8">
        <v>0.24024000000000001</v>
      </c>
      <c r="H86" s="25">
        <v>6.15</v>
      </c>
    </row>
    <row r="87" spans="1:8" x14ac:dyDescent="0.25">
      <c r="A87">
        <v>202604</v>
      </c>
      <c r="B87" t="s">
        <v>39</v>
      </c>
      <c r="C87">
        <v>1751417018</v>
      </c>
      <c r="D87" t="s">
        <v>20</v>
      </c>
      <c r="E87" t="s">
        <v>37</v>
      </c>
      <c r="F87" t="s">
        <v>50</v>
      </c>
      <c r="G87" s="8">
        <v>0.30089354270000002</v>
      </c>
      <c r="H87" s="25">
        <v>2.7</v>
      </c>
    </row>
    <row r="88" spans="1:8" x14ac:dyDescent="0.25">
      <c r="A88">
        <v>202604</v>
      </c>
      <c r="B88" t="s">
        <v>39</v>
      </c>
      <c r="C88">
        <v>1755672632</v>
      </c>
      <c r="D88" t="s">
        <v>25</v>
      </c>
      <c r="E88" t="s">
        <v>21</v>
      </c>
      <c r="F88" t="s">
        <v>51</v>
      </c>
      <c r="G88" s="8">
        <v>1</v>
      </c>
      <c r="H88" s="25">
        <v>1</v>
      </c>
    </row>
    <row r="89" spans="1:8" x14ac:dyDescent="0.25">
      <c r="A89">
        <v>202604</v>
      </c>
      <c r="B89" t="s">
        <v>39</v>
      </c>
      <c r="C89">
        <v>1755678967</v>
      </c>
      <c r="D89" t="s">
        <v>20</v>
      </c>
      <c r="E89" t="s">
        <v>26</v>
      </c>
      <c r="F89" t="s">
        <v>52</v>
      </c>
      <c r="G89" s="8">
        <v>1.6910000000000001</v>
      </c>
      <c r="H89" s="25">
        <v>0.6</v>
      </c>
    </row>
    <row r="90" spans="1:8" x14ac:dyDescent="0.25">
      <c r="A90">
        <v>202604</v>
      </c>
      <c r="B90" t="s">
        <v>39</v>
      </c>
      <c r="C90">
        <v>1755819994</v>
      </c>
      <c r="D90" t="s">
        <v>20</v>
      </c>
      <c r="E90" t="s">
        <v>26</v>
      </c>
      <c r="F90" t="s">
        <v>52</v>
      </c>
      <c r="G90" s="8">
        <v>1.7364999999999999</v>
      </c>
      <c r="H90" s="25">
        <v>0.6</v>
      </c>
    </row>
    <row r="91" spans="1:8" x14ac:dyDescent="0.25">
      <c r="A91">
        <v>202604</v>
      </c>
      <c r="B91" t="s">
        <v>39</v>
      </c>
      <c r="C91">
        <v>1755867662</v>
      </c>
      <c r="D91" t="s">
        <v>20</v>
      </c>
      <c r="E91" t="s">
        <v>26</v>
      </c>
      <c r="F91" t="s">
        <v>53</v>
      </c>
      <c r="G91" s="8">
        <v>5.274</v>
      </c>
      <c r="H91" s="25">
        <v>0.61</v>
      </c>
    </row>
    <row r="92" spans="1:8" x14ac:dyDescent="0.25">
      <c r="A92">
        <v>202604</v>
      </c>
      <c r="B92" t="s">
        <v>39</v>
      </c>
      <c r="C92">
        <v>1755874995</v>
      </c>
      <c r="D92" t="s">
        <v>20</v>
      </c>
      <c r="E92" t="s">
        <v>26</v>
      </c>
      <c r="F92" t="s">
        <v>52</v>
      </c>
      <c r="G92" s="8">
        <v>0.88175000000000003</v>
      </c>
      <c r="H92" s="25">
        <v>0.6</v>
      </c>
    </row>
    <row r="93" spans="1:8" x14ac:dyDescent="0.25">
      <c r="A93">
        <v>202604</v>
      </c>
      <c r="B93" t="s">
        <v>39</v>
      </c>
      <c r="C93">
        <v>1755878540</v>
      </c>
      <c r="D93" t="s">
        <v>25</v>
      </c>
      <c r="E93" t="s">
        <v>21</v>
      </c>
      <c r="F93" t="s">
        <v>54</v>
      </c>
      <c r="G93" s="8">
        <v>0.1</v>
      </c>
      <c r="H93" s="25">
        <v>2.2000000000000002</v>
      </c>
    </row>
    <row r="94" spans="1:8" x14ac:dyDescent="0.25">
      <c r="A94">
        <v>202604</v>
      </c>
      <c r="B94" t="s">
        <v>39</v>
      </c>
      <c r="C94">
        <v>1755883870</v>
      </c>
      <c r="D94" t="s">
        <v>20</v>
      </c>
      <c r="E94" t="s">
        <v>21</v>
      </c>
      <c r="F94" t="s">
        <v>52</v>
      </c>
      <c r="G94" s="8">
        <v>1.7585</v>
      </c>
      <c r="H94" s="25">
        <v>0.6</v>
      </c>
    </row>
    <row r="95" spans="1:8" x14ac:dyDescent="0.25">
      <c r="A95">
        <v>202604</v>
      </c>
      <c r="B95" t="s">
        <v>39</v>
      </c>
      <c r="C95">
        <v>1755890036</v>
      </c>
      <c r="D95" t="s">
        <v>20</v>
      </c>
      <c r="E95" t="s">
        <v>21</v>
      </c>
      <c r="F95" t="s">
        <v>55</v>
      </c>
      <c r="G95" s="8">
        <v>0.70340000000000003</v>
      </c>
      <c r="H95" s="25">
        <v>1.1000000000000001</v>
      </c>
    </row>
    <row r="96" spans="1:8" x14ac:dyDescent="0.25">
      <c r="A96">
        <v>202604</v>
      </c>
      <c r="B96" t="s">
        <v>39</v>
      </c>
      <c r="C96">
        <v>1755890087</v>
      </c>
      <c r="D96" t="s">
        <v>20</v>
      </c>
      <c r="E96" t="s">
        <v>21</v>
      </c>
      <c r="F96" t="s">
        <v>55</v>
      </c>
      <c r="G96" s="8">
        <v>0.70340000000000003</v>
      </c>
      <c r="H96" s="25">
        <v>1.1000000000000001</v>
      </c>
    </row>
    <row r="97" spans="1:8" x14ac:dyDescent="0.25">
      <c r="A97">
        <v>202604</v>
      </c>
      <c r="B97" t="s">
        <v>39</v>
      </c>
      <c r="C97">
        <v>1755895150</v>
      </c>
      <c r="D97" t="s">
        <v>25</v>
      </c>
      <c r="E97" t="s">
        <v>37</v>
      </c>
      <c r="F97" t="s">
        <v>50</v>
      </c>
      <c r="G97" s="8">
        <v>0.18401207999999999</v>
      </c>
      <c r="H97" s="25">
        <v>2.5499999999999998</v>
      </c>
    </row>
    <row r="98" spans="1:8" x14ac:dyDescent="0.25">
      <c r="A98">
        <v>202604</v>
      </c>
      <c r="B98" t="s">
        <v>39</v>
      </c>
      <c r="C98">
        <v>1755895194</v>
      </c>
      <c r="D98" t="s">
        <v>20</v>
      </c>
      <c r="E98" t="s">
        <v>37</v>
      </c>
      <c r="F98" t="s">
        <v>50</v>
      </c>
      <c r="G98" s="8">
        <v>0.26908292674000001</v>
      </c>
      <c r="H98" s="25">
        <v>1.9</v>
      </c>
    </row>
    <row r="99" spans="1:8" x14ac:dyDescent="0.25">
      <c r="A99">
        <v>202604</v>
      </c>
      <c r="B99" t="s">
        <v>40</v>
      </c>
      <c r="C99">
        <v>1751390357</v>
      </c>
      <c r="D99" t="s">
        <v>20</v>
      </c>
      <c r="E99" t="s">
        <v>26</v>
      </c>
      <c r="F99" t="s">
        <v>56</v>
      </c>
      <c r="G99" s="8">
        <v>0.27495999999999998</v>
      </c>
      <c r="H99" s="25">
        <v>5.55</v>
      </c>
    </row>
    <row r="100" spans="1:8" x14ac:dyDescent="0.25">
      <c r="A100">
        <v>202604</v>
      </c>
      <c r="B100" t="s">
        <v>40</v>
      </c>
      <c r="C100">
        <v>1751416224</v>
      </c>
      <c r="D100" t="s">
        <v>25</v>
      </c>
      <c r="E100" t="s">
        <v>26</v>
      </c>
      <c r="F100" t="s">
        <v>57</v>
      </c>
      <c r="G100" s="8">
        <v>0.05</v>
      </c>
      <c r="H100" s="25">
        <v>4.43</v>
      </c>
    </row>
    <row r="101" spans="1:8" x14ac:dyDescent="0.25">
      <c r="A101">
        <v>202604</v>
      </c>
      <c r="B101" t="s">
        <v>40</v>
      </c>
      <c r="C101">
        <v>1751416313</v>
      </c>
      <c r="D101" t="s">
        <v>25</v>
      </c>
      <c r="E101" t="s">
        <v>26</v>
      </c>
      <c r="F101" t="s">
        <v>57</v>
      </c>
      <c r="G101" s="8">
        <v>6.5000000000000002E-2</v>
      </c>
      <c r="H101" s="25">
        <v>4.18</v>
      </c>
    </row>
    <row r="102" spans="1:8" x14ac:dyDescent="0.25">
      <c r="A102">
        <v>202604</v>
      </c>
      <c r="B102" t="s">
        <v>40</v>
      </c>
      <c r="C102">
        <v>1751416330</v>
      </c>
      <c r="D102" t="s">
        <v>25</v>
      </c>
      <c r="E102" t="s">
        <v>26</v>
      </c>
      <c r="F102" t="s">
        <v>57</v>
      </c>
      <c r="G102" s="8">
        <v>5.5E-2</v>
      </c>
      <c r="H102" s="25">
        <v>4.18</v>
      </c>
    </row>
    <row r="103" spans="1:8" x14ac:dyDescent="0.25">
      <c r="A103">
        <v>202604</v>
      </c>
      <c r="B103" t="s">
        <v>40</v>
      </c>
      <c r="C103">
        <v>1755674783</v>
      </c>
      <c r="D103" t="s">
        <v>20</v>
      </c>
      <c r="E103" t="s">
        <v>26</v>
      </c>
      <c r="F103" t="s">
        <v>58</v>
      </c>
      <c r="G103" s="8">
        <v>1.5219</v>
      </c>
      <c r="H103" s="25">
        <v>1.9</v>
      </c>
    </row>
    <row r="104" spans="1:8" x14ac:dyDescent="0.25">
      <c r="A104">
        <v>202604</v>
      </c>
      <c r="B104" t="s">
        <v>40</v>
      </c>
      <c r="C104">
        <v>1755674848</v>
      </c>
      <c r="D104" t="s">
        <v>20</v>
      </c>
      <c r="E104" t="s">
        <v>26</v>
      </c>
      <c r="F104" t="s">
        <v>58</v>
      </c>
      <c r="G104" s="8">
        <v>1.8601000000000001</v>
      </c>
      <c r="H104" s="25">
        <v>1.9</v>
      </c>
    </row>
    <row r="105" spans="1:8" x14ac:dyDescent="0.25">
      <c r="A105">
        <v>202604</v>
      </c>
      <c r="B105" t="s">
        <v>40</v>
      </c>
      <c r="C105">
        <v>1755713096</v>
      </c>
      <c r="D105" t="s">
        <v>25</v>
      </c>
      <c r="E105" t="s">
        <v>26</v>
      </c>
      <c r="F105" t="s">
        <v>57</v>
      </c>
      <c r="G105" s="8">
        <v>3.7999999999999999E-2</v>
      </c>
      <c r="H105" s="25">
        <v>4.25</v>
      </c>
    </row>
    <row r="106" spans="1:8" x14ac:dyDescent="0.25">
      <c r="A106">
        <v>202604</v>
      </c>
      <c r="B106" t="s">
        <v>40</v>
      </c>
      <c r="C106">
        <v>1755713126</v>
      </c>
      <c r="D106" t="s">
        <v>25</v>
      </c>
      <c r="E106" t="s">
        <v>26</v>
      </c>
      <c r="F106" t="s">
        <v>57</v>
      </c>
      <c r="G106" s="8">
        <v>0.05</v>
      </c>
      <c r="H106" s="25">
        <v>4.25</v>
      </c>
    </row>
    <row r="107" spans="1:8" x14ac:dyDescent="0.25">
      <c r="A107">
        <v>202604</v>
      </c>
      <c r="B107" t="s">
        <v>40</v>
      </c>
      <c r="C107">
        <v>1755713207</v>
      </c>
      <c r="D107" t="s">
        <v>25</v>
      </c>
      <c r="E107" t="s">
        <v>26</v>
      </c>
      <c r="F107" t="s">
        <v>57</v>
      </c>
      <c r="G107" s="8">
        <v>3.5999999999999997E-2</v>
      </c>
      <c r="H107" s="25">
        <v>4.5</v>
      </c>
    </row>
    <row r="108" spans="1:8" x14ac:dyDescent="0.25">
      <c r="A108">
        <v>202604</v>
      </c>
      <c r="B108" t="s">
        <v>40</v>
      </c>
      <c r="C108">
        <v>1755733290</v>
      </c>
      <c r="D108" t="s">
        <v>25</v>
      </c>
      <c r="E108" t="s">
        <v>37</v>
      </c>
      <c r="F108" t="s">
        <v>59</v>
      </c>
      <c r="G108" s="8">
        <v>0.58905801000000002</v>
      </c>
      <c r="H108" s="25">
        <v>0.95</v>
      </c>
    </row>
    <row r="109" spans="1:8" x14ac:dyDescent="0.25">
      <c r="A109">
        <v>202604</v>
      </c>
      <c r="B109" t="s">
        <v>40</v>
      </c>
      <c r="C109">
        <v>1755754582</v>
      </c>
      <c r="D109" t="s">
        <v>25</v>
      </c>
      <c r="E109" t="s">
        <v>26</v>
      </c>
      <c r="F109" t="s">
        <v>57</v>
      </c>
      <c r="G109" s="8">
        <v>6.0999999999999999E-2</v>
      </c>
      <c r="H109" s="25">
        <v>4.5</v>
      </c>
    </row>
    <row r="110" spans="1:8" x14ac:dyDescent="0.25">
      <c r="A110">
        <v>202604</v>
      </c>
      <c r="B110" t="s">
        <v>40</v>
      </c>
      <c r="C110">
        <v>1755754639</v>
      </c>
      <c r="D110" t="s">
        <v>25</v>
      </c>
      <c r="E110" t="s">
        <v>26</v>
      </c>
      <c r="F110" t="s">
        <v>57</v>
      </c>
      <c r="G110" s="8">
        <v>6.6000000000000003E-2</v>
      </c>
      <c r="H110" s="25">
        <v>4.25</v>
      </c>
    </row>
    <row r="111" spans="1:8" x14ac:dyDescent="0.25">
      <c r="A111">
        <v>202604</v>
      </c>
      <c r="B111" t="s">
        <v>40</v>
      </c>
      <c r="C111">
        <v>1755754698</v>
      </c>
      <c r="D111" t="s">
        <v>25</v>
      </c>
      <c r="E111" t="s">
        <v>26</v>
      </c>
      <c r="F111" t="s">
        <v>57</v>
      </c>
      <c r="G111" s="8">
        <v>3.5000000000000003E-2</v>
      </c>
      <c r="H111" s="25">
        <v>4.25</v>
      </c>
    </row>
    <row r="112" spans="1:8" x14ac:dyDescent="0.25">
      <c r="A112">
        <v>202604</v>
      </c>
      <c r="B112" t="s">
        <v>40</v>
      </c>
      <c r="C112">
        <v>1755764260</v>
      </c>
      <c r="D112" t="s">
        <v>20</v>
      </c>
      <c r="E112" t="s">
        <v>26</v>
      </c>
      <c r="F112" t="s">
        <v>60</v>
      </c>
      <c r="G112" s="8">
        <v>0.30658569000000002</v>
      </c>
      <c r="H112" s="25">
        <v>0.7</v>
      </c>
    </row>
    <row r="113" spans="1:8" x14ac:dyDescent="0.25">
      <c r="A113">
        <v>202604</v>
      </c>
      <c r="B113" t="s">
        <v>40</v>
      </c>
      <c r="C113">
        <v>1755776250</v>
      </c>
      <c r="D113" t="s">
        <v>20</v>
      </c>
      <c r="E113" t="s">
        <v>37</v>
      </c>
      <c r="F113" t="s">
        <v>60</v>
      </c>
      <c r="G113" s="8">
        <v>0.72129954399999996</v>
      </c>
      <c r="H113" s="25">
        <v>0.51</v>
      </c>
    </row>
    <row r="114" spans="1:8" x14ac:dyDescent="0.25">
      <c r="A114">
        <v>202604</v>
      </c>
      <c r="B114" t="s">
        <v>40</v>
      </c>
      <c r="C114">
        <v>1755783639</v>
      </c>
      <c r="D114" t="s">
        <v>20</v>
      </c>
      <c r="E114" t="s">
        <v>26</v>
      </c>
      <c r="F114" t="s">
        <v>56</v>
      </c>
      <c r="G114" s="8">
        <v>0.34399999999999997</v>
      </c>
      <c r="H114" s="25">
        <v>5.55</v>
      </c>
    </row>
    <row r="115" spans="1:8" x14ac:dyDescent="0.25">
      <c r="A115">
        <v>202604</v>
      </c>
      <c r="B115" t="s">
        <v>40</v>
      </c>
      <c r="C115">
        <v>1755815130</v>
      </c>
      <c r="D115" t="s">
        <v>25</v>
      </c>
      <c r="E115" t="s">
        <v>26</v>
      </c>
      <c r="F115" t="s">
        <v>61</v>
      </c>
      <c r="G115" s="8">
        <v>0.25</v>
      </c>
      <c r="H115" s="25">
        <v>4.8</v>
      </c>
    </row>
    <row r="116" spans="1:8" x14ac:dyDescent="0.25">
      <c r="A116">
        <v>202604</v>
      </c>
      <c r="B116" t="s">
        <v>40</v>
      </c>
      <c r="C116">
        <v>1755849320</v>
      </c>
      <c r="D116" t="s">
        <v>25</v>
      </c>
      <c r="E116" t="s">
        <v>26</v>
      </c>
      <c r="F116" t="s">
        <v>57</v>
      </c>
      <c r="G116" s="8">
        <v>3.9E-2</v>
      </c>
      <c r="H116" s="25">
        <v>4.5</v>
      </c>
    </row>
    <row r="117" spans="1:8" x14ac:dyDescent="0.25">
      <c r="A117">
        <v>202604</v>
      </c>
      <c r="B117" t="s">
        <v>40</v>
      </c>
      <c r="C117">
        <v>1755849443</v>
      </c>
      <c r="D117" t="s">
        <v>25</v>
      </c>
      <c r="E117" t="s">
        <v>26</v>
      </c>
      <c r="F117" t="s">
        <v>57</v>
      </c>
      <c r="G117" s="8">
        <v>4.1000000000000002E-2</v>
      </c>
      <c r="H117" s="25">
        <v>4.25</v>
      </c>
    </row>
    <row r="118" spans="1:8" x14ac:dyDescent="0.25">
      <c r="A118">
        <v>202604</v>
      </c>
      <c r="B118" t="s">
        <v>40</v>
      </c>
      <c r="C118">
        <v>1755849540</v>
      </c>
      <c r="D118" t="s">
        <v>25</v>
      </c>
      <c r="E118" t="s">
        <v>26</v>
      </c>
      <c r="F118" t="s">
        <v>57</v>
      </c>
      <c r="G118" s="8">
        <v>0.06</v>
      </c>
      <c r="H118" s="25">
        <v>4.25</v>
      </c>
    </row>
    <row r="119" spans="1:8" x14ac:dyDescent="0.25">
      <c r="A119">
        <v>202604</v>
      </c>
      <c r="B119" t="s">
        <v>40</v>
      </c>
      <c r="C119">
        <v>1755862539</v>
      </c>
      <c r="D119" t="s">
        <v>20</v>
      </c>
      <c r="E119" t="s">
        <v>26</v>
      </c>
      <c r="F119" t="s">
        <v>62</v>
      </c>
      <c r="G119" s="8">
        <v>0.28127999999999997</v>
      </c>
      <c r="H119" s="25">
        <v>2.35</v>
      </c>
    </row>
    <row r="120" spans="1:8" x14ac:dyDescent="0.25">
      <c r="A120">
        <v>202604</v>
      </c>
      <c r="B120" t="s">
        <v>40</v>
      </c>
      <c r="C120">
        <v>1755867972</v>
      </c>
      <c r="D120" t="s">
        <v>20</v>
      </c>
      <c r="E120" t="s">
        <v>26</v>
      </c>
      <c r="F120" t="s">
        <v>63</v>
      </c>
      <c r="G120" s="8">
        <v>0.17580000000000001</v>
      </c>
      <c r="H120" s="25">
        <v>4.9000000000000004</v>
      </c>
    </row>
    <row r="121" spans="1:8" x14ac:dyDescent="0.25">
      <c r="A121">
        <v>202604</v>
      </c>
      <c r="B121" t="s">
        <v>40</v>
      </c>
      <c r="C121">
        <v>1755868383</v>
      </c>
      <c r="D121" t="s">
        <v>25</v>
      </c>
      <c r="E121" t="s">
        <v>37</v>
      </c>
      <c r="F121" t="s">
        <v>64</v>
      </c>
      <c r="G121" s="8">
        <v>0.13717810999999999</v>
      </c>
      <c r="H121" s="25">
        <v>2.5499999999999998</v>
      </c>
    </row>
    <row r="122" spans="1:8" x14ac:dyDescent="0.25">
      <c r="A122">
        <v>202604</v>
      </c>
      <c r="B122" t="s">
        <v>40</v>
      </c>
      <c r="C122">
        <v>1755868413</v>
      </c>
      <c r="D122" t="s">
        <v>20</v>
      </c>
      <c r="E122" t="s">
        <v>26</v>
      </c>
      <c r="F122" t="s">
        <v>65</v>
      </c>
      <c r="G122" s="8">
        <v>0.879</v>
      </c>
      <c r="H122" s="25">
        <v>1.3</v>
      </c>
    </row>
    <row r="123" spans="1:8" x14ac:dyDescent="0.25">
      <c r="A123">
        <v>202604</v>
      </c>
      <c r="B123" t="s">
        <v>40</v>
      </c>
      <c r="C123">
        <v>1755870272</v>
      </c>
      <c r="D123" t="s">
        <v>20</v>
      </c>
      <c r="E123" t="s">
        <v>26</v>
      </c>
      <c r="F123" t="s">
        <v>62</v>
      </c>
      <c r="G123" s="8">
        <v>0.24689</v>
      </c>
      <c r="H123" s="25">
        <v>2.35</v>
      </c>
    </row>
    <row r="124" spans="1:8" x14ac:dyDescent="0.25">
      <c r="A124">
        <v>202604</v>
      </c>
      <c r="B124" t="s">
        <v>40</v>
      </c>
      <c r="C124">
        <v>1755871058</v>
      </c>
      <c r="D124" t="s">
        <v>25</v>
      </c>
      <c r="E124" t="s">
        <v>26</v>
      </c>
      <c r="F124" t="s">
        <v>57</v>
      </c>
      <c r="G124" s="8">
        <v>0.03</v>
      </c>
      <c r="H124" s="25">
        <v>4.25</v>
      </c>
    </row>
    <row r="125" spans="1:8" x14ac:dyDescent="0.25">
      <c r="A125">
        <v>202604</v>
      </c>
      <c r="B125" t="s">
        <v>40</v>
      </c>
      <c r="C125">
        <v>1755871287</v>
      </c>
      <c r="D125" t="s">
        <v>25</v>
      </c>
      <c r="E125" t="s">
        <v>26</v>
      </c>
      <c r="F125" t="s">
        <v>57</v>
      </c>
      <c r="G125" s="8">
        <v>3.5000000000000003E-2</v>
      </c>
      <c r="H125" s="25">
        <v>4.25</v>
      </c>
    </row>
    <row r="126" spans="1:8" x14ac:dyDescent="0.25">
      <c r="A126">
        <v>202604</v>
      </c>
      <c r="B126" t="s">
        <v>40</v>
      </c>
      <c r="C126">
        <v>1755871317</v>
      </c>
      <c r="D126" t="s">
        <v>25</v>
      </c>
      <c r="E126" t="s">
        <v>26</v>
      </c>
      <c r="F126" t="s">
        <v>57</v>
      </c>
      <c r="G126" s="8">
        <v>3.6999999999999998E-2</v>
      </c>
      <c r="H126" s="25">
        <v>4.25</v>
      </c>
    </row>
    <row r="127" spans="1:8" x14ac:dyDescent="0.25">
      <c r="A127">
        <v>202604</v>
      </c>
      <c r="B127" t="s">
        <v>40</v>
      </c>
      <c r="C127">
        <v>1755879075</v>
      </c>
      <c r="D127" t="s">
        <v>20</v>
      </c>
      <c r="E127" t="s">
        <v>21</v>
      </c>
      <c r="F127" t="s">
        <v>66</v>
      </c>
      <c r="G127" s="8">
        <v>0.10581</v>
      </c>
      <c r="H127" s="25">
        <v>5.65</v>
      </c>
    </row>
    <row r="128" spans="1:8" x14ac:dyDescent="0.25">
      <c r="A128">
        <v>202604</v>
      </c>
      <c r="B128" t="s">
        <v>40</v>
      </c>
      <c r="C128">
        <v>1755879105</v>
      </c>
      <c r="D128" t="s">
        <v>20</v>
      </c>
      <c r="E128" t="s">
        <v>21</v>
      </c>
      <c r="F128" t="s">
        <v>66</v>
      </c>
      <c r="G128" s="8">
        <v>0.10581</v>
      </c>
      <c r="H128" s="25">
        <v>5.65</v>
      </c>
    </row>
    <row r="129" spans="1:8" x14ac:dyDescent="0.25">
      <c r="A129">
        <v>202604</v>
      </c>
      <c r="B129" t="s">
        <v>40</v>
      </c>
      <c r="C129">
        <v>1755879120</v>
      </c>
      <c r="D129" t="s">
        <v>20</v>
      </c>
      <c r="E129" t="s">
        <v>21</v>
      </c>
      <c r="F129" t="s">
        <v>66</v>
      </c>
      <c r="G129" s="8">
        <v>0.10581</v>
      </c>
      <c r="H129" s="25">
        <v>5.65</v>
      </c>
    </row>
    <row r="130" spans="1:8" x14ac:dyDescent="0.25">
      <c r="A130">
        <v>202604</v>
      </c>
      <c r="B130" t="s">
        <v>40</v>
      </c>
      <c r="C130">
        <v>1755879156</v>
      </c>
      <c r="D130" t="s">
        <v>20</v>
      </c>
      <c r="E130" t="s">
        <v>21</v>
      </c>
      <c r="F130" t="s">
        <v>66</v>
      </c>
      <c r="G130" s="8">
        <v>3.5270000000000003E-2</v>
      </c>
      <c r="H130" s="25">
        <v>5.65</v>
      </c>
    </row>
    <row r="131" spans="1:8" x14ac:dyDescent="0.25">
      <c r="A131">
        <v>202604</v>
      </c>
      <c r="B131" t="s">
        <v>40</v>
      </c>
      <c r="C131">
        <v>1755881680</v>
      </c>
      <c r="D131" t="s">
        <v>25</v>
      </c>
      <c r="E131" t="s">
        <v>26</v>
      </c>
      <c r="F131" t="s">
        <v>57</v>
      </c>
      <c r="G131" s="8">
        <v>6.8000000000000005E-2</v>
      </c>
      <c r="H131" s="25">
        <v>4</v>
      </c>
    </row>
    <row r="132" spans="1:8" x14ac:dyDescent="0.25">
      <c r="A132">
        <v>202604</v>
      </c>
      <c r="B132" t="s">
        <v>40</v>
      </c>
      <c r="C132">
        <v>1755881843</v>
      </c>
      <c r="D132" t="s">
        <v>25</v>
      </c>
      <c r="E132" t="s">
        <v>26</v>
      </c>
      <c r="F132" t="s">
        <v>57</v>
      </c>
      <c r="G132" s="8">
        <v>7.0000000000000007E-2</v>
      </c>
      <c r="H132" s="25">
        <v>4</v>
      </c>
    </row>
    <row r="133" spans="1:8" x14ac:dyDescent="0.25">
      <c r="A133">
        <v>202604</v>
      </c>
      <c r="B133" t="s">
        <v>40</v>
      </c>
      <c r="C133">
        <v>1755881894</v>
      </c>
      <c r="D133" t="s">
        <v>25</v>
      </c>
      <c r="E133" t="s">
        <v>26</v>
      </c>
      <c r="F133" t="s">
        <v>57</v>
      </c>
      <c r="G133" s="8">
        <v>7.1999999999999995E-2</v>
      </c>
      <c r="H133" s="25">
        <v>3.75</v>
      </c>
    </row>
    <row r="134" spans="1:8" x14ac:dyDescent="0.25">
      <c r="A134">
        <v>202604</v>
      </c>
      <c r="B134" t="s">
        <v>40</v>
      </c>
      <c r="C134">
        <v>1755881924</v>
      </c>
      <c r="D134" t="s">
        <v>25</v>
      </c>
      <c r="E134" t="s">
        <v>26</v>
      </c>
      <c r="F134" t="s">
        <v>57</v>
      </c>
      <c r="G134" s="8">
        <v>0.14000000000000001</v>
      </c>
      <c r="H134" s="25">
        <v>3.75</v>
      </c>
    </row>
    <row r="135" spans="1:8" x14ac:dyDescent="0.25">
      <c r="A135">
        <v>202604</v>
      </c>
      <c r="B135" t="s">
        <v>40</v>
      </c>
      <c r="C135">
        <v>1755895402</v>
      </c>
      <c r="D135" t="s">
        <v>20</v>
      </c>
      <c r="E135" t="s">
        <v>37</v>
      </c>
      <c r="F135" t="s">
        <v>60</v>
      </c>
      <c r="G135" s="8">
        <v>0.49396919162000003</v>
      </c>
      <c r="H135" s="25">
        <v>1.2</v>
      </c>
    </row>
    <row r="136" spans="1:8" x14ac:dyDescent="0.25">
      <c r="A136">
        <v>202604</v>
      </c>
      <c r="B136" t="s">
        <v>41</v>
      </c>
      <c r="C136">
        <v>1751372057</v>
      </c>
      <c r="D136" t="s">
        <v>20</v>
      </c>
      <c r="E136" t="s">
        <v>21</v>
      </c>
      <c r="F136" t="s">
        <v>146</v>
      </c>
      <c r="G136" s="8">
        <v>0.10473</v>
      </c>
      <c r="H136" s="25">
        <v>8</v>
      </c>
    </row>
    <row r="137" spans="1:8" x14ac:dyDescent="0.25">
      <c r="A137">
        <v>202604</v>
      </c>
      <c r="B137" t="s">
        <v>41</v>
      </c>
      <c r="C137">
        <v>1755674538</v>
      </c>
      <c r="D137" t="s">
        <v>25</v>
      </c>
      <c r="E137" t="s">
        <v>26</v>
      </c>
      <c r="F137" t="s">
        <v>148</v>
      </c>
      <c r="G137" s="8">
        <v>0.43172500000000003</v>
      </c>
      <c r="H137" s="25">
        <v>3.19</v>
      </c>
    </row>
    <row r="138" spans="1:8" x14ac:dyDescent="0.25">
      <c r="A138">
        <v>202604</v>
      </c>
      <c r="B138" t="s">
        <v>41</v>
      </c>
      <c r="C138">
        <v>1755732902</v>
      </c>
      <c r="D138" t="s">
        <v>20</v>
      </c>
      <c r="E138" t="s">
        <v>67</v>
      </c>
      <c r="F138" t="s">
        <v>146</v>
      </c>
      <c r="G138" s="8">
        <v>0.85799999999999998</v>
      </c>
      <c r="H138" s="25">
        <v>6.1</v>
      </c>
    </row>
    <row r="139" spans="1:8" x14ac:dyDescent="0.25">
      <c r="A139">
        <v>202604</v>
      </c>
      <c r="B139" t="s">
        <v>41</v>
      </c>
      <c r="C139">
        <v>1755771169</v>
      </c>
      <c r="D139" t="s">
        <v>20</v>
      </c>
      <c r="E139" t="s">
        <v>26</v>
      </c>
      <c r="F139" t="s">
        <v>149</v>
      </c>
      <c r="G139" s="8">
        <v>2.0621999999999998</v>
      </c>
      <c r="H139" s="25">
        <v>1.45</v>
      </c>
    </row>
    <row r="140" spans="1:8" x14ac:dyDescent="0.25">
      <c r="A140">
        <v>202604</v>
      </c>
      <c r="B140" t="s">
        <v>41</v>
      </c>
      <c r="C140">
        <v>1755771894</v>
      </c>
      <c r="D140" t="s">
        <v>20</v>
      </c>
      <c r="E140" t="s">
        <v>21</v>
      </c>
      <c r="F140" t="s">
        <v>149</v>
      </c>
      <c r="G140" s="8">
        <v>0.34370000000000001</v>
      </c>
      <c r="H140" s="25">
        <v>1.45</v>
      </c>
    </row>
    <row r="141" spans="1:8" x14ac:dyDescent="0.25">
      <c r="A141">
        <v>202604</v>
      </c>
      <c r="B141" t="s">
        <v>41</v>
      </c>
      <c r="C141">
        <v>1755771959</v>
      </c>
      <c r="D141" t="s">
        <v>20</v>
      </c>
      <c r="E141" t="s">
        <v>21</v>
      </c>
      <c r="F141" t="s">
        <v>146</v>
      </c>
      <c r="G141" s="8">
        <v>0.29970640000000004</v>
      </c>
      <c r="H141" s="25">
        <v>7.95</v>
      </c>
    </row>
    <row r="142" spans="1:8" x14ac:dyDescent="0.25">
      <c r="A142">
        <v>202604</v>
      </c>
      <c r="B142" t="s">
        <v>41</v>
      </c>
      <c r="C142">
        <v>1755784694</v>
      </c>
      <c r="D142" t="s">
        <v>20</v>
      </c>
      <c r="E142" t="s">
        <v>21</v>
      </c>
      <c r="F142" t="s">
        <v>147</v>
      </c>
      <c r="G142" s="8">
        <v>1.72</v>
      </c>
      <c r="H142" s="25">
        <v>1.98</v>
      </c>
    </row>
    <row r="143" spans="1:8" x14ac:dyDescent="0.25">
      <c r="A143">
        <v>202604</v>
      </c>
      <c r="B143" t="s">
        <v>41</v>
      </c>
      <c r="C143">
        <v>1755818343</v>
      </c>
      <c r="D143" t="s">
        <v>25</v>
      </c>
      <c r="E143" t="s">
        <v>26</v>
      </c>
      <c r="F143" t="s">
        <v>148</v>
      </c>
      <c r="G143" s="8">
        <v>0.21465699999999999</v>
      </c>
      <c r="H143" s="25">
        <v>3.45</v>
      </c>
    </row>
    <row r="144" spans="1:8" x14ac:dyDescent="0.25">
      <c r="A144">
        <v>202604</v>
      </c>
      <c r="B144" t="s">
        <v>41</v>
      </c>
      <c r="C144">
        <v>1755884370</v>
      </c>
      <c r="D144" t="s">
        <v>25</v>
      </c>
      <c r="E144" t="s">
        <v>37</v>
      </c>
      <c r="F144" t="s">
        <v>150</v>
      </c>
      <c r="G144" s="8">
        <v>0.31010367</v>
      </c>
      <c r="H144" s="25">
        <v>6.55</v>
      </c>
    </row>
    <row r="145" spans="1:8" x14ac:dyDescent="0.25">
      <c r="A145">
        <v>202604</v>
      </c>
      <c r="B145" t="s">
        <v>43</v>
      </c>
      <c r="C145">
        <v>1755675828</v>
      </c>
      <c r="D145" t="s">
        <v>20</v>
      </c>
      <c r="E145" t="s">
        <v>26</v>
      </c>
      <c r="F145" t="s">
        <v>151</v>
      </c>
      <c r="G145" s="8">
        <v>0.3382</v>
      </c>
      <c r="H145" s="25">
        <v>3.9</v>
      </c>
    </row>
    <row r="146" spans="1:8" x14ac:dyDescent="0.25">
      <c r="A146">
        <v>202604</v>
      </c>
      <c r="B146" t="s">
        <v>43</v>
      </c>
      <c r="C146">
        <v>1755878460</v>
      </c>
      <c r="D146" t="s">
        <v>20</v>
      </c>
      <c r="E146" t="s">
        <v>67</v>
      </c>
      <c r="F146" t="s">
        <v>152</v>
      </c>
      <c r="G146" s="8">
        <v>0.22745623000000001</v>
      </c>
      <c r="H146" s="25">
        <v>1.5</v>
      </c>
    </row>
    <row r="147" spans="1:8" x14ac:dyDescent="0.25">
      <c r="A147">
        <v>202604</v>
      </c>
      <c r="B147" t="s">
        <v>35</v>
      </c>
      <c r="C147">
        <v>1755820453</v>
      </c>
      <c r="D147" t="s">
        <v>20</v>
      </c>
      <c r="E147" t="s">
        <v>26</v>
      </c>
      <c r="F147" t="s">
        <v>153</v>
      </c>
      <c r="G147" s="8">
        <v>0.350773</v>
      </c>
      <c r="H147" s="25">
        <v>5</v>
      </c>
    </row>
    <row r="148" spans="1:8" x14ac:dyDescent="0.25">
      <c r="A148">
        <v>202604</v>
      </c>
      <c r="B148" t="s">
        <v>35</v>
      </c>
      <c r="C148">
        <v>1755848595</v>
      </c>
      <c r="D148" t="s">
        <v>20</v>
      </c>
      <c r="E148" t="s">
        <v>21</v>
      </c>
      <c r="F148" t="s">
        <v>154</v>
      </c>
      <c r="G148" s="8">
        <v>1.7524999999999999</v>
      </c>
      <c r="H148" s="25">
        <v>3.8</v>
      </c>
    </row>
    <row r="149" spans="1:8" x14ac:dyDescent="0.25">
      <c r="A149">
        <v>202604</v>
      </c>
      <c r="B149" t="s">
        <v>35</v>
      </c>
      <c r="C149">
        <v>1755888635</v>
      </c>
      <c r="D149" t="s">
        <v>20</v>
      </c>
      <c r="E149" t="s">
        <v>21</v>
      </c>
      <c r="F149" t="s">
        <v>155</v>
      </c>
      <c r="G149" s="8">
        <v>2.1101999999999999</v>
      </c>
      <c r="H149" s="25">
        <v>2.52</v>
      </c>
    </row>
    <row r="150" spans="1:8" x14ac:dyDescent="0.25">
      <c r="A150">
        <v>202604</v>
      </c>
      <c r="B150" t="s">
        <v>35</v>
      </c>
      <c r="C150">
        <v>1755891687</v>
      </c>
      <c r="D150" t="s">
        <v>20</v>
      </c>
      <c r="E150" t="s">
        <v>26</v>
      </c>
      <c r="F150" t="s">
        <v>156</v>
      </c>
      <c r="G150" s="8">
        <v>1.4068000000000001</v>
      </c>
      <c r="H150" s="25">
        <v>2.5499999999999998</v>
      </c>
    </row>
    <row r="151" spans="1:8" x14ac:dyDescent="0.25">
      <c r="A151">
        <v>202604</v>
      </c>
      <c r="B151" t="s">
        <v>36</v>
      </c>
      <c r="C151">
        <v>1751388476</v>
      </c>
      <c r="D151" t="s">
        <v>25</v>
      </c>
      <c r="E151" t="s">
        <v>21</v>
      </c>
      <c r="F151" t="s">
        <v>157</v>
      </c>
      <c r="G151" s="8">
        <v>0.22</v>
      </c>
      <c r="H151" s="25">
        <v>3.6</v>
      </c>
    </row>
    <row r="152" spans="1:8" x14ac:dyDescent="0.25">
      <c r="A152">
        <v>202604</v>
      </c>
      <c r="B152" t="s">
        <v>36</v>
      </c>
      <c r="C152">
        <v>1751388610</v>
      </c>
      <c r="D152" t="s">
        <v>25</v>
      </c>
      <c r="E152" t="s">
        <v>21</v>
      </c>
      <c r="F152" t="s">
        <v>157</v>
      </c>
      <c r="G152" s="8">
        <v>0.14899999999999999</v>
      </c>
      <c r="H152" s="25">
        <v>3.6</v>
      </c>
    </row>
    <row r="153" spans="1:8" x14ac:dyDescent="0.25">
      <c r="A153">
        <v>202604</v>
      </c>
      <c r="B153" t="s">
        <v>36</v>
      </c>
      <c r="C153">
        <v>1751388654</v>
      </c>
      <c r="D153" t="s">
        <v>25</v>
      </c>
      <c r="E153" t="s">
        <v>21</v>
      </c>
      <c r="F153" t="s">
        <v>157</v>
      </c>
      <c r="G153" s="8">
        <v>0.25</v>
      </c>
      <c r="H153" s="25">
        <v>3.6</v>
      </c>
    </row>
    <row r="154" spans="1:8" x14ac:dyDescent="0.25">
      <c r="A154">
        <v>202604</v>
      </c>
      <c r="B154" t="s">
        <v>36</v>
      </c>
      <c r="C154">
        <v>1751396118</v>
      </c>
      <c r="D154" t="s">
        <v>20</v>
      </c>
      <c r="E154" t="s">
        <v>21</v>
      </c>
      <c r="F154" t="s">
        <v>158</v>
      </c>
      <c r="G154" s="8">
        <v>0.367759</v>
      </c>
      <c r="H154" s="25">
        <v>5.15</v>
      </c>
    </row>
    <row r="155" spans="1:8" x14ac:dyDescent="0.25">
      <c r="A155">
        <v>202604</v>
      </c>
      <c r="B155" t="s">
        <v>36</v>
      </c>
      <c r="C155">
        <v>1751417239</v>
      </c>
      <c r="D155" t="s">
        <v>25</v>
      </c>
      <c r="E155" t="s">
        <v>21</v>
      </c>
      <c r="F155" t="s">
        <v>159</v>
      </c>
      <c r="G155" s="8">
        <v>0.34</v>
      </c>
      <c r="H155" s="25">
        <v>1.3</v>
      </c>
    </row>
    <row r="156" spans="1:8" x14ac:dyDescent="0.25">
      <c r="A156">
        <v>202604</v>
      </c>
      <c r="B156" t="s">
        <v>36</v>
      </c>
      <c r="C156">
        <v>1755670280</v>
      </c>
      <c r="D156" t="s">
        <v>20</v>
      </c>
      <c r="E156" t="s">
        <v>21</v>
      </c>
      <c r="F156" t="s">
        <v>158</v>
      </c>
      <c r="G156" s="8">
        <v>0.38893</v>
      </c>
      <c r="H156" s="25">
        <v>5.15</v>
      </c>
    </row>
    <row r="157" spans="1:8" x14ac:dyDescent="0.25">
      <c r="A157">
        <v>202604</v>
      </c>
      <c r="B157" t="s">
        <v>36</v>
      </c>
      <c r="C157">
        <v>1755691130</v>
      </c>
      <c r="D157" t="s">
        <v>25</v>
      </c>
      <c r="E157" t="s">
        <v>21</v>
      </c>
      <c r="F157" t="s">
        <v>160</v>
      </c>
      <c r="G157" s="8">
        <v>0.15</v>
      </c>
      <c r="H157" s="25">
        <v>3.65</v>
      </c>
    </row>
    <row r="158" spans="1:8" x14ac:dyDescent="0.25">
      <c r="A158">
        <v>202604</v>
      </c>
      <c r="B158" t="s">
        <v>36</v>
      </c>
      <c r="C158">
        <v>1755697350</v>
      </c>
      <c r="D158" t="s">
        <v>25</v>
      </c>
      <c r="E158" t="s">
        <v>21</v>
      </c>
      <c r="F158" t="s">
        <v>161</v>
      </c>
      <c r="G158" s="8">
        <v>0.161</v>
      </c>
      <c r="H158" s="25">
        <v>4.55</v>
      </c>
    </row>
    <row r="159" spans="1:8" x14ac:dyDescent="0.25">
      <c r="A159">
        <v>202604</v>
      </c>
      <c r="B159" t="s">
        <v>36</v>
      </c>
      <c r="C159">
        <v>1755707436</v>
      </c>
      <c r="D159" t="s">
        <v>20</v>
      </c>
      <c r="E159" t="s">
        <v>21</v>
      </c>
      <c r="F159" t="s">
        <v>162</v>
      </c>
      <c r="G159" s="8">
        <v>1.347628</v>
      </c>
      <c r="H159" s="25">
        <v>1.1000000000000001</v>
      </c>
    </row>
    <row r="160" spans="1:8" x14ac:dyDescent="0.25">
      <c r="A160">
        <v>202604</v>
      </c>
      <c r="B160" t="s">
        <v>36</v>
      </c>
      <c r="C160">
        <v>1755710739</v>
      </c>
      <c r="D160" t="s">
        <v>25</v>
      </c>
      <c r="E160" t="s">
        <v>21</v>
      </c>
      <c r="F160" t="s">
        <v>163</v>
      </c>
      <c r="G160" s="8">
        <v>1.6</v>
      </c>
      <c r="H160" s="25">
        <v>1.7</v>
      </c>
    </row>
    <row r="161" spans="1:8" x14ac:dyDescent="0.25">
      <c r="A161">
        <v>202604</v>
      </c>
      <c r="B161" t="s">
        <v>36</v>
      </c>
      <c r="C161">
        <v>1755755406</v>
      </c>
      <c r="D161" t="s">
        <v>25</v>
      </c>
      <c r="E161" t="s">
        <v>21</v>
      </c>
      <c r="F161" t="s">
        <v>160</v>
      </c>
      <c r="G161" s="8">
        <v>0.18</v>
      </c>
      <c r="H161" s="25">
        <v>3.65</v>
      </c>
    </row>
    <row r="162" spans="1:8" x14ac:dyDescent="0.25">
      <c r="A162">
        <v>202604</v>
      </c>
      <c r="B162" t="s">
        <v>36</v>
      </c>
      <c r="C162">
        <v>1755770073</v>
      </c>
      <c r="D162" t="s">
        <v>25</v>
      </c>
      <c r="E162" t="s">
        <v>21</v>
      </c>
      <c r="F162" t="s">
        <v>164</v>
      </c>
      <c r="G162" s="8">
        <v>0.4</v>
      </c>
      <c r="H162" s="25">
        <v>1</v>
      </c>
    </row>
    <row r="163" spans="1:8" x14ac:dyDescent="0.25">
      <c r="A163">
        <v>202604</v>
      </c>
      <c r="B163" t="s">
        <v>36</v>
      </c>
      <c r="C163">
        <v>1755779097</v>
      </c>
      <c r="D163" t="s">
        <v>20</v>
      </c>
      <c r="E163" t="s">
        <v>26</v>
      </c>
      <c r="F163" t="s">
        <v>165</v>
      </c>
      <c r="G163" s="8">
        <v>0.35432000000000002</v>
      </c>
      <c r="H163" s="25">
        <v>3.5</v>
      </c>
    </row>
    <row r="164" spans="1:8" x14ac:dyDescent="0.25">
      <c r="A164">
        <v>202604</v>
      </c>
      <c r="B164" t="s">
        <v>36</v>
      </c>
      <c r="C164">
        <v>1755779623</v>
      </c>
      <c r="D164" t="s">
        <v>25</v>
      </c>
      <c r="E164" t="s">
        <v>21</v>
      </c>
      <c r="F164" t="s">
        <v>166</v>
      </c>
      <c r="G164" s="8">
        <v>1</v>
      </c>
      <c r="H164" s="25">
        <v>0.7</v>
      </c>
    </row>
    <row r="165" spans="1:8" x14ac:dyDescent="0.25">
      <c r="A165">
        <v>202604</v>
      </c>
      <c r="B165" t="s">
        <v>36</v>
      </c>
      <c r="C165">
        <v>1755781008</v>
      </c>
      <c r="D165" t="s">
        <v>25</v>
      </c>
      <c r="E165" t="s">
        <v>21</v>
      </c>
      <c r="F165" t="s">
        <v>167</v>
      </c>
      <c r="G165" s="8">
        <v>0.15</v>
      </c>
      <c r="H165" s="25">
        <v>8.1999999999999993</v>
      </c>
    </row>
    <row r="166" spans="1:8" x14ac:dyDescent="0.25">
      <c r="A166">
        <v>202604</v>
      </c>
      <c r="B166" t="s">
        <v>36</v>
      </c>
      <c r="C166">
        <v>1755816730</v>
      </c>
      <c r="D166" t="s">
        <v>20</v>
      </c>
      <c r="E166" t="s">
        <v>26</v>
      </c>
      <c r="F166" t="s">
        <v>165</v>
      </c>
      <c r="G166" s="8">
        <v>0.41676000000000002</v>
      </c>
      <c r="H166" s="25">
        <v>3.5</v>
      </c>
    </row>
    <row r="167" spans="1:8" x14ac:dyDescent="0.25">
      <c r="A167">
        <v>202604</v>
      </c>
      <c r="B167" t="s">
        <v>36</v>
      </c>
      <c r="C167">
        <v>1755820615</v>
      </c>
      <c r="D167" t="s">
        <v>20</v>
      </c>
      <c r="E167" t="s">
        <v>26</v>
      </c>
      <c r="F167" t="s">
        <v>168</v>
      </c>
      <c r="G167" s="8">
        <v>6.9459999999999997</v>
      </c>
      <c r="H167" s="25">
        <v>0.2</v>
      </c>
    </row>
    <row r="168" spans="1:8" x14ac:dyDescent="0.25">
      <c r="A168">
        <v>202604</v>
      </c>
      <c r="B168" t="s">
        <v>36</v>
      </c>
      <c r="C168">
        <v>1755849760</v>
      </c>
      <c r="D168" t="s">
        <v>25</v>
      </c>
      <c r="E168" t="s">
        <v>21</v>
      </c>
      <c r="F168" t="s">
        <v>160</v>
      </c>
      <c r="G168" s="8">
        <v>0.2</v>
      </c>
      <c r="H168" s="25">
        <v>3.65</v>
      </c>
    </row>
    <row r="169" spans="1:8" x14ac:dyDescent="0.25">
      <c r="A169">
        <v>202604</v>
      </c>
      <c r="B169" t="s">
        <v>36</v>
      </c>
      <c r="C169">
        <v>1755863357</v>
      </c>
      <c r="D169" t="s">
        <v>25</v>
      </c>
      <c r="E169" t="s">
        <v>21</v>
      </c>
      <c r="F169" t="s">
        <v>169</v>
      </c>
      <c r="G169" s="8">
        <v>0.35</v>
      </c>
      <c r="H169" s="25">
        <v>1.55</v>
      </c>
    </row>
    <row r="170" spans="1:8" x14ac:dyDescent="0.25">
      <c r="A170">
        <v>202604</v>
      </c>
      <c r="B170" t="s">
        <v>36</v>
      </c>
      <c r="C170">
        <v>1755863446</v>
      </c>
      <c r="D170" t="s">
        <v>25</v>
      </c>
      <c r="E170" t="s">
        <v>21</v>
      </c>
      <c r="F170" t="s">
        <v>169</v>
      </c>
      <c r="G170" s="8">
        <v>0.35</v>
      </c>
      <c r="H170" s="25">
        <v>1.55</v>
      </c>
    </row>
    <row r="171" spans="1:8" x14ac:dyDescent="0.25">
      <c r="A171">
        <v>202604</v>
      </c>
      <c r="B171" t="s">
        <v>36</v>
      </c>
      <c r="C171">
        <v>1755891296</v>
      </c>
      <c r="D171" t="s">
        <v>20</v>
      </c>
      <c r="E171" t="s">
        <v>26</v>
      </c>
      <c r="F171" t="s">
        <v>165</v>
      </c>
      <c r="G171" s="8">
        <v>0.42204000000000003</v>
      </c>
      <c r="H171" s="25">
        <v>3.5</v>
      </c>
    </row>
    <row r="172" spans="1:8" x14ac:dyDescent="0.25">
      <c r="A172">
        <v>202604</v>
      </c>
      <c r="B172" t="s">
        <v>45</v>
      </c>
      <c r="C172">
        <v>1751416160</v>
      </c>
      <c r="D172" t="s">
        <v>25</v>
      </c>
      <c r="E172" t="s">
        <v>21</v>
      </c>
      <c r="F172" t="s">
        <v>170</v>
      </c>
      <c r="G172" s="8">
        <v>1</v>
      </c>
      <c r="H172" s="25">
        <v>1.1000000000000001</v>
      </c>
    </row>
    <row r="173" spans="1:8" x14ac:dyDescent="0.25">
      <c r="A173">
        <v>202604</v>
      </c>
      <c r="B173" t="s">
        <v>45</v>
      </c>
      <c r="C173">
        <v>1751416488</v>
      </c>
      <c r="D173" t="s">
        <v>25</v>
      </c>
      <c r="E173" t="s">
        <v>21</v>
      </c>
      <c r="F173" t="s">
        <v>170</v>
      </c>
      <c r="G173" s="8">
        <v>1</v>
      </c>
      <c r="H173" s="25">
        <v>1.1000000000000001</v>
      </c>
    </row>
    <row r="174" spans="1:8" x14ac:dyDescent="0.25">
      <c r="A174">
        <v>202604</v>
      </c>
      <c r="B174" t="s">
        <v>45</v>
      </c>
      <c r="C174">
        <v>1755658125</v>
      </c>
      <c r="D174" t="s">
        <v>25</v>
      </c>
      <c r="E174" t="s">
        <v>21</v>
      </c>
      <c r="F174" t="s">
        <v>170</v>
      </c>
      <c r="G174" s="8">
        <v>0.26700000000000002</v>
      </c>
      <c r="H174" s="25">
        <v>1.05</v>
      </c>
    </row>
    <row r="175" spans="1:8" x14ac:dyDescent="0.25">
      <c r="A175">
        <v>202604</v>
      </c>
      <c r="B175" t="s">
        <v>45</v>
      </c>
      <c r="C175">
        <v>1755714440</v>
      </c>
      <c r="D175" t="s">
        <v>25</v>
      </c>
      <c r="E175" t="s">
        <v>21</v>
      </c>
      <c r="F175" t="s">
        <v>170</v>
      </c>
      <c r="G175" s="8">
        <v>0.5</v>
      </c>
      <c r="H175" s="25">
        <v>1.1000000000000001</v>
      </c>
    </row>
    <row r="176" spans="1:8" x14ac:dyDescent="0.25">
      <c r="A176">
        <v>202604</v>
      </c>
      <c r="B176" t="s">
        <v>45</v>
      </c>
      <c r="C176">
        <v>1755726783</v>
      </c>
      <c r="D176" t="s">
        <v>25</v>
      </c>
      <c r="E176" t="s">
        <v>21</v>
      </c>
      <c r="F176" t="s">
        <v>170</v>
      </c>
      <c r="G176" s="8">
        <v>1.4</v>
      </c>
      <c r="H176" s="25">
        <v>1.1000000000000001</v>
      </c>
    </row>
    <row r="177" spans="1:8" x14ac:dyDescent="0.25">
      <c r="A177">
        <v>202604</v>
      </c>
      <c r="B177" t="s">
        <v>45</v>
      </c>
      <c r="C177">
        <v>1755726929</v>
      </c>
      <c r="D177" t="s">
        <v>25</v>
      </c>
      <c r="E177" t="s">
        <v>21</v>
      </c>
      <c r="F177" t="s">
        <v>170</v>
      </c>
      <c r="G177" s="8">
        <v>1.4</v>
      </c>
      <c r="H177" s="25">
        <v>1.1000000000000001</v>
      </c>
    </row>
    <row r="178" spans="1:8" x14ac:dyDescent="0.25">
      <c r="A178">
        <v>202604</v>
      </c>
      <c r="B178" t="s">
        <v>45</v>
      </c>
      <c r="C178">
        <v>1755728468</v>
      </c>
      <c r="D178" t="s">
        <v>25</v>
      </c>
      <c r="E178" t="s">
        <v>21</v>
      </c>
      <c r="F178" t="s">
        <v>171</v>
      </c>
      <c r="G178" s="8">
        <v>1</v>
      </c>
      <c r="H178" s="25">
        <v>1.1000000000000001</v>
      </c>
    </row>
    <row r="179" spans="1:8" x14ac:dyDescent="0.25">
      <c r="A179">
        <v>202604</v>
      </c>
      <c r="B179" t="s">
        <v>29</v>
      </c>
      <c r="C179">
        <v>1751370290</v>
      </c>
      <c r="D179" t="s">
        <v>25</v>
      </c>
      <c r="E179" t="s">
        <v>21</v>
      </c>
      <c r="F179" t="s">
        <v>172</v>
      </c>
      <c r="G179" s="8">
        <v>3</v>
      </c>
      <c r="H179" s="25">
        <v>4.1500000000000004</v>
      </c>
    </row>
    <row r="180" spans="1:8" x14ac:dyDescent="0.25">
      <c r="A180">
        <v>202604</v>
      </c>
      <c r="B180" t="s">
        <v>29</v>
      </c>
      <c r="C180">
        <v>1755664079</v>
      </c>
      <c r="D180" t="s">
        <v>20</v>
      </c>
      <c r="E180" t="s">
        <v>21</v>
      </c>
      <c r="F180" t="s">
        <v>173</v>
      </c>
      <c r="G180" s="8">
        <v>2.5350000000000001</v>
      </c>
      <c r="H180" s="25">
        <v>4.7</v>
      </c>
    </row>
    <row r="181" spans="1:8" x14ac:dyDescent="0.25">
      <c r="A181">
        <v>202604</v>
      </c>
      <c r="B181" t="s">
        <v>29</v>
      </c>
      <c r="C181">
        <v>1755752598</v>
      </c>
      <c r="D181" t="s">
        <v>20</v>
      </c>
      <c r="E181" t="s">
        <v>67</v>
      </c>
      <c r="F181" t="s">
        <v>174</v>
      </c>
      <c r="G181" s="8">
        <v>0.94833599999999996</v>
      </c>
      <c r="H181" s="25">
        <v>0.2752</v>
      </c>
    </row>
    <row r="182" spans="1:8" x14ac:dyDescent="0.25">
      <c r="A182">
        <v>202604</v>
      </c>
      <c r="B182" t="s">
        <v>29</v>
      </c>
      <c r="C182">
        <v>1755755510</v>
      </c>
      <c r="D182" t="s">
        <v>25</v>
      </c>
      <c r="E182" t="s">
        <v>21</v>
      </c>
      <c r="F182" t="s">
        <v>175</v>
      </c>
      <c r="G182" s="8">
        <v>3.77</v>
      </c>
      <c r="H182" s="25">
        <v>2.2999999999999998</v>
      </c>
    </row>
    <row r="183" spans="1:8" x14ac:dyDescent="0.25">
      <c r="A183">
        <v>202604</v>
      </c>
      <c r="B183" t="s">
        <v>29</v>
      </c>
      <c r="C183">
        <v>1755763506</v>
      </c>
      <c r="D183" t="s">
        <v>25</v>
      </c>
      <c r="E183" t="s">
        <v>21</v>
      </c>
      <c r="F183" t="s">
        <v>172</v>
      </c>
      <c r="G183" s="8">
        <v>0.7</v>
      </c>
      <c r="H183" s="25">
        <v>4.55</v>
      </c>
    </row>
    <row r="184" spans="1:8" x14ac:dyDescent="0.25">
      <c r="A184">
        <v>202604</v>
      </c>
      <c r="B184" t="s">
        <v>29</v>
      </c>
      <c r="C184">
        <v>1755771665</v>
      </c>
      <c r="D184" t="s">
        <v>20</v>
      </c>
      <c r="E184" t="s">
        <v>26</v>
      </c>
      <c r="F184" t="s">
        <v>176</v>
      </c>
      <c r="G184" s="8">
        <v>2.0759479999999999</v>
      </c>
      <c r="H184" s="25">
        <v>0.6</v>
      </c>
    </row>
    <row r="185" spans="1:8" x14ac:dyDescent="0.25">
      <c r="A185">
        <v>202604</v>
      </c>
      <c r="B185" t="s">
        <v>29</v>
      </c>
      <c r="C185">
        <v>1755774753</v>
      </c>
      <c r="D185" t="s">
        <v>25</v>
      </c>
      <c r="E185" t="s">
        <v>37</v>
      </c>
      <c r="F185" t="s">
        <v>177</v>
      </c>
      <c r="G185" s="8">
        <v>0.20520526</v>
      </c>
      <c r="H185" s="25">
        <v>2.95</v>
      </c>
    </row>
    <row r="186" spans="1:8" x14ac:dyDescent="0.25">
      <c r="A186">
        <v>202604</v>
      </c>
      <c r="B186" t="s">
        <v>29</v>
      </c>
      <c r="C186">
        <v>1755799896</v>
      </c>
      <c r="D186" t="s">
        <v>20</v>
      </c>
      <c r="E186" t="s">
        <v>26</v>
      </c>
      <c r="F186" t="s">
        <v>178</v>
      </c>
      <c r="G186" s="8">
        <v>1.72</v>
      </c>
      <c r="H186" s="25">
        <v>0.6</v>
      </c>
    </row>
    <row r="187" spans="1:8" x14ac:dyDescent="0.25">
      <c r="A187">
        <v>202604</v>
      </c>
      <c r="B187" t="s">
        <v>29</v>
      </c>
      <c r="C187">
        <v>1755809719</v>
      </c>
      <c r="D187" t="s">
        <v>25</v>
      </c>
      <c r="E187" t="s">
        <v>21</v>
      </c>
      <c r="F187" t="s">
        <v>179</v>
      </c>
      <c r="G187" s="8">
        <v>1</v>
      </c>
      <c r="H187" s="25">
        <v>3.55</v>
      </c>
    </row>
    <row r="188" spans="1:8" x14ac:dyDescent="0.25">
      <c r="A188">
        <v>202604</v>
      </c>
      <c r="B188" t="s">
        <v>29</v>
      </c>
      <c r="C188">
        <v>1755813929</v>
      </c>
      <c r="D188" t="s">
        <v>25</v>
      </c>
      <c r="E188" t="s">
        <v>26</v>
      </c>
      <c r="F188" t="s">
        <v>180</v>
      </c>
      <c r="G188" s="8">
        <v>0.69491250999999998</v>
      </c>
      <c r="H188" s="25">
        <v>4.1500000000000004</v>
      </c>
    </row>
    <row r="189" spans="1:8" x14ac:dyDescent="0.25">
      <c r="A189">
        <v>202604</v>
      </c>
      <c r="B189" t="s">
        <v>29</v>
      </c>
      <c r="C189">
        <v>1755814224</v>
      </c>
      <c r="D189" t="s">
        <v>20</v>
      </c>
      <c r="E189" t="s">
        <v>21</v>
      </c>
      <c r="F189" t="s">
        <v>181</v>
      </c>
      <c r="G189" s="8">
        <v>6.9459999999999997</v>
      </c>
      <c r="H189" s="25">
        <v>0.25</v>
      </c>
    </row>
    <row r="190" spans="1:8" x14ac:dyDescent="0.25">
      <c r="A190">
        <v>202604</v>
      </c>
      <c r="B190" t="s">
        <v>29</v>
      </c>
      <c r="C190">
        <v>1755866895</v>
      </c>
      <c r="D190" t="s">
        <v>20</v>
      </c>
      <c r="E190" t="s">
        <v>21</v>
      </c>
      <c r="F190" t="s">
        <v>181</v>
      </c>
      <c r="G190" s="8">
        <v>3.516</v>
      </c>
      <c r="H190" s="25">
        <v>0.25</v>
      </c>
    </row>
    <row r="191" spans="1:8" x14ac:dyDescent="0.25">
      <c r="A191">
        <v>202604</v>
      </c>
      <c r="B191" t="s">
        <v>29</v>
      </c>
      <c r="C191">
        <v>1755883463</v>
      </c>
      <c r="D191" t="s">
        <v>25</v>
      </c>
      <c r="E191" t="s">
        <v>21</v>
      </c>
      <c r="F191" t="s">
        <v>182</v>
      </c>
      <c r="G191" s="8">
        <v>3.34</v>
      </c>
      <c r="H191" s="25">
        <v>3.66</v>
      </c>
    </row>
    <row r="192" spans="1:8" x14ac:dyDescent="0.25">
      <c r="A192">
        <v>202604</v>
      </c>
      <c r="B192" t="s">
        <v>29</v>
      </c>
      <c r="C192">
        <v>1755883757</v>
      </c>
      <c r="D192" t="s">
        <v>20</v>
      </c>
      <c r="E192" t="s">
        <v>26</v>
      </c>
      <c r="F192" t="s">
        <v>183</v>
      </c>
      <c r="G192" s="8">
        <v>3.5169999999999999</v>
      </c>
      <c r="H192" s="25">
        <v>0.48</v>
      </c>
    </row>
    <row r="193" spans="1:8" x14ac:dyDescent="0.25">
      <c r="A193">
        <v>202604</v>
      </c>
      <c r="B193" t="s">
        <v>29</v>
      </c>
      <c r="C193">
        <v>1755883919</v>
      </c>
      <c r="D193" t="s">
        <v>20</v>
      </c>
      <c r="E193" t="s">
        <v>26</v>
      </c>
      <c r="F193" t="s">
        <v>183</v>
      </c>
      <c r="G193" s="8">
        <v>3.5169999999999999</v>
      </c>
      <c r="H193" s="25">
        <v>0.48</v>
      </c>
    </row>
    <row r="194" spans="1:8" x14ac:dyDescent="0.25">
      <c r="A194">
        <v>202604</v>
      </c>
      <c r="B194" t="s">
        <v>42</v>
      </c>
      <c r="C194">
        <v>1751371890</v>
      </c>
      <c r="D194" t="s">
        <v>25</v>
      </c>
      <c r="E194" t="s">
        <v>26</v>
      </c>
      <c r="F194" t="s">
        <v>68</v>
      </c>
      <c r="G194" s="8">
        <v>0.46025899999999997</v>
      </c>
      <c r="H194" s="25">
        <v>1</v>
      </c>
    </row>
    <row r="195" spans="1:8" x14ac:dyDescent="0.25">
      <c r="A195">
        <v>202604</v>
      </c>
      <c r="B195" t="s">
        <v>42</v>
      </c>
      <c r="C195">
        <v>1751389073</v>
      </c>
      <c r="D195" t="s">
        <v>25</v>
      </c>
      <c r="E195" t="s">
        <v>26</v>
      </c>
      <c r="F195" t="s">
        <v>69</v>
      </c>
      <c r="G195" s="8">
        <v>1.1449199999999999</v>
      </c>
      <c r="H195" s="25">
        <v>0.5</v>
      </c>
    </row>
    <row r="196" spans="1:8" x14ac:dyDescent="0.25">
      <c r="A196">
        <v>202604</v>
      </c>
      <c r="B196" t="s">
        <v>42</v>
      </c>
      <c r="C196">
        <v>1751390748</v>
      </c>
      <c r="D196" t="s">
        <v>20</v>
      </c>
      <c r="E196" t="s">
        <v>26</v>
      </c>
      <c r="F196" t="s">
        <v>70</v>
      </c>
      <c r="G196" s="8">
        <v>0.51554999999999995</v>
      </c>
      <c r="H196" s="25">
        <v>1</v>
      </c>
    </row>
    <row r="197" spans="1:8" x14ac:dyDescent="0.25">
      <c r="A197">
        <v>202604</v>
      </c>
      <c r="B197" t="s">
        <v>42</v>
      </c>
      <c r="C197">
        <v>1755659880</v>
      </c>
      <c r="D197" t="s">
        <v>20</v>
      </c>
      <c r="E197" t="s">
        <v>26</v>
      </c>
      <c r="F197" t="s">
        <v>71</v>
      </c>
      <c r="G197" s="8">
        <v>0.59150000000000003</v>
      </c>
      <c r="H197" s="25">
        <v>2.4</v>
      </c>
    </row>
    <row r="198" spans="1:8" x14ac:dyDescent="0.25">
      <c r="A198">
        <v>202604</v>
      </c>
      <c r="B198" t="s">
        <v>42</v>
      </c>
      <c r="C198">
        <v>1755659946</v>
      </c>
      <c r="D198" t="s">
        <v>20</v>
      </c>
      <c r="E198" t="s">
        <v>26</v>
      </c>
      <c r="F198" t="s">
        <v>71</v>
      </c>
      <c r="G198" s="8">
        <v>0.59150000000000003</v>
      </c>
      <c r="H198" s="25">
        <v>2.4</v>
      </c>
    </row>
    <row r="199" spans="1:8" x14ac:dyDescent="0.25">
      <c r="A199">
        <v>202604</v>
      </c>
      <c r="B199" t="s">
        <v>42</v>
      </c>
      <c r="C199">
        <v>1755706200</v>
      </c>
      <c r="D199" t="s">
        <v>20</v>
      </c>
      <c r="E199" t="s">
        <v>26</v>
      </c>
      <c r="F199" t="s">
        <v>72</v>
      </c>
      <c r="G199" s="8">
        <v>0.13896143999999999</v>
      </c>
      <c r="H199" s="25">
        <v>4.6500000000000004</v>
      </c>
    </row>
    <row r="200" spans="1:8" x14ac:dyDescent="0.25">
      <c r="A200">
        <v>202604</v>
      </c>
      <c r="B200" t="s">
        <v>42</v>
      </c>
      <c r="C200">
        <v>1755717075</v>
      </c>
      <c r="D200" t="s">
        <v>20</v>
      </c>
      <c r="E200" t="s">
        <v>26</v>
      </c>
      <c r="F200" t="s">
        <v>73</v>
      </c>
      <c r="G200" s="8">
        <v>0.68620000000000003</v>
      </c>
      <c r="H200" s="25">
        <v>1.1499999999999999</v>
      </c>
    </row>
    <row r="201" spans="1:8" x14ac:dyDescent="0.25">
      <c r="A201">
        <v>202604</v>
      </c>
      <c r="B201" t="s">
        <v>42</v>
      </c>
      <c r="C201">
        <v>1755727216</v>
      </c>
      <c r="D201" t="s">
        <v>20</v>
      </c>
      <c r="E201" t="s">
        <v>26</v>
      </c>
      <c r="F201" t="s">
        <v>74</v>
      </c>
      <c r="G201" s="8">
        <v>1.0296000000000001</v>
      </c>
      <c r="H201" s="25">
        <v>2.95</v>
      </c>
    </row>
    <row r="202" spans="1:8" x14ac:dyDescent="0.25">
      <c r="A202">
        <v>202604</v>
      </c>
      <c r="B202" t="s">
        <v>42</v>
      </c>
      <c r="C202">
        <v>1755727283</v>
      </c>
      <c r="D202" t="s">
        <v>20</v>
      </c>
      <c r="E202" t="s">
        <v>26</v>
      </c>
      <c r="F202" t="s">
        <v>74</v>
      </c>
      <c r="G202" s="8">
        <v>1.0296000000000001</v>
      </c>
      <c r="H202" s="25">
        <v>2.95</v>
      </c>
    </row>
    <row r="203" spans="1:8" x14ac:dyDescent="0.25">
      <c r="A203">
        <v>202604</v>
      </c>
      <c r="B203" t="s">
        <v>42</v>
      </c>
      <c r="C203">
        <v>1755727290</v>
      </c>
      <c r="D203" t="s">
        <v>20</v>
      </c>
      <c r="E203" t="s">
        <v>26</v>
      </c>
      <c r="F203" t="s">
        <v>74</v>
      </c>
      <c r="G203" s="8">
        <v>0.68640000000000001</v>
      </c>
      <c r="H203" s="25">
        <v>2.95</v>
      </c>
    </row>
    <row r="204" spans="1:8" x14ac:dyDescent="0.25">
      <c r="A204">
        <v>202604</v>
      </c>
      <c r="B204" t="s">
        <v>42</v>
      </c>
      <c r="C204">
        <v>1755741870</v>
      </c>
      <c r="D204" t="s">
        <v>20</v>
      </c>
      <c r="E204" t="s">
        <v>26</v>
      </c>
      <c r="F204" t="s">
        <v>72</v>
      </c>
      <c r="G204" s="8">
        <v>0.21995395740000001</v>
      </c>
      <c r="H204" s="25">
        <v>4.6500000000000004</v>
      </c>
    </row>
    <row r="205" spans="1:8" x14ac:dyDescent="0.25">
      <c r="A205">
        <v>202604</v>
      </c>
      <c r="B205" t="s">
        <v>42</v>
      </c>
      <c r="C205">
        <v>1755742746</v>
      </c>
      <c r="D205" t="s">
        <v>20</v>
      </c>
      <c r="E205" t="s">
        <v>26</v>
      </c>
      <c r="F205" t="s">
        <v>75</v>
      </c>
      <c r="G205" s="8">
        <v>0.51570000000000005</v>
      </c>
      <c r="H205" s="25">
        <v>3.05</v>
      </c>
    </row>
    <row r="206" spans="1:8" x14ac:dyDescent="0.25">
      <c r="A206">
        <v>202604</v>
      </c>
      <c r="B206" t="s">
        <v>42</v>
      </c>
      <c r="C206">
        <v>1755774575</v>
      </c>
      <c r="D206" t="s">
        <v>25</v>
      </c>
      <c r="E206" t="s">
        <v>26</v>
      </c>
      <c r="F206" t="s">
        <v>76</v>
      </c>
      <c r="G206" s="8">
        <v>0.3</v>
      </c>
      <c r="H206" s="25">
        <v>2.2000000000000002</v>
      </c>
    </row>
    <row r="207" spans="1:8" x14ac:dyDescent="0.25">
      <c r="A207">
        <v>202604</v>
      </c>
      <c r="B207" t="s">
        <v>42</v>
      </c>
      <c r="C207">
        <v>1755774613</v>
      </c>
      <c r="D207" t="s">
        <v>25</v>
      </c>
      <c r="E207" t="s">
        <v>26</v>
      </c>
      <c r="F207" t="s">
        <v>76</v>
      </c>
      <c r="G207" s="8">
        <v>0.3</v>
      </c>
      <c r="H207" s="25">
        <v>2.2000000000000002</v>
      </c>
    </row>
    <row r="208" spans="1:8" x14ac:dyDescent="0.25">
      <c r="A208">
        <v>202604</v>
      </c>
      <c r="B208" t="s">
        <v>42</v>
      </c>
      <c r="C208">
        <v>1755774630</v>
      </c>
      <c r="D208" t="s">
        <v>25</v>
      </c>
      <c r="E208" t="s">
        <v>26</v>
      </c>
      <c r="F208" t="s">
        <v>76</v>
      </c>
      <c r="G208" s="8">
        <v>0.3</v>
      </c>
      <c r="H208" s="25">
        <v>2.2000000000000002</v>
      </c>
    </row>
    <row r="209" spans="1:8" x14ac:dyDescent="0.25">
      <c r="A209">
        <v>202604</v>
      </c>
      <c r="B209" t="s">
        <v>42</v>
      </c>
      <c r="C209">
        <v>1755781075</v>
      </c>
      <c r="D209" t="s">
        <v>20</v>
      </c>
      <c r="E209" t="s">
        <v>67</v>
      </c>
      <c r="F209" t="s">
        <v>77</v>
      </c>
      <c r="G209" s="8">
        <v>2.4079999999999999</v>
      </c>
      <c r="H209" s="25">
        <v>5.5</v>
      </c>
    </row>
    <row r="210" spans="1:8" x14ac:dyDescent="0.25">
      <c r="A210">
        <v>202604</v>
      </c>
      <c r="B210" t="s">
        <v>42</v>
      </c>
      <c r="C210">
        <v>1755817126</v>
      </c>
      <c r="D210" t="s">
        <v>25</v>
      </c>
      <c r="E210" t="s">
        <v>21</v>
      </c>
      <c r="F210" t="s">
        <v>78</v>
      </c>
      <c r="G210" s="8">
        <v>0.68</v>
      </c>
      <c r="H210" s="25">
        <v>3.3</v>
      </c>
    </row>
    <row r="211" spans="1:8" x14ac:dyDescent="0.25">
      <c r="A211">
        <v>202604</v>
      </c>
      <c r="B211" t="s">
        <v>42</v>
      </c>
      <c r="C211">
        <v>1755870949</v>
      </c>
      <c r="D211" t="s">
        <v>20</v>
      </c>
      <c r="E211" t="s">
        <v>26</v>
      </c>
      <c r="F211" t="s">
        <v>79</v>
      </c>
      <c r="G211" s="8">
        <v>1.7635000000000001</v>
      </c>
      <c r="H211" s="25">
        <v>1.1499999999999999</v>
      </c>
    </row>
    <row r="212" spans="1:8" x14ac:dyDescent="0.25">
      <c r="A212">
        <v>202604</v>
      </c>
      <c r="B212" t="s">
        <v>42</v>
      </c>
      <c r="C212">
        <v>1755873140</v>
      </c>
      <c r="D212" t="s">
        <v>20</v>
      </c>
      <c r="E212" t="s">
        <v>26</v>
      </c>
      <c r="F212" t="s">
        <v>80</v>
      </c>
      <c r="G212" s="8">
        <v>3.4564599999999999</v>
      </c>
      <c r="H212" s="25">
        <v>2.35</v>
      </c>
    </row>
    <row r="213" spans="1:8" x14ac:dyDescent="0.25">
      <c r="A213">
        <v>202604</v>
      </c>
      <c r="B213" t="s">
        <v>42</v>
      </c>
      <c r="C213">
        <v>1755883200</v>
      </c>
      <c r="D213" t="s">
        <v>20</v>
      </c>
      <c r="E213" t="s">
        <v>26</v>
      </c>
      <c r="F213" t="s">
        <v>81</v>
      </c>
      <c r="G213" s="8">
        <v>0.52754999999999996</v>
      </c>
      <c r="H213" s="25">
        <v>3.8</v>
      </c>
    </row>
    <row r="214" spans="1:8" x14ac:dyDescent="0.25">
      <c r="A214">
        <v>202604</v>
      </c>
      <c r="B214" t="s">
        <v>42</v>
      </c>
      <c r="C214">
        <v>1755884168</v>
      </c>
      <c r="D214" t="s">
        <v>20</v>
      </c>
      <c r="E214" t="s">
        <v>21</v>
      </c>
      <c r="F214" t="s">
        <v>82</v>
      </c>
      <c r="G214" s="8">
        <v>3.5169999999999999</v>
      </c>
      <c r="H214" s="25">
        <v>0.4</v>
      </c>
    </row>
    <row r="215" spans="1:8" x14ac:dyDescent="0.25">
      <c r="A215">
        <v>202604</v>
      </c>
      <c r="B215" t="s">
        <v>42</v>
      </c>
      <c r="C215">
        <v>1755884450</v>
      </c>
      <c r="D215" t="s">
        <v>25</v>
      </c>
      <c r="E215" t="s">
        <v>37</v>
      </c>
      <c r="F215" t="s">
        <v>83</v>
      </c>
      <c r="G215" s="8">
        <v>0.10133753</v>
      </c>
      <c r="H215" s="25">
        <v>3.55</v>
      </c>
    </row>
    <row r="216" spans="1:8" x14ac:dyDescent="0.25">
      <c r="A216">
        <v>202604</v>
      </c>
      <c r="B216" t="s">
        <v>96</v>
      </c>
      <c r="C216">
        <v>1751367990</v>
      </c>
      <c r="D216" t="s">
        <v>25</v>
      </c>
      <c r="E216" t="s">
        <v>21</v>
      </c>
      <c r="F216" t="s">
        <v>184</v>
      </c>
      <c r="G216" s="8">
        <v>5</v>
      </c>
      <c r="H216" s="25">
        <v>0.8</v>
      </c>
    </row>
    <row r="217" spans="1:8" x14ac:dyDescent="0.25">
      <c r="A217">
        <v>202604</v>
      </c>
      <c r="B217" t="s">
        <v>96</v>
      </c>
      <c r="C217">
        <v>1755697562</v>
      </c>
      <c r="D217" t="s">
        <v>20</v>
      </c>
      <c r="E217" t="s">
        <v>26</v>
      </c>
      <c r="F217" t="s">
        <v>185</v>
      </c>
      <c r="G217" s="8">
        <v>5.9759556516800005</v>
      </c>
      <c r="H217" s="25">
        <v>0.35</v>
      </c>
    </row>
    <row r="218" spans="1:8" x14ac:dyDescent="0.25">
      <c r="A218">
        <v>202604</v>
      </c>
      <c r="B218" t="s">
        <v>96</v>
      </c>
      <c r="C218">
        <v>1755767323</v>
      </c>
      <c r="D218" t="s">
        <v>25</v>
      </c>
      <c r="E218" t="s">
        <v>26</v>
      </c>
      <c r="F218" t="s">
        <v>186</v>
      </c>
      <c r="G218" s="8">
        <v>10</v>
      </c>
      <c r="H218" s="25">
        <v>0.5</v>
      </c>
    </row>
    <row r="219" spans="1:8" x14ac:dyDescent="0.25">
      <c r="A219">
        <v>202604</v>
      </c>
      <c r="B219" t="s">
        <v>96</v>
      </c>
      <c r="C219">
        <v>1755802099</v>
      </c>
      <c r="D219" t="s">
        <v>25</v>
      </c>
      <c r="E219" t="s">
        <v>26</v>
      </c>
      <c r="F219" t="s">
        <v>186</v>
      </c>
      <c r="G219" s="8">
        <v>10</v>
      </c>
      <c r="H219" s="25">
        <v>0.5</v>
      </c>
    </row>
    <row r="220" spans="1:8" x14ac:dyDescent="0.25">
      <c r="A220">
        <v>202604</v>
      </c>
      <c r="B220" t="s">
        <v>96</v>
      </c>
      <c r="C220">
        <v>1755813970</v>
      </c>
      <c r="D220" t="s">
        <v>20</v>
      </c>
      <c r="E220" t="s">
        <v>26</v>
      </c>
      <c r="F220" t="s">
        <v>187</v>
      </c>
      <c r="G220" s="8">
        <v>0.41446004048000001</v>
      </c>
      <c r="H220" s="25">
        <v>1.35</v>
      </c>
    </row>
    <row r="221" spans="1:8" x14ac:dyDescent="0.25">
      <c r="A221">
        <v>202604</v>
      </c>
      <c r="B221" t="s">
        <v>96</v>
      </c>
      <c r="C221">
        <v>1755818874</v>
      </c>
      <c r="D221" t="s">
        <v>20</v>
      </c>
      <c r="E221" t="s">
        <v>21</v>
      </c>
      <c r="F221" t="s">
        <v>188</v>
      </c>
      <c r="G221" s="8">
        <v>1.7364999999999999</v>
      </c>
      <c r="H221" s="25">
        <v>3.83</v>
      </c>
    </row>
    <row r="222" spans="1:8" x14ac:dyDescent="0.25">
      <c r="A222">
        <v>202604</v>
      </c>
      <c r="B222" t="s">
        <v>96</v>
      </c>
      <c r="C222">
        <v>1755818998</v>
      </c>
      <c r="D222" t="s">
        <v>20</v>
      </c>
      <c r="E222" t="s">
        <v>21</v>
      </c>
      <c r="F222" t="s">
        <v>189</v>
      </c>
      <c r="G222" s="8">
        <v>1.7364999999999999</v>
      </c>
      <c r="H222" s="25">
        <v>3.83</v>
      </c>
    </row>
    <row r="223" spans="1:8" x14ac:dyDescent="0.25">
      <c r="A223">
        <v>202604</v>
      </c>
      <c r="B223" t="s">
        <v>96</v>
      </c>
      <c r="C223">
        <v>1755819072</v>
      </c>
      <c r="D223" t="s">
        <v>20</v>
      </c>
      <c r="E223" t="s">
        <v>21</v>
      </c>
      <c r="F223" t="s">
        <v>188</v>
      </c>
      <c r="G223" s="8">
        <v>1.7364999999999999</v>
      </c>
      <c r="H223" s="25">
        <v>3.83</v>
      </c>
    </row>
    <row r="224" spans="1:8" x14ac:dyDescent="0.25">
      <c r="A224">
        <v>202604</v>
      </c>
      <c r="B224" t="s">
        <v>96</v>
      </c>
      <c r="C224">
        <v>1755819986</v>
      </c>
      <c r="D224" t="s">
        <v>20</v>
      </c>
      <c r="E224" t="s">
        <v>21</v>
      </c>
      <c r="F224" t="s">
        <v>189</v>
      </c>
      <c r="G224" s="8">
        <v>1.7364999999999999</v>
      </c>
      <c r="H224" s="25">
        <v>3.83</v>
      </c>
    </row>
    <row r="225" spans="1:8" x14ac:dyDescent="0.25">
      <c r="A225">
        <v>202604</v>
      </c>
      <c r="B225" t="s">
        <v>96</v>
      </c>
      <c r="C225">
        <v>1755873107</v>
      </c>
      <c r="D225" t="s">
        <v>20</v>
      </c>
      <c r="E225" t="s">
        <v>26</v>
      </c>
      <c r="F225" t="s">
        <v>187</v>
      </c>
      <c r="G225" s="8">
        <v>0.27240657528000001</v>
      </c>
      <c r="H225" s="25">
        <v>1.35</v>
      </c>
    </row>
    <row r="226" spans="1:8" x14ac:dyDescent="0.25">
      <c r="A226">
        <v>202604</v>
      </c>
      <c r="B226" t="s">
        <v>44</v>
      </c>
      <c r="C226">
        <v>1751390969</v>
      </c>
      <c r="D226" t="s">
        <v>25</v>
      </c>
      <c r="E226" t="s">
        <v>21</v>
      </c>
      <c r="F226" t="s">
        <v>84</v>
      </c>
      <c r="G226" s="8">
        <v>0.34899999999999998</v>
      </c>
      <c r="H226" s="25">
        <v>3.3</v>
      </c>
    </row>
    <row r="227" spans="1:8" x14ac:dyDescent="0.25">
      <c r="A227">
        <v>202604</v>
      </c>
      <c r="B227" t="s">
        <v>44</v>
      </c>
      <c r="C227">
        <v>1755662793</v>
      </c>
      <c r="D227" t="s">
        <v>20</v>
      </c>
      <c r="E227" t="s">
        <v>26</v>
      </c>
      <c r="F227" t="s">
        <v>85</v>
      </c>
      <c r="G227" s="8">
        <v>1.8251999999999999</v>
      </c>
      <c r="H227" s="25">
        <v>0.55000000000000004</v>
      </c>
    </row>
    <row r="228" spans="1:8" x14ac:dyDescent="0.25">
      <c r="A228">
        <v>202604</v>
      </c>
      <c r="B228" t="s">
        <v>44</v>
      </c>
      <c r="C228">
        <v>1755697090</v>
      </c>
      <c r="D228" t="s">
        <v>25</v>
      </c>
      <c r="E228" t="s">
        <v>21</v>
      </c>
      <c r="F228" t="s">
        <v>86</v>
      </c>
      <c r="G228" s="8">
        <v>2</v>
      </c>
      <c r="H228" s="25">
        <v>1.08</v>
      </c>
    </row>
    <row r="229" spans="1:8" x14ac:dyDescent="0.25">
      <c r="A229">
        <v>202604</v>
      </c>
      <c r="B229" t="s">
        <v>44</v>
      </c>
      <c r="C229">
        <v>1755819706</v>
      </c>
      <c r="D229" t="s">
        <v>20</v>
      </c>
      <c r="E229" t="s">
        <v>26</v>
      </c>
      <c r="F229" t="s">
        <v>87</v>
      </c>
      <c r="G229" s="8">
        <v>1.7364999999999999</v>
      </c>
      <c r="H229" s="25">
        <v>0.5</v>
      </c>
    </row>
    <row r="230" spans="1:8" x14ac:dyDescent="0.25">
      <c r="A230">
        <v>202604</v>
      </c>
      <c r="B230" t="s">
        <v>44</v>
      </c>
      <c r="C230">
        <v>1755852037</v>
      </c>
      <c r="D230" t="s">
        <v>20</v>
      </c>
      <c r="E230" t="s">
        <v>37</v>
      </c>
      <c r="F230" t="s">
        <v>88</v>
      </c>
      <c r="G230" s="8">
        <v>5.9861851538000002</v>
      </c>
      <c r="H230" s="25">
        <v>2.7</v>
      </c>
    </row>
    <row r="231" spans="1:8" x14ac:dyDescent="0.25">
      <c r="A231">
        <v>202604</v>
      </c>
      <c r="B231" t="s">
        <v>44</v>
      </c>
      <c r="C231">
        <v>1755867565</v>
      </c>
      <c r="D231" t="s">
        <v>25</v>
      </c>
      <c r="E231" t="s">
        <v>37</v>
      </c>
      <c r="F231" t="s">
        <v>89</v>
      </c>
      <c r="G231" s="8">
        <v>0.43018698</v>
      </c>
      <c r="H231" s="25">
        <v>2.35</v>
      </c>
    </row>
    <row r="232" spans="1:8" x14ac:dyDescent="0.25">
      <c r="A232">
        <v>202604</v>
      </c>
      <c r="B232" t="s">
        <v>44</v>
      </c>
      <c r="C232">
        <v>1755868308</v>
      </c>
      <c r="D232" t="s">
        <v>25</v>
      </c>
      <c r="E232" t="s">
        <v>21</v>
      </c>
      <c r="F232" t="s">
        <v>90</v>
      </c>
      <c r="G232" s="8">
        <v>0.1</v>
      </c>
      <c r="H232" s="25">
        <v>0.85</v>
      </c>
    </row>
    <row r="233" spans="1:8" x14ac:dyDescent="0.25">
      <c r="A233">
        <v>202604</v>
      </c>
      <c r="B233" t="s">
        <v>44</v>
      </c>
      <c r="C233">
        <v>1755871066</v>
      </c>
      <c r="D233" t="s">
        <v>25</v>
      </c>
      <c r="E233" t="s">
        <v>26</v>
      </c>
      <c r="F233" t="s">
        <v>91</v>
      </c>
      <c r="G233" s="8">
        <v>1.7</v>
      </c>
      <c r="H233" s="25">
        <v>2.1800000000000002</v>
      </c>
    </row>
    <row r="234" spans="1:8" x14ac:dyDescent="0.25">
      <c r="A234">
        <v>202604</v>
      </c>
      <c r="B234" t="s">
        <v>44</v>
      </c>
      <c r="C234">
        <v>1755895267</v>
      </c>
      <c r="D234" t="s">
        <v>20</v>
      </c>
      <c r="E234" t="s">
        <v>26</v>
      </c>
      <c r="F234" t="s">
        <v>87</v>
      </c>
      <c r="G234" s="8">
        <v>1.7585</v>
      </c>
      <c r="H234" s="25">
        <v>0.5</v>
      </c>
    </row>
    <row r="235" spans="1:8" x14ac:dyDescent="0.25">
      <c r="A235">
        <v>202604</v>
      </c>
      <c r="B235" t="s">
        <v>44</v>
      </c>
      <c r="C235">
        <v>1755895585</v>
      </c>
      <c r="D235" t="s">
        <v>25</v>
      </c>
      <c r="E235" t="s">
        <v>21</v>
      </c>
      <c r="F235" t="s">
        <v>92</v>
      </c>
      <c r="G235" s="8">
        <v>1.01</v>
      </c>
      <c r="H235" s="25">
        <v>1.25</v>
      </c>
    </row>
    <row r="236" spans="1:8" x14ac:dyDescent="0.25">
      <c r="A236">
        <v>202604</v>
      </c>
      <c r="B236" t="s">
        <v>46</v>
      </c>
      <c r="C236">
        <v>1755774710</v>
      </c>
      <c r="D236" t="s">
        <v>20</v>
      </c>
      <c r="E236" t="s">
        <v>67</v>
      </c>
      <c r="F236" t="s">
        <v>190</v>
      </c>
      <c r="G236" s="8">
        <v>1.741411042</v>
      </c>
      <c r="H236" s="25">
        <v>2.15</v>
      </c>
    </row>
    <row r="237" spans="1:8" x14ac:dyDescent="0.25">
      <c r="A237">
        <v>202604</v>
      </c>
      <c r="B237" t="s">
        <v>46</v>
      </c>
      <c r="C237">
        <v>1755867700</v>
      </c>
      <c r="D237" t="s">
        <v>25</v>
      </c>
      <c r="E237" t="s">
        <v>37</v>
      </c>
      <c r="F237" t="s">
        <v>191</v>
      </c>
      <c r="G237" s="8">
        <v>5.5785600000000004</v>
      </c>
      <c r="H237" s="25">
        <v>0.5</v>
      </c>
    </row>
    <row r="238" spans="1:8" x14ac:dyDescent="0.25">
      <c r="A238">
        <v>202604</v>
      </c>
      <c r="B238" t="s">
        <v>47</v>
      </c>
      <c r="C238">
        <v>1755722036</v>
      </c>
      <c r="D238" t="s">
        <v>25</v>
      </c>
      <c r="E238" t="s">
        <v>26</v>
      </c>
      <c r="F238" t="s">
        <v>192</v>
      </c>
      <c r="G238" s="8">
        <v>0.67</v>
      </c>
      <c r="H238" s="25">
        <v>4.1500000000000004</v>
      </c>
    </row>
    <row r="239" spans="1:8" x14ac:dyDescent="0.25">
      <c r="A239">
        <v>202605</v>
      </c>
      <c r="B239" t="s">
        <v>19</v>
      </c>
      <c r="C239">
        <v>1760142786</v>
      </c>
      <c r="D239" t="s">
        <v>20</v>
      </c>
      <c r="E239" t="s">
        <v>21</v>
      </c>
      <c r="F239" t="s">
        <v>100</v>
      </c>
      <c r="G239" s="8">
        <v>5.1464999999999997E-2</v>
      </c>
      <c r="H239" s="25">
        <v>3.34</v>
      </c>
    </row>
    <row r="240" spans="1:8" x14ac:dyDescent="0.25">
      <c r="A240">
        <v>202605</v>
      </c>
      <c r="B240" t="s">
        <v>19</v>
      </c>
      <c r="C240">
        <v>1760203490</v>
      </c>
      <c r="D240" t="s">
        <v>20</v>
      </c>
      <c r="E240" t="s">
        <v>21</v>
      </c>
      <c r="F240" t="s">
        <v>100</v>
      </c>
      <c r="G240" s="8">
        <v>5.1494999999999999E-2</v>
      </c>
      <c r="H240" s="25">
        <v>3.34</v>
      </c>
    </row>
    <row r="241" spans="1:8" x14ac:dyDescent="0.25">
      <c r="A241">
        <v>202605</v>
      </c>
      <c r="B241" t="s">
        <v>19</v>
      </c>
      <c r="C241">
        <v>1760232890</v>
      </c>
      <c r="D241" t="s">
        <v>25</v>
      </c>
      <c r="E241" t="s">
        <v>26</v>
      </c>
      <c r="F241" t="s">
        <v>235</v>
      </c>
      <c r="G241" s="8">
        <v>3.5</v>
      </c>
      <c r="H241" s="25">
        <v>0.7</v>
      </c>
    </row>
    <row r="242" spans="1:8" x14ac:dyDescent="0.25">
      <c r="A242">
        <v>202605</v>
      </c>
      <c r="B242" t="s">
        <v>19</v>
      </c>
      <c r="C242">
        <v>1760278394</v>
      </c>
      <c r="D242" t="s">
        <v>20</v>
      </c>
      <c r="E242" t="s">
        <v>21</v>
      </c>
      <c r="F242" t="s">
        <v>100</v>
      </c>
      <c r="G242" s="8">
        <v>5.1240000000000001E-2</v>
      </c>
      <c r="H242" s="25">
        <v>3.34</v>
      </c>
    </row>
    <row r="243" spans="1:8" x14ac:dyDescent="0.25">
      <c r="A243">
        <v>202605</v>
      </c>
      <c r="B243" t="s">
        <v>28</v>
      </c>
      <c r="C243">
        <v>1755924844</v>
      </c>
      <c r="D243" t="s">
        <v>25</v>
      </c>
      <c r="E243" t="s">
        <v>37</v>
      </c>
      <c r="F243" t="s">
        <v>105</v>
      </c>
      <c r="G243" s="8">
        <v>0.21680532999999999</v>
      </c>
      <c r="H243" s="25">
        <v>1.51</v>
      </c>
    </row>
    <row r="244" spans="1:8" x14ac:dyDescent="0.25">
      <c r="A244">
        <v>202605</v>
      </c>
      <c r="B244" t="s">
        <v>28</v>
      </c>
      <c r="C244">
        <v>1755931050</v>
      </c>
      <c r="D244" t="s">
        <v>20</v>
      </c>
      <c r="E244" t="s">
        <v>26</v>
      </c>
      <c r="F244" t="s">
        <v>113</v>
      </c>
      <c r="G244" s="8">
        <v>1.0485</v>
      </c>
      <c r="H244" s="25">
        <v>0.1</v>
      </c>
    </row>
    <row r="245" spans="1:8" x14ac:dyDescent="0.25">
      <c r="A245">
        <v>202605</v>
      </c>
      <c r="B245" t="s">
        <v>28</v>
      </c>
      <c r="C245">
        <v>1755949405</v>
      </c>
      <c r="D245" t="s">
        <v>20</v>
      </c>
      <c r="E245" t="s">
        <v>21</v>
      </c>
      <c r="F245" t="s">
        <v>193</v>
      </c>
      <c r="G245" s="8">
        <v>0.58803000000000005</v>
      </c>
      <c r="H245" s="25">
        <v>1.95</v>
      </c>
    </row>
    <row r="246" spans="1:8" x14ac:dyDescent="0.25">
      <c r="A246">
        <v>202605</v>
      </c>
      <c r="B246" t="s">
        <v>28</v>
      </c>
      <c r="C246">
        <v>1760131377</v>
      </c>
      <c r="D246" t="s">
        <v>20</v>
      </c>
      <c r="E246" t="s">
        <v>26</v>
      </c>
      <c r="F246" t="s">
        <v>194</v>
      </c>
      <c r="G246" s="8">
        <v>1.7170000000000001</v>
      </c>
      <c r="H246" s="25">
        <v>1</v>
      </c>
    </row>
    <row r="247" spans="1:8" x14ac:dyDescent="0.25">
      <c r="A247">
        <v>202605</v>
      </c>
      <c r="B247" t="s">
        <v>28</v>
      </c>
      <c r="C247">
        <v>1760168084</v>
      </c>
      <c r="D247" t="s">
        <v>20</v>
      </c>
      <c r="E247" t="s">
        <v>37</v>
      </c>
      <c r="F247" t="s">
        <v>105</v>
      </c>
      <c r="G247" s="8">
        <v>0.19017510792</v>
      </c>
      <c r="H247" s="25">
        <v>1.56</v>
      </c>
    </row>
    <row r="248" spans="1:8" x14ac:dyDescent="0.25">
      <c r="A248">
        <v>202605</v>
      </c>
      <c r="B248" t="s">
        <v>28</v>
      </c>
      <c r="C248">
        <v>1760173614</v>
      </c>
      <c r="D248" t="s">
        <v>20</v>
      </c>
      <c r="E248" t="s">
        <v>37</v>
      </c>
      <c r="F248" t="s">
        <v>105</v>
      </c>
      <c r="G248" s="8">
        <v>0.37504854800000004</v>
      </c>
      <c r="H248" s="25">
        <v>1.76</v>
      </c>
    </row>
    <row r="249" spans="1:8" x14ac:dyDescent="0.25">
      <c r="A249">
        <v>202605</v>
      </c>
      <c r="B249" t="s">
        <v>28</v>
      </c>
      <c r="C249">
        <v>1760177083</v>
      </c>
      <c r="D249" t="s">
        <v>20</v>
      </c>
      <c r="E249" t="s">
        <v>21</v>
      </c>
      <c r="F249" t="s">
        <v>109</v>
      </c>
      <c r="G249" s="8">
        <v>0.78203999999999996</v>
      </c>
      <c r="H249" s="25">
        <v>0.6</v>
      </c>
    </row>
    <row r="250" spans="1:8" x14ac:dyDescent="0.25">
      <c r="A250">
        <v>202605</v>
      </c>
      <c r="B250" t="s">
        <v>28</v>
      </c>
      <c r="C250">
        <v>1760179752</v>
      </c>
      <c r="D250" t="s">
        <v>25</v>
      </c>
      <c r="E250" t="s">
        <v>26</v>
      </c>
      <c r="F250" t="s">
        <v>107</v>
      </c>
      <c r="G250" s="8">
        <v>0.7</v>
      </c>
      <c r="H250" s="25">
        <v>2.76</v>
      </c>
    </row>
    <row r="251" spans="1:8" x14ac:dyDescent="0.25">
      <c r="A251">
        <v>202605</v>
      </c>
      <c r="B251" t="s">
        <v>28</v>
      </c>
      <c r="C251">
        <v>1760269409</v>
      </c>
      <c r="D251" t="s">
        <v>20</v>
      </c>
      <c r="E251" t="s">
        <v>21</v>
      </c>
      <c r="F251" t="s">
        <v>249</v>
      </c>
      <c r="G251" s="8">
        <v>1.7070000000000001</v>
      </c>
      <c r="H251" s="25">
        <v>1.24</v>
      </c>
    </row>
    <row r="252" spans="1:8" x14ac:dyDescent="0.25">
      <c r="A252">
        <v>202605</v>
      </c>
      <c r="B252" t="s">
        <v>28</v>
      </c>
      <c r="C252">
        <v>1760270580</v>
      </c>
      <c r="D252" t="s">
        <v>20</v>
      </c>
      <c r="E252" t="s">
        <v>26</v>
      </c>
      <c r="F252" t="s">
        <v>108</v>
      </c>
      <c r="G252" s="8">
        <v>0.42804732000000001</v>
      </c>
      <c r="H252" s="25">
        <v>2.3199999999999998</v>
      </c>
    </row>
    <row r="253" spans="1:8" x14ac:dyDescent="0.25">
      <c r="A253">
        <v>202605</v>
      </c>
      <c r="B253" t="s">
        <v>28</v>
      </c>
      <c r="C253">
        <v>1760270695</v>
      </c>
      <c r="D253" t="s">
        <v>20</v>
      </c>
      <c r="E253" t="s">
        <v>26</v>
      </c>
      <c r="F253" t="s">
        <v>249</v>
      </c>
      <c r="G253" s="8">
        <v>0.85350000000000004</v>
      </c>
      <c r="H253" s="25">
        <v>1.24</v>
      </c>
    </row>
    <row r="254" spans="1:8" x14ac:dyDescent="0.25">
      <c r="A254">
        <v>202605</v>
      </c>
      <c r="B254" t="s">
        <v>28</v>
      </c>
      <c r="C254">
        <v>1760311677</v>
      </c>
      <c r="D254" t="s">
        <v>20</v>
      </c>
      <c r="E254" t="s">
        <v>37</v>
      </c>
      <c r="F254" t="s">
        <v>105</v>
      </c>
      <c r="G254" s="8">
        <v>0.13701498738999998</v>
      </c>
      <c r="H254" s="25">
        <v>1.86</v>
      </c>
    </row>
    <row r="255" spans="1:8" x14ac:dyDescent="0.25">
      <c r="A255">
        <v>202605</v>
      </c>
      <c r="B255" t="s">
        <v>28</v>
      </c>
      <c r="C255">
        <v>1760317420</v>
      </c>
      <c r="D255" t="s">
        <v>20</v>
      </c>
      <c r="E255" t="s">
        <v>21</v>
      </c>
      <c r="F255" t="s">
        <v>110</v>
      </c>
      <c r="G255" s="8">
        <v>0.34129999999999999</v>
      </c>
      <c r="H255" s="25">
        <v>3.57</v>
      </c>
    </row>
    <row r="256" spans="1:8" x14ac:dyDescent="0.25">
      <c r="A256">
        <v>202605</v>
      </c>
      <c r="B256" t="s">
        <v>28</v>
      </c>
      <c r="C256">
        <v>1760344842</v>
      </c>
      <c r="D256" t="s">
        <v>20</v>
      </c>
      <c r="E256" t="s">
        <v>26</v>
      </c>
      <c r="F256" t="s">
        <v>256</v>
      </c>
      <c r="G256" s="8">
        <v>1.7070000000000001</v>
      </c>
      <c r="H256" s="25">
        <v>0.3</v>
      </c>
    </row>
    <row r="257" spans="1:8" x14ac:dyDescent="0.25">
      <c r="A257">
        <v>202605</v>
      </c>
      <c r="B257" t="s">
        <v>28</v>
      </c>
      <c r="C257">
        <v>1760346560</v>
      </c>
      <c r="D257" t="s">
        <v>25</v>
      </c>
      <c r="E257" t="s">
        <v>26</v>
      </c>
      <c r="F257" t="s">
        <v>107</v>
      </c>
      <c r="G257" s="8">
        <v>1.22</v>
      </c>
      <c r="H257" s="25">
        <v>2.76</v>
      </c>
    </row>
    <row r="258" spans="1:8" x14ac:dyDescent="0.25">
      <c r="A258">
        <v>202605</v>
      </c>
      <c r="B258" t="s">
        <v>28</v>
      </c>
      <c r="C258">
        <v>1760347957</v>
      </c>
      <c r="D258" t="s">
        <v>20</v>
      </c>
      <c r="E258" t="s">
        <v>21</v>
      </c>
      <c r="F258" t="s">
        <v>249</v>
      </c>
      <c r="G258" s="8">
        <v>1.3655999999999999</v>
      </c>
      <c r="H258" s="25">
        <v>1.24</v>
      </c>
    </row>
    <row r="259" spans="1:8" x14ac:dyDescent="0.25">
      <c r="A259">
        <v>202605</v>
      </c>
      <c r="B259" t="s">
        <v>28</v>
      </c>
      <c r="C259">
        <v>1760349402</v>
      </c>
      <c r="D259" t="s">
        <v>20</v>
      </c>
      <c r="E259" t="s">
        <v>37</v>
      </c>
      <c r="F259" t="s">
        <v>105</v>
      </c>
      <c r="G259" s="8">
        <v>7.0937389320000002E-2</v>
      </c>
      <c r="H259" s="25">
        <v>1.86</v>
      </c>
    </row>
    <row r="260" spans="1:8" x14ac:dyDescent="0.25">
      <c r="A260">
        <v>202605</v>
      </c>
      <c r="B260" t="s">
        <v>94</v>
      </c>
      <c r="C260">
        <v>1755927088</v>
      </c>
      <c r="D260" t="s">
        <v>20</v>
      </c>
      <c r="E260" t="s">
        <v>26</v>
      </c>
      <c r="F260" t="s">
        <v>118</v>
      </c>
      <c r="G260" s="8">
        <v>0.11034413999999999</v>
      </c>
      <c r="H260" s="25">
        <v>3.3</v>
      </c>
    </row>
    <row r="261" spans="1:8" x14ac:dyDescent="0.25">
      <c r="A261">
        <v>202605</v>
      </c>
      <c r="B261" t="s">
        <v>94</v>
      </c>
      <c r="C261">
        <v>1755950012</v>
      </c>
      <c r="D261" t="s">
        <v>20</v>
      </c>
      <c r="E261" t="s">
        <v>26</v>
      </c>
      <c r="F261" t="s">
        <v>118</v>
      </c>
      <c r="G261" s="8">
        <v>0.10163704223999999</v>
      </c>
      <c r="H261" s="25">
        <v>3.3</v>
      </c>
    </row>
    <row r="262" spans="1:8" x14ac:dyDescent="0.25">
      <c r="A262">
        <v>202605</v>
      </c>
      <c r="B262" t="s">
        <v>94</v>
      </c>
      <c r="C262">
        <v>1760142573</v>
      </c>
      <c r="D262" t="s">
        <v>20</v>
      </c>
      <c r="E262" t="s">
        <v>26</v>
      </c>
      <c r="F262" t="s">
        <v>198</v>
      </c>
      <c r="G262" s="8">
        <v>1.7155</v>
      </c>
      <c r="H262" s="25">
        <v>1.5</v>
      </c>
    </row>
    <row r="263" spans="1:8" x14ac:dyDescent="0.25">
      <c r="A263">
        <v>202605</v>
      </c>
      <c r="B263" t="s">
        <v>94</v>
      </c>
      <c r="C263">
        <v>1760154300</v>
      </c>
      <c r="D263" t="s">
        <v>20</v>
      </c>
      <c r="E263" t="s">
        <v>26</v>
      </c>
      <c r="F263" t="s">
        <v>199</v>
      </c>
      <c r="G263" s="8">
        <v>0.34239999999999998</v>
      </c>
      <c r="H263" s="25">
        <v>3.25</v>
      </c>
    </row>
    <row r="264" spans="1:8" x14ac:dyDescent="0.25">
      <c r="A264">
        <v>202605</v>
      </c>
      <c r="B264" t="s">
        <v>94</v>
      </c>
      <c r="C264">
        <v>1760167819</v>
      </c>
      <c r="D264" t="s">
        <v>20</v>
      </c>
      <c r="E264" t="s">
        <v>26</v>
      </c>
      <c r="F264" t="s">
        <v>118</v>
      </c>
      <c r="G264" s="8">
        <v>8.5932895999999995E-2</v>
      </c>
      <c r="H264" s="25">
        <v>2.94</v>
      </c>
    </row>
    <row r="265" spans="1:8" x14ac:dyDescent="0.25">
      <c r="A265">
        <v>202605</v>
      </c>
      <c r="B265" t="s">
        <v>94</v>
      </c>
      <c r="C265">
        <v>1760171980</v>
      </c>
      <c r="D265" t="s">
        <v>25</v>
      </c>
      <c r="E265" t="s">
        <v>21</v>
      </c>
      <c r="F265" t="s">
        <v>200</v>
      </c>
      <c r="G265" s="8">
        <v>0.85</v>
      </c>
      <c r="H265" s="25">
        <v>2.95</v>
      </c>
    </row>
    <row r="266" spans="1:8" x14ac:dyDescent="0.25">
      <c r="A266">
        <v>202605</v>
      </c>
      <c r="B266" t="s">
        <v>94</v>
      </c>
      <c r="C266">
        <v>1760171999</v>
      </c>
      <c r="D266" t="s">
        <v>20</v>
      </c>
      <c r="E266" t="s">
        <v>21</v>
      </c>
      <c r="F266" t="s">
        <v>201</v>
      </c>
      <c r="G266" s="8">
        <v>1.708</v>
      </c>
      <c r="H266" s="25">
        <v>0.7</v>
      </c>
    </row>
    <row r="267" spans="1:8" x14ac:dyDescent="0.25">
      <c r="A267">
        <v>202605</v>
      </c>
      <c r="B267" t="s">
        <v>94</v>
      </c>
      <c r="C267">
        <v>1760177377</v>
      </c>
      <c r="D267" t="s">
        <v>20</v>
      </c>
      <c r="E267" t="s">
        <v>26</v>
      </c>
      <c r="F267" t="s">
        <v>118</v>
      </c>
      <c r="G267" s="8">
        <v>6.3553886899999995E-2</v>
      </c>
      <c r="H267" s="25">
        <v>2.94</v>
      </c>
    </row>
    <row r="268" spans="1:8" x14ac:dyDescent="0.25">
      <c r="A268">
        <v>202605</v>
      </c>
      <c r="B268" t="s">
        <v>94</v>
      </c>
      <c r="C268">
        <v>1760203750</v>
      </c>
      <c r="D268" t="s">
        <v>20</v>
      </c>
      <c r="E268" t="s">
        <v>26</v>
      </c>
      <c r="F268" t="s">
        <v>118</v>
      </c>
      <c r="G268" s="8">
        <v>0.29647388000000002</v>
      </c>
      <c r="H268" s="25">
        <v>2.94</v>
      </c>
    </row>
    <row r="269" spans="1:8" x14ac:dyDescent="0.25">
      <c r="A269">
        <v>202605</v>
      </c>
      <c r="B269" t="s">
        <v>94</v>
      </c>
      <c r="C269">
        <v>1760204404</v>
      </c>
      <c r="D269" t="s">
        <v>20</v>
      </c>
      <c r="E269" t="s">
        <v>26</v>
      </c>
      <c r="F269" t="s">
        <v>229</v>
      </c>
      <c r="G269" s="8">
        <v>0.68659999999999999</v>
      </c>
      <c r="H269" s="25">
        <v>4.8899999999999997</v>
      </c>
    </row>
    <row r="270" spans="1:8" x14ac:dyDescent="0.25">
      <c r="A270">
        <v>202605</v>
      </c>
      <c r="B270" t="s">
        <v>94</v>
      </c>
      <c r="C270">
        <v>1760213802</v>
      </c>
      <c r="D270" t="s">
        <v>20</v>
      </c>
      <c r="E270" t="s">
        <v>26</v>
      </c>
      <c r="F270" t="s">
        <v>118</v>
      </c>
      <c r="G270" s="8">
        <v>0.1376283724</v>
      </c>
      <c r="H270" s="25">
        <v>2.94</v>
      </c>
    </row>
    <row r="271" spans="1:8" x14ac:dyDescent="0.25">
      <c r="A271">
        <v>202605</v>
      </c>
      <c r="B271" t="s">
        <v>94</v>
      </c>
      <c r="C271">
        <v>1760274305</v>
      </c>
      <c r="D271" t="s">
        <v>20</v>
      </c>
      <c r="E271" t="s">
        <v>26</v>
      </c>
      <c r="F271" t="s">
        <v>115</v>
      </c>
      <c r="G271" s="8">
        <v>1.708</v>
      </c>
      <c r="H271" s="25">
        <v>3.35</v>
      </c>
    </row>
    <row r="272" spans="1:8" x14ac:dyDescent="0.25">
      <c r="A272">
        <v>202605</v>
      </c>
      <c r="B272" t="s">
        <v>94</v>
      </c>
      <c r="C272">
        <v>1760278882</v>
      </c>
      <c r="D272" t="s">
        <v>20</v>
      </c>
      <c r="E272" t="s">
        <v>26</v>
      </c>
      <c r="F272" t="s">
        <v>118</v>
      </c>
      <c r="G272" s="8">
        <v>0.342993728</v>
      </c>
      <c r="H272" s="25">
        <v>2.94</v>
      </c>
    </row>
    <row r="273" spans="1:8" x14ac:dyDescent="0.25">
      <c r="A273">
        <v>202605</v>
      </c>
      <c r="B273" t="s">
        <v>94</v>
      </c>
      <c r="C273">
        <v>1760344930</v>
      </c>
      <c r="D273" t="s">
        <v>20</v>
      </c>
      <c r="E273" t="s">
        <v>26</v>
      </c>
      <c r="F273" t="s">
        <v>118</v>
      </c>
      <c r="G273" s="8">
        <v>0.18960959976000002</v>
      </c>
      <c r="H273" s="25">
        <v>2.94</v>
      </c>
    </row>
    <row r="274" spans="1:8" x14ac:dyDescent="0.25">
      <c r="A274">
        <v>202605</v>
      </c>
      <c r="B274" t="s">
        <v>32</v>
      </c>
      <c r="C274">
        <v>1755910680</v>
      </c>
      <c r="D274" t="s">
        <v>20</v>
      </c>
      <c r="E274" t="s">
        <v>21</v>
      </c>
      <c r="F274" t="s">
        <v>203</v>
      </c>
      <c r="G274" s="8">
        <v>0.70340000000000003</v>
      </c>
      <c r="H274" s="25">
        <v>2.12</v>
      </c>
    </row>
    <row r="275" spans="1:8" x14ac:dyDescent="0.25">
      <c r="A275">
        <v>202605</v>
      </c>
      <c r="B275" t="s">
        <v>32</v>
      </c>
      <c r="C275">
        <v>1755947712</v>
      </c>
      <c r="D275" t="s">
        <v>20</v>
      </c>
      <c r="E275" t="s">
        <v>26</v>
      </c>
      <c r="F275" t="s">
        <v>204</v>
      </c>
      <c r="G275" s="8">
        <v>0.69179999999999997</v>
      </c>
      <c r="H275" s="25">
        <v>0.35</v>
      </c>
    </row>
    <row r="276" spans="1:8" x14ac:dyDescent="0.25">
      <c r="A276">
        <v>202605</v>
      </c>
      <c r="B276" t="s">
        <v>32</v>
      </c>
      <c r="C276">
        <v>1755948050</v>
      </c>
      <c r="D276" t="s">
        <v>20</v>
      </c>
      <c r="E276" t="s">
        <v>26</v>
      </c>
      <c r="F276" t="s">
        <v>204</v>
      </c>
      <c r="G276" s="8">
        <v>0.69179999999999997</v>
      </c>
      <c r="H276" s="25">
        <v>0.35</v>
      </c>
    </row>
    <row r="277" spans="1:8" x14ac:dyDescent="0.25">
      <c r="A277">
        <v>202605</v>
      </c>
      <c r="B277" t="s">
        <v>32</v>
      </c>
      <c r="C277">
        <v>1760148946</v>
      </c>
      <c r="D277" t="s">
        <v>25</v>
      </c>
      <c r="E277" t="s">
        <v>21</v>
      </c>
      <c r="F277" t="s">
        <v>126</v>
      </c>
      <c r="G277" s="8">
        <v>3.43</v>
      </c>
      <c r="H277" s="25">
        <v>2.15</v>
      </c>
    </row>
    <row r="278" spans="1:8" x14ac:dyDescent="0.25">
      <c r="A278">
        <v>202605</v>
      </c>
      <c r="B278" t="s">
        <v>32</v>
      </c>
      <c r="C278">
        <v>1760159654</v>
      </c>
      <c r="D278" t="s">
        <v>25</v>
      </c>
      <c r="E278" t="s">
        <v>37</v>
      </c>
      <c r="F278" t="s">
        <v>124</v>
      </c>
      <c r="G278" s="8">
        <v>0.48216331000000001</v>
      </c>
      <c r="H278" s="25">
        <v>4.43</v>
      </c>
    </row>
    <row r="279" spans="1:8" x14ac:dyDescent="0.25">
      <c r="A279">
        <v>202605</v>
      </c>
      <c r="B279" t="s">
        <v>32</v>
      </c>
      <c r="C279">
        <v>1760159750</v>
      </c>
      <c r="D279" t="s">
        <v>25</v>
      </c>
      <c r="E279" t="s">
        <v>21</v>
      </c>
      <c r="F279" t="s">
        <v>124</v>
      </c>
      <c r="G279" s="8">
        <v>0.82699999999999996</v>
      </c>
      <c r="H279" s="25">
        <v>4.25</v>
      </c>
    </row>
    <row r="280" spans="1:8" x14ac:dyDescent="0.25">
      <c r="A280">
        <v>202605</v>
      </c>
      <c r="B280" t="s">
        <v>32</v>
      </c>
      <c r="C280">
        <v>1760235660</v>
      </c>
      <c r="D280" t="s">
        <v>20</v>
      </c>
      <c r="E280" t="s">
        <v>26</v>
      </c>
      <c r="F280" t="s">
        <v>128</v>
      </c>
      <c r="G280" s="8">
        <v>0.34150000000000003</v>
      </c>
      <c r="H280" s="25">
        <v>5.55</v>
      </c>
    </row>
    <row r="281" spans="1:8" x14ac:dyDescent="0.25">
      <c r="A281">
        <v>202605</v>
      </c>
      <c r="B281" t="s">
        <v>32</v>
      </c>
      <c r="C281">
        <v>1760240486</v>
      </c>
      <c r="D281" t="s">
        <v>20</v>
      </c>
      <c r="E281" t="s">
        <v>26</v>
      </c>
      <c r="F281" t="s">
        <v>236</v>
      </c>
      <c r="G281" s="8">
        <v>0.88516799999999995</v>
      </c>
      <c r="H281" s="25">
        <v>18.649999999999999</v>
      </c>
    </row>
    <row r="282" spans="1:8" x14ac:dyDescent="0.25">
      <c r="A282">
        <v>202605</v>
      </c>
      <c r="B282" t="s">
        <v>32</v>
      </c>
      <c r="C282">
        <v>1760270865</v>
      </c>
      <c r="D282" t="s">
        <v>25</v>
      </c>
      <c r="E282" t="s">
        <v>37</v>
      </c>
      <c r="F282" t="s">
        <v>126</v>
      </c>
      <c r="G282" s="8">
        <v>4.5772864100000001</v>
      </c>
      <c r="H282" s="25">
        <v>0.85</v>
      </c>
    </row>
    <row r="283" spans="1:8" x14ac:dyDescent="0.25">
      <c r="A283">
        <v>202605</v>
      </c>
      <c r="B283" t="s">
        <v>32</v>
      </c>
      <c r="C283">
        <v>1760282316</v>
      </c>
      <c r="D283" t="s">
        <v>25</v>
      </c>
      <c r="E283" t="s">
        <v>37</v>
      </c>
      <c r="F283" t="s">
        <v>126</v>
      </c>
      <c r="G283" s="8">
        <v>0.36822120000000003</v>
      </c>
      <c r="H283" s="25">
        <v>0.85</v>
      </c>
    </row>
    <row r="284" spans="1:8" x14ac:dyDescent="0.25">
      <c r="A284">
        <v>202605</v>
      </c>
      <c r="B284" t="s">
        <v>32</v>
      </c>
      <c r="C284">
        <v>1760288420</v>
      </c>
      <c r="D284" t="s">
        <v>25</v>
      </c>
      <c r="E284" t="s">
        <v>26</v>
      </c>
      <c r="F284" t="s">
        <v>127</v>
      </c>
      <c r="G284" s="8">
        <v>0.22</v>
      </c>
      <c r="H284" s="25">
        <v>2.7</v>
      </c>
    </row>
    <row r="285" spans="1:8" x14ac:dyDescent="0.25">
      <c r="A285">
        <v>202605</v>
      </c>
      <c r="B285" t="s">
        <v>32</v>
      </c>
      <c r="C285">
        <v>1760312932</v>
      </c>
      <c r="D285" t="s">
        <v>25</v>
      </c>
      <c r="E285" t="s">
        <v>21</v>
      </c>
      <c r="F285" t="s">
        <v>124</v>
      </c>
      <c r="G285" s="8">
        <v>0.51200000000000001</v>
      </c>
      <c r="H285" s="25">
        <v>3.33</v>
      </c>
    </row>
    <row r="286" spans="1:8" x14ac:dyDescent="0.25">
      <c r="A286">
        <v>202605</v>
      </c>
      <c r="B286" t="s">
        <v>32</v>
      </c>
      <c r="C286">
        <v>1760317380</v>
      </c>
      <c r="D286" t="s">
        <v>25</v>
      </c>
      <c r="E286" t="s">
        <v>26</v>
      </c>
      <c r="F286" t="s">
        <v>127</v>
      </c>
      <c r="G286" s="8">
        <v>0.35899999999999999</v>
      </c>
      <c r="H286" s="25">
        <v>2.7</v>
      </c>
    </row>
    <row r="287" spans="1:8" x14ac:dyDescent="0.25">
      <c r="A287">
        <v>202605</v>
      </c>
      <c r="B287" t="s">
        <v>32</v>
      </c>
      <c r="C287">
        <v>1760347868</v>
      </c>
      <c r="D287" t="s">
        <v>25</v>
      </c>
      <c r="E287" t="s">
        <v>37</v>
      </c>
      <c r="F287" t="s">
        <v>126</v>
      </c>
      <c r="G287" s="8">
        <v>2.1026226600000002</v>
      </c>
      <c r="H287" s="25">
        <v>0.85</v>
      </c>
    </row>
    <row r="288" spans="1:8" x14ac:dyDescent="0.25">
      <c r="A288">
        <v>202605</v>
      </c>
      <c r="B288" t="s">
        <v>254</v>
      </c>
      <c r="C288">
        <v>1755928335</v>
      </c>
      <c r="D288" t="s">
        <v>25</v>
      </c>
      <c r="E288" t="s">
        <v>37</v>
      </c>
      <c r="F288" t="s">
        <v>205</v>
      </c>
      <c r="G288" s="8">
        <v>0.56417202</v>
      </c>
      <c r="H288" s="25">
        <v>3.55</v>
      </c>
    </row>
    <row r="289" spans="1:8" x14ac:dyDescent="0.25">
      <c r="A289">
        <v>202605</v>
      </c>
      <c r="B289" t="s">
        <v>254</v>
      </c>
      <c r="C289">
        <v>1760159719</v>
      </c>
      <c r="D289" t="s">
        <v>20</v>
      </c>
      <c r="E289" t="s">
        <v>37</v>
      </c>
      <c r="F289" t="s">
        <v>206</v>
      </c>
      <c r="G289" s="8">
        <v>0.12056701792000001</v>
      </c>
      <c r="H289" s="25">
        <v>4.7</v>
      </c>
    </row>
    <row r="290" spans="1:8" x14ac:dyDescent="0.25">
      <c r="A290">
        <v>202605</v>
      </c>
      <c r="B290" t="s">
        <v>254</v>
      </c>
      <c r="C290">
        <v>1760167789</v>
      </c>
      <c r="D290" t="s">
        <v>20</v>
      </c>
      <c r="E290" t="s">
        <v>37</v>
      </c>
      <c r="F290" t="s">
        <v>206</v>
      </c>
      <c r="G290" s="8">
        <v>5.635416192E-2</v>
      </c>
      <c r="H290" s="25">
        <v>4.5999999999999996</v>
      </c>
    </row>
    <row r="291" spans="1:8" x14ac:dyDescent="0.25">
      <c r="A291">
        <v>202605</v>
      </c>
      <c r="B291" t="s">
        <v>254</v>
      </c>
      <c r="C291">
        <v>1760235210</v>
      </c>
      <c r="D291" t="s">
        <v>20</v>
      </c>
      <c r="E291" t="s">
        <v>37</v>
      </c>
      <c r="F291" t="s">
        <v>206</v>
      </c>
      <c r="G291" s="8">
        <v>3.1880254400000002E-2</v>
      </c>
      <c r="H291" s="25">
        <v>4.7</v>
      </c>
    </row>
    <row r="292" spans="1:8" x14ac:dyDescent="0.25">
      <c r="A292">
        <v>202605</v>
      </c>
      <c r="B292" t="s">
        <v>254</v>
      </c>
      <c r="C292">
        <v>1760240516</v>
      </c>
      <c r="D292" t="s">
        <v>20</v>
      </c>
      <c r="E292" t="s">
        <v>37</v>
      </c>
      <c r="F292" t="s">
        <v>206</v>
      </c>
      <c r="G292" s="8">
        <v>3.6630314500000004E-2</v>
      </c>
      <c r="H292" s="25">
        <v>4.7</v>
      </c>
    </row>
    <row r="293" spans="1:8" x14ac:dyDescent="0.25">
      <c r="A293">
        <v>202605</v>
      </c>
      <c r="B293" t="s">
        <v>254</v>
      </c>
      <c r="C293">
        <v>1760349780</v>
      </c>
      <c r="D293" t="s">
        <v>20</v>
      </c>
      <c r="E293" t="s">
        <v>37</v>
      </c>
      <c r="F293" t="s">
        <v>206</v>
      </c>
      <c r="G293" s="8">
        <v>5.4951197760000001E-2</v>
      </c>
      <c r="H293" s="25">
        <v>4.8</v>
      </c>
    </row>
    <row r="294" spans="1:8" x14ac:dyDescent="0.25">
      <c r="A294">
        <v>202605</v>
      </c>
      <c r="B294" t="s">
        <v>34</v>
      </c>
      <c r="C294">
        <v>1755927576</v>
      </c>
      <c r="D294" t="s">
        <v>20</v>
      </c>
      <c r="E294" t="s">
        <v>21</v>
      </c>
      <c r="F294" t="s">
        <v>207</v>
      </c>
      <c r="G294" s="8">
        <v>0.69899999999999995</v>
      </c>
      <c r="H294" s="25">
        <v>0.9</v>
      </c>
    </row>
    <row r="295" spans="1:8" x14ac:dyDescent="0.25">
      <c r="A295">
        <v>202605</v>
      </c>
      <c r="B295" t="s">
        <v>34</v>
      </c>
      <c r="C295">
        <v>1755927622</v>
      </c>
      <c r="D295" t="s">
        <v>20</v>
      </c>
      <c r="E295" t="s">
        <v>21</v>
      </c>
      <c r="F295" t="s">
        <v>207</v>
      </c>
      <c r="G295" s="8">
        <v>0.69899999999999995</v>
      </c>
      <c r="H295" s="25">
        <v>0.9</v>
      </c>
    </row>
    <row r="296" spans="1:8" x14ac:dyDescent="0.25">
      <c r="A296">
        <v>202605</v>
      </c>
      <c r="B296" t="s">
        <v>34</v>
      </c>
      <c r="C296">
        <v>1760143820</v>
      </c>
      <c r="D296" t="s">
        <v>20</v>
      </c>
      <c r="E296" t="s">
        <v>26</v>
      </c>
      <c r="F296" t="s">
        <v>135</v>
      </c>
      <c r="G296" s="8">
        <v>0.34310000000000002</v>
      </c>
      <c r="H296" s="25">
        <v>4.04</v>
      </c>
    </row>
    <row r="297" spans="1:8" x14ac:dyDescent="0.25">
      <c r="A297">
        <v>202605</v>
      </c>
      <c r="B297" t="s">
        <v>95</v>
      </c>
      <c r="C297">
        <v>1755913140</v>
      </c>
      <c r="D297" t="s">
        <v>25</v>
      </c>
      <c r="E297" t="s">
        <v>21</v>
      </c>
      <c r="F297" t="s">
        <v>140</v>
      </c>
      <c r="G297" s="8">
        <v>4</v>
      </c>
      <c r="H297" s="25">
        <v>0.49</v>
      </c>
    </row>
    <row r="298" spans="1:8" x14ac:dyDescent="0.25">
      <c r="A298">
        <v>202605</v>
      </c>
      <c r="B298" t="s">
        <v>95</v>
      </c>
      <c r="C298">
        <v>1755935919</v>
      </c>
      <c r="D298" t="s">
        <v>20</v>
      </c>
      <c r="E298" t="s">
        <v>26</v>
      </c>
      <c r="F298" t="s">
        <v>195</v>
      </c>
      <c r="G298" s="8">
        <v>0.33263793647999995</v>
      </c>
      <c r="H298" s="25">
        <v>2.94</v>
      </c>
    </row>
    <row r="299" spans="1:8" x14ac:dyDescent="0.25">
      <c r="A299">
        <v>202605</v>
      </c>
      <c r="B299" t="s">
        <v>95</v>
      </c>
      <c r="C299">
        <v>1760113476</v>
      </c>
      <c r="D299" t="s">
        <v>20</v>
      </c>
      <c r="E299" t="s">
        <v>26</v>
      </c>
      <c r="F299" t="s">
        <v>120</v>
      </c>
      <c r="G299" s="8">
        <v>0.34460000000000002</v>
      </c>
      <c r="H299" s="25">
        <v>4.6900000000000004</v>
      </c>
    </row>
    <row r="300" spans="1:8" x14ac:dyDescent="0.25">
      <c r="A300">
        <v>202605</v>
      </c>
      <c r="B300" t="s">
        <v>95</v>
      </c>
      <c r="C300">
        <v>1760117072</v>
      </c>
      <c r="D300" t="s">
        <v>20</v>
      </c>
      <c r="E300" t="s">
        <v>21</v>
      </c>
      <c r="F300" t="s">
        <v>196</v>
      </c>
      <c r="G300" s="8">
        <v>0.55135999999999996</v>
      </c>
      <c r="H300" s="25">
        <v>3.7</v>
      </c>
    </row>
    <row r="301" spans="1:8" x14ac:dyDescent="0.25">
      <c r="A301">
        <v>202605</v>
      </c>
      <c r="B301" t="s">
        <v>95</v>
      </c>
      <c r="C301">
        <v>1760117080</v>
      </c>
      <c r="D301" t="s">
        <v>20</v>
      </c>
      <c r="E301" t="s">
        <v>26</v>
      </c>
      <c r="F301" t="s">
        <v>120</v>
      </c>
      <c r="G301" s="8">
        <v>0.34460000000000002</v>
      </c>
      <c r="H301" s="25">
        <v>4.6900000000000004</v>
      </c>
    </row>
    <row r="302" spans="1:8" x14ac:dyDescent="0.25">
      <c r="A302">
        <v>202605</v>
      </c>
      <c r="B302" t="s">
        <v>95</v>
      </c>
      <c r="C302">
        <v>1760120138</v>
      </c>
      <c r="D302" t="s">
        <v>20</v>
      </c>
      <c r="E302" t="s">
        <v>21</v>
      </c>
      <c r="F302" t="s">
        <v>196</v>
      </c>
      <c r="G302" s="8">
        <v>0.83393200000000001</v>
      </c>
      <c r="H302" s="25">
        <v>3.7</v>
      </c>
    </row>
    <row r="303" spans="1:8" x14ac:dyDescent="0.25">
      <c r="A303">
        <v>202605</v>
      </c>
      <c r="B303" t="s">
        <v>95</v>
      </c>
      <c r="C303">
        <v>1760120367</v>
      </c>
      <c r="D303" t="s">
        <v>20</v>
      </c>
      <c r="E303" t="s">
        <v>26</v>
      </c>
      <c r="F303" t="s">
        <v>197</v>
      </c>
      <c r="G303" s="8">
        <v>2.5809893875000003</v>
      </c>
      <c r="H303" s="25">
        <v>18.649999999999999</v>
      </c>
    </row>
    <row r="304" spans="1:8" x14ac:dyDescent="0.25">
      <c r="A304">
        <v>202605</v>
      </c>
      <c r="B304" t="s">
        <v>95</v>
      </c>
      <c r="C304">
        <v>1760167584</v>
      </c>
      <c r="D304" t="s">
        <v>25</v>
      </c>
      <c r="E304" t="s">
        <v>26</v>
      </c>
      <c r="F304" t="s">
        <v>208</v>
      </c>
      <c r="G304" s="8">
        <v>1.4</v>
      </c>
      <c r="H304" s="25">
        <v>0.9</v>
      </c>
    </row>
    <row r="305" spans="1:8" x14ac:dyDescent="0.25">
      <c r="A305">
        <v>202605</v>
      </c>
      <c r="B305" t="s">
        <v>95</v>
      </c>
      <c r="C305">
        <v>1760183350</v>
      </c>
      <c r="D305" t="s">
        <v>20</v>
      </c>
      <c r="E305" t="s">
        <v>26</v>
      </c>
      <c r="F305" t="s">
        <v>202</v>
      </c>
      <c r="G305" s="8">
        <v>0.11263091</v>
      </c>
      <c r="H305" s="25">
        <v>4.84</v>
      </c>
    </row>
    <row r="306" spans="1:8" x14ac:dyDescent="0.25">
      <c r="A306">
        <v>202605</v>
      </c>
      <c r="B306" t="s">
        <v>95</v>
      </c>
      <c r="C306">
        <v>1760183440</v>
      </c>
      <c r="D306" t="s">
        <v>25</v>
      </c>
      <c r="E306" t="s">
        <v>26</v>
      </c>
      <c r="F306" t="s">
        <v>209</v>
      </c>
      <c r="G306" s="8">
        <v>0.6</v>
      </c>
      <c r="H306" s="25">
        <v>1.1299999999999999</v>
      </c>
    </row>
    <row r="307" spans="1:8" x14ac:dyDescent="0.25">
      <c r="A307">
        <v>202605</v>
      </c>
      <c r="B307" t="s">
        <v>95</v>
      </c>
      <c r="C307">
        <v>1760239470</v>
      </c>
      <c r="D307" t="s">
        <v>20</v>
      </c>
      <c r="E307" t="s">
        <v>26</v>
      </c>
      <c r="F307" t="s">
        <v>208</v>
      </c>
      <c r="G307" s="8">
        <v>1.499185</v>
      </c>
      <c r="H307" s="25">
        <v>1</v>
      </c>
    </row>
    <row r="308" spans="1:8" x14ac:dyDescent="0.25">
      <c r="A308">
        <v>202605</v>
      </c>
      <c r="B308" t="s">
        <v>95</v>
      </c>
      <c r="C308">
        <v>1760273767</v>
      </c>
      <c r="D308" t="s">
        <v>25</v>
      </c>
      <c r="E308" t="s">
        <v>26</v>
      </c>
      <c r="F308" t="s">
        <v>139</v>
      </c>
      <c r="G308" s="8">
        <v>0.94</v>
      </c>
      <c r="H308" s="25">
        <v>1.1499999999999999</v>
      </c>
    </row>
    <row r="309" spans="1:8" x14ac:dyDescent="0.25">
      <c r="A309">
        <v>202605</v>
      </c>
      <c r="B309" t="s">
        <v>27</v>
      </c>
      <c r="C309">
        <v>1755912470</v>
      </c>
      <c r="D309" t="s">
        <v>25</v>
      </c>
      <c r="E309" t="s">
        <v>21</v>
      </c>
      <c r="F309" t="s">
        <v>145</v>
      </c>
      <c r="G309" s="8">
        <v>4</v>
      </c>
      <c r="H309" s="25">
        <v>0.5</v>
      </c>
    </row>
    <row r="310" spans="1:8" x14ac:dyDescent="0.25">
      <c r="A310">
        <v>202605</v>
      </c>
      <c r="B310" t="s">
        <v>27</v>
      </c>
      <c r="C310">
        <v>1755912650</v>
      </c>
      <c r="D310" t="s">
        <v>25</v>
      </c>
      <c r="E310" t="s">
        <v>21</v>
      </c>
      <c r="F310" t="s">
        <v>145</v>
      </c>
      <c r="G310" s="8">
        <v>5</v>
      </c>
      <c r="H310" s="25">
        <v>0.5</v>
      </c>
    </row>
    <row r="311" spans="1:8" x14ac:dyDescent="0.25">
      <c r="A311">
        <v>202605</v>
      </c>
      <c r="B311" t="s">
        <v>27</v>
      </c>
      <c r="C311">
        <v>1755936818</v>
      </c>
      <c r="D311" t="s">
        <v>25</v>
      </c>
      <c r="E311" t="s">
        <v>21</v>
      </c>
      <c r="F311" t="s">
        <v>210</v>
      </c>
      <c r="G311" s="8">
        <v>12.2</v>
      </c>
      <c r="H311" s="25">
        <v>2.95</v>
      </c>
    </row>
    <row r="312" spans="1:8" x14ac:dyDescent="0.25">
      <c r="A312">
        <v>202605</v>
      </c>
      <c r="B312" t="s">
        <v>27</v>
      </c>
      <c r="C312">
        <v>1755952449</v>
      </c>
      <c r="D312" t="s">
        <v>20</v>
      </c>
      <c r="E312" t="s">
        <v>21</v>
      </c>
      <c r="F312" t="s">
        <v>211</v>
      </c>
      <c r="G312" s="8">
        <v>0.86475000000000002</v>
      </c>
      <c r="H312" s="25">
        <v>1.8</v>
      </c>
    </row>
    <row r="313" spans="1:8" x14ac:dyDescent="0.25">
      <c r="A313">
        <v>202605</v>
      </c>
      <c r="B313" t="s">
        <v>27</v>
      </c>
      <c r="C313">
        <v>1755952473</v>
      </c>
      <c r="D313" t="s">
        <v>20</v>
      </c>
      <c r="E313" t="s">
        <v>21</v>
      </c>
      <c r="F313" t="s">
        <v>211</v>
      </c>
      <c r="G313" s="8">
        <v>0.69179999999999997</v>
      </c>
      <c r="H313" s="25">
        <v>1.8</v>
      </c>
    </row>
    <row r="314" spans="1:8" x14ac:dyDescent="0.25">
      <c r="A314">
        <v>202605</v>
      </c>
      <c r="B314" t="s">
        <v>27</v>
      </c>
      <c r="C314">
        <v>1755954760</v>
      </c>
      <c r="D314" t="s">
        <v>20</v>
      </c>
      <c r="E314" t="s">
        <v>26</v>
      </c>
      <c r="F314" t="s">
        <v>143</v>
      </c>
      <c r="G314" s="8">
        <v>6.9180000000000001</v>
      </c>
      <c r="H314" s="25">
        <v>1.1499999999999999</v>
      </c>
    </row>
    <row r="315" spans="1:8" x14ac:dyDescent="0.25">
      <c r="A315">
        <v>202605</v>
      </c>
      <c r="B315" t="s">
        <v>27</v>
      </c>
      <c r="C315">
        <v>1760130656</v>
      </c>
      <c r="D315" t="s">
        <v>20</v>
      </c>
      <c r="E315" t="s">
        <v>26</v>
      </c>
      <c r="F315" t="s">
        <v>144</v>
      </c>
      <c r="G315" s="8">
        <v>0.14800539999999998</v>
      </c>
      <c r="H315" s="25">
        <v>2.8</v>
      </c>
    </row>
    <row r="316" spans="1:8" x14ac:dyDescent="0.25">
      <c r="A316">
        <v>202605</v>
      </c>
      <c r="B316" t="s">
        <v>27</v>
      </c>
      <c r="C316">
        <v>1760171638</v>
      </c>
      <c r="D316" t="s">
        <v>20</v>
      </c>
      <c r="E316" t="s">
        <v>26</v>
      </c>
      <c r="F316" t="s">
        <v>143</v>
      </c>
      <c r="G316" s="8">
        <v>3.4159999999999999</v>
      </c>
      <c r="H316" s="25">
        <v>1.1499999999999999</v>
      </c>
    </row>
    <row r="317" spans="1:8" x14ac:dyDescent="0.25">
      <c r="A317">
        <v>202605</v>
      </c>
      <c r="B317" t="s">
        <v>27</v>
      </c>
      <c r="C317">
        <v>1760214094</v>
      </c>
      <c r="D317" t="s">
        <v>25</v>
      </c>
      <c r="E317" t="s">
        <v>21</v>
      </c>
      <c r="F317" t="s">
        <v>145</v>
      </c>
      <c r="G317" s="8">
        <v>3</v>
      </c>
      <c r="H317" s="25">
        <v>0.5</v>
      </c>
    </row>
    <row r="318" spans="1:8" x14ac:dyDescent="0.25">
      <c r="A318">
        <v>202605</v>
      </c>
      <c r="B318" t="s">
        <v>27</v>
      </c>
      <c r="C318">
        <v>1760226068</v>
      </c>
      <c r="D318" t="s">
        <v>20</v>
      </c>
      <c r="E318" t="s">
        <v>26</v>
      </c>
      <c r="F318" t="s">
        <v>237</v>
      </c>
      <c r="G318" s="8">
        <v>0.88685999999999998</v>
      </c>
      <c r="H318" s="25">
        <v>3.15</v>
      </c>
    </row>
    <row r="319" spans="1:8" x14ac:dyDescent="0.25">
      <c r="A319">
        <v>202605</v>
      </c>
      <c r="B319" t="s">
        <v>27</v>
      </c>
      <c r="C319">
        <v>1760251895</v>
      </c>
      <c r="D319" t="s">
        <v>20</v>
      </c>
      <c r="E319" t="s">
        <v>26</v>
      </c>
      <c r="F319" t="s">
        <v>144</v>
      </c>
      <c r="G319" s="8">
        <v>0.15653345339999999</v>
      </c>
      <c r="H319" s="25">
        <v>2.75</v>
      </c>
    </row>
    <row r="320" spans="1:8" x14ac:dyDescent="0.25">
      <c r="A320">
        <v>202605</v>
      </c>
      <c r="B320" t="s">
        <v>27</v>
      </c>
      <c r="C320">
        <v>1760346659</v>
      </c>
      <c r="D320" t="s">
        <v>20</v>
      </c>
      <c r="E320" t="s">
        <v>26</v>
      </c>
      <c r="F320" t="s">
        <v>144</v>
      </c>
      <c r="G320" s="8">
        <v>8.9070645480000002E-2</v>
      </c>
      <c r="H320" s="25">
        <v>2.9</v>
      </c>
    </row>
    <row r="321" spans="1:8" x14ac:dyDescent="0.25">
      <c r="A321">
        <v>202605</v>
      </c>
      <c r="B321" t="s">
        <v>39</v>
      </c>
      <c r="C321">
        <v>1755937938</v>
      </c>
      <c r="D321" t="s">
        <v>20</v>
      </c>
      <c r="E321" t="s">
        <v>26</v>
      </c>
      <c r="F321" t="s">
        <v>52</v>
      </c>
      <c r="G321" s="8">
        <v>2.4276</v>
      </c>
      <c r="H321" s="25">
        <v>0.6</v>
      </c>
    </row>
    <row r="322" spans="1:8" x14ac:dyDescent="0.25">
      <c r="A322">
        <v>202605</v>
      </c>
      <c r="B322" t="s">
        <v>39</v>
      </c>
      <c r="C322">
        <v>1755939850</v>
      </c>
      <c r="D322" t="s">
        <v>20</v>
      </c>
      <c r="E322" t="s">
        <v>21</v>
      </c>
      <c r="F322" t="s">
        <v>55</v>
      </c>
      <c r="G322" s="8">
        <v>1.0404</v>
      </c>
      <c r="H322" s="25">
        <v>1.1000000000000001</v>
      </c>
    </row>
    <row r="323" spans="1:8" x14ac:dyDescent="0.25">
      <c r="A323">
        <v>202605</v>
      </c>
      <c r="B323" t="s">
        <v>39</v>
      </c>
      <c r="C323">
        <v>1755939914</v>
      </c>
      <c r="D323" t="s">
        <v>20</v>
      </c>
      <c r="E323" t="s">
        <v>21</v>
      </c>
      <c r="F323" t="s">
        <v>55</v>
      </c>
      <c r="G323" s="8">
        <v>0.67625999999999997</v>
      </c>
      <c r="H323" s="25">
        <v>1.1000000000000001</v>
      </c>
    </row>
    <row r="324" spans="1:8" x14ac:dyDescent="0.25">
      <c r="A324">
        <v>202605</v>
      </c>
      <c r="B324" t="s">
        <v>39</v>
      </c>
      <c r="C324">
        <v>1760136590</v>
      </c>
      <c r="D324" t="s">
        <v>25</v>
      </c>
      <c r="E324" t="s">
        <v>37</v>
      </c>
      <c r="F324" t="s">
        <v>50</v>
      </c>
      <c r="G324" s="8">
        <v>0.18259047</v>
      </c>
      <c r="H324" s="25">
        <v>2.0699999999999998</v>
      </c>
    </row>
    <row r="325" spans="1:8" x14ac:dyDescent="0.25">
      <c r="A325">
        <v>202605</v>
      </c>
      <c r="B325" t="s">
        <v>39</v>
      </c>
      <c r="C325">
        <v>1760148610</v>
      </c>
      <c r="D325" t="s">
        <v>20</v>
      </c>
      <c r="E325" t="s">
        <v>37</v>
      </c>
      <c r="F325" t="s">
        <v>50</v>
      </c>
      <c r="G325" s="8">
        <v>0.39890260744</v>
      </c>
      <c r="H325" s="25">
        <v>3.1</v>
      </c>
    </row>
    <row r="326" spans="1:8" x14ac:dyDescent="0.25">
      <c r="A326">
        <v>202605</v>
      </c>
      <c r="B326" t="s">
        <v>39</v>
      </c>
      <c r="C326">
        <v>1760166324</v>
      </c>
      <c r="D326" t="s">
        <v>25</v>
      </c>
      <c r="E326" t="s">
        <v>21</v>
      </c>
      <c r="F326" t="s">
        <v>54</v>
      </c>
      <c r="G326" s="8">
        <v>0.245</v>
      </c>
      <c r="H326" s="25">
        <v>1.8</v>
      </c>
    </row>
    <row r="327" spans="1:8" x14ac:dyDescent="0.25">
      <c r="A327">
        <v>202605</v>
      </c>
      <c r="B327" t="s">
        <v>39</v>
      </c>
      <c r="C327">
        <v>1760208094</v>
      </c>
      <c r="D327" t="s">
        <v>25</v>
      </c>
      <c r="E327" t="s">
        <v>26</v>
      </c>
      <c r="F327" t="s">
        <v>230</v>
      </c>
      <c r="G327" s="8">
        <v>0.158</v>
      </c>
      <c r="H327" s="25">
        <v>4.9000000000000004</v>
      </c>
    </row>
    <row r="328" spans="1:8" x14ac:dyDescent="0.25">
      <c r="A328">
        <v>202605</v>
      </c>
      <c r="B328" t="s">
        <v>39</v>
      </c>
      <c r="C328">
        <v>1760217425</v>
      </c>
      <c r="D328" t="s">
        <v>20</v>
      </c>
      <c r="E328" t="s">
        <v>26</v>
      </c>
      <c r="F328" t="s">
        <v>231</v>
      </c>
      <c r="G328" s="8">
        <v>1.5768800000000001</v>
      </c>
      <c r="H328" s="25">
        <v>1.1000000000000001</v>
      </c>
    </row>
    <row r="329" spans="1:8" x14ac:dyDescent="0.25">
      <c r="A329">
        <v>202605</v>
      </c>
      <c r="B329" t="s">
        <v>39</v>
      </c>
      <c r="C329">
        <v>1760251526</v>
      </c>
      <c r="D329" t="s">
        <v>20</v>
      </c>
      <c r="E329" t="s">
        <v>26</v>
      </c>
      <c r="F329" t="s">
        <v>52</v>
      </c>
      <c r="G329" s="8">
        <v>1.0250999999999999</v>
      </c>
      <c r="H329" s="25">
        <v>0.6</v>
      </c>
    </row>
    <row r="330" spans="1:8" x14ac:dyDescent="0.25">
      <c r="A330">
        <v>202605</v>
      </c>
      <c r="B330" t="s">
        <v>39</v>
      </c>
      <c r="C330">
        <v>1760251933</v>
      </c>
      <c r="D330" t="s">
        <v>20</v>
      </c>
      <c r="E330" t="s">
        <v>21</v>
      </c>
      <c r="F330" t="s">
        <v>238</v>
      </c>
      <c r="G330" s="8">
        <v>0.3417</v>
      </c>
      <c r="H330" s="25">
        <v>1.2</v>
      </c>
    </row>
    <row r="331" spans="1:8" x14ac:dyDescent="0.25">
      <c r="A331">
        <v>202605</v>
      </c>
      <c r="B331" t="s">
        <v>39</v>
      </c>
      <c r="C331">
        <v>1760251940</v>
      </c>
      <c r="D331" t="s">
        <v>20</v>
      </c>
      <c r="E331" t="s">
        <v>21</v>
      </c>
      <c r="F331" t="s">
        <v>238</v>
      </c>
      <c r="G331" s="8">
        <v>0.3417</v>
      </c>
      <c r="H331" s="25">
        <v>1.2</v>
      </c>
    </row>
    <row r="332" spans="1:8" x14ac:dyDescent="0.25">
      <c r="A332">
        <v>202605</v>
      </c>
      <c r="B332" t="s">
        <v>39</v>
      </c>
      <c r="C332">
        <v>1760251950</v>
      </c>
      <c r="D332" t="s">
        <v>20</v>
      </c>
      <c r="E332" t="s">
        <v>21</v>
      </c>
      <c r="F332" t="s">
        <v>238</v>
      </c>
      <c r="G332" s="8">
        <v>0.3417</v>
      </c>
      <c r="H332" s="25">
        <v>1.2</v>
      </c>
    </row>
    <row r="333" spans="1:8" x14ac:dyDescent="0.25">
      <c r="A333">
        <v>202605</v>
      </c>
      <c r="B333" t="s">
        <v>39</v>
      </c>
      <c r="C333">
        <v>1760251968</v>
      </c>
      <c r="D333" t="s">
        <v>20</v>
      </c>
      <c r="E333" t="s">
        <v>21</v>
      </c>
      <c r="F333" t="s">
        <v>238</v>
      </c>
      <c r="G333" s="8">
        <v>0.167433</v>
      </c>
      <c r="H333" s="25">
        <v>1.2</v>
      </c>
    </row>
    <row r="334" spans="1:8" x14ac:dyDescent="0.25">
      <c r="A334">
        <v>202605</v>
      </c>
      <c r="B334" t="s">
        <v>39</v>
      </c>
      <c r="C334">
        <v>1760286613</v>
      </c>
      <c r="D334" t="s">
        <v>25</v>
      </c>
      <c r="E334" t="s">
        <v>26</v>
      </c>
      <c r="F334" t="s">
        <v>230</v>
      </c>
      <c r="G334" s="8">
        <v>0.2</v>
      </c>
      <c r="H334" s="25">
        <v>4.9000000000000004</v>
      </c>
    </row>
    <row r="335" spans="1:8" x14ac:dyDescent="0.25">
      <c r="A335">
        <v>202605</v>
      </c>
      <c r="B335" t="s">
        <v>39</v>
      </c>
      <c r="C335">
        <v>1760292486</v>
      </c>
      <c r="D335" t="s">
        <v>25</v>
      </c>
      <c r="E335" t="s">
        <v>21</v>
      </c>
      <c r="F335" t="s">
        <v>253</v>
      </c>
      <c r="G335" s="8">
        <v>1.3</v>
      </c>
      <c r="H335" s="25">
        <v>0.6</v>
      </c>
    </row>
    <row r="336" spans="1:8" x14ac:dyDescent="0.25">
      <c r="A336">
        <v>202605</v>
      </c>
      <c r="B336" t="s">
        <v>39</v>
      </c>
      <c r="C336">
        <v>1760349585</v>
      </c>
      <c r="D336" t="s">
        <v>25</v>
      </c>
      <c r="E336" t="s">
        <v>37</v>
      </c>
      <c r="F336" t="s">
        <v>257</v>
      </c>
      <c r="G336" s="8">
        <v>0.29793083000000004</v>
      </c>
      <c r="H336" s="25">
        <v>1.85</v>
      </c>
    </row>
    <row r="337" spans="1:8" x14ac:dyDescent="0.25">
      <c r="A337">
        <v>202605</v>
      </c>
      <c r="B337" t="s">
        <v>39</v>
      </c>
      <c r="C337">
        <v>1760349763</v>
      </c>
      <c r="D337" t="s">
        <v>25</v>
      </c>
      <c r="E337" t="s">
        <v>37</v>
      </c>
      <c r="F337" t="s">
        <v>258</v>
      </c>
      <c r="G337" s="8">
        <v>0.72894968999999998</v>
      </c>
      <c r="H337" s="25">
        <v>1.5</v>
      </c>
    </row>
    <row r="338" spans="1:8" x14ac:dyDescent="0.25">
      <c r="A338">
        <v>202605</v>
      </c>
      <c r="B338" t="s">
        <v>40</v>
      </c>
      <c r="C338">
        <v>1755943873</v>
      </c>
      <c r="D338" t="s">
        <v>20</v>
      </c>
      <c r="E338" t="s">
        <v>21</v>
      </c>
      <c r="F338" t="s">
        <v>66</v>
      </c>
      <c r="G338" s="8">
        <v>0.10403999999999999</v>
      </c>
      <c r="H338" s="25">
        <v>5.9</v>
      </c>
    </row>
    <row r="339" spans="1:8" x14ac:dyDescent="0.25">
      <c r="A339">
        <v>202605</v>
      </c>
      <c r="B339" t="s">
        <v>40</v>
      </c>
      <c r="C339">
        <v>1755949758</v>
      </c>
      <c r="D339" t="s">
        <v>25</v>
      </c>
      <c r="E339" t="s">
        <v>26</v>
      </c>
      <c r="F339" t="s">
        <v>61</v>
      </c>
      <c r="G339" s="8">
        <v>8.3000000000000004E-2</v>
      </c>
      <c r="H339" s="25">
        <v>4.9000000000000004</v>
      </c>
    </row>
    <row r="340" spans="1:8" x14ac:dyDescent="0.25">
      <c r="A340">
        <v>202605</v>
      </c>
      <c r="B340" t="s">
        <v>40</v>
      </c>
      <c r="C340">
        <v>1755953313</v>
      </c>
      <c r="D340" t="s">
        <v>20</v>
      </c>
      <c r="E340" t="s">
        <v>26</v>
      </c>
      <c r="F340" t="s">
        <v>63</v>
      </c>
      <c r="G340" s="8">
        <v>0.17294999999999999</v>
      </c>
      <c r="H340" s="25">
        <v>4.95</v>
      </c>
    </row>
    <row r="341" spans="1:8" x14ac:dyDescent="0.25">
      <c r="A341">
        <v>202605</v>
      </c>
      <c r="B341" t="s">
        <v>40</v>
      </c>
      <c r="C341">
        <v>1755954786</v>
      </c>
      <c r="D341" t="s">
        <v>25</v>
      </c>
      <c r="E341" t="s">
        <v>21</v>
      </c>
      <c r="F341" t="s">
        <v>93</v>
      </c>
      <c r="G341" s="8">
        <v>0.39</v>
      </c>
      <c r="H341" s="25">
        <v>1.2</v>
      </c>
    </row>
    <row r="342" spans="1:8" x14ac:dyDescent="0.25">
      <c r="A342">
        <v>202605</v>
      </c>
      <c r="B342" t="s">
        <v>40</v>
      </c>
      <c r="C342">
        <v>1760114960</v>
      </c>
      <c r="D342" t="s">
        <v>20</v>
      </c>
      <c r="E342" t="s">
        <v>26</v>
      </c>
      <c r="F342" t="s">
        <v>58</v>
      </c>
      <c r="G342" s="8">
        <v>0.68920000000000003</v>
      </c>
      <c r="H342" s="25">
        <v>1.93</v>
      </c>
    </row>
    <row r="343" spans="1:8" x14ac:dyDescent="0.25">
      <c r="A343">
        <v>202605</v>
      </c>
      <c r="B343" t="s">
        <v>40</v>
      </c>
      <c r="C343">
        <v>1760130249</v>
      </c>
      <c r="D343" t="s">
        <v>25</v>
      </c>
      <c r="E343" t="s">
        <v>26</v>
      </c>
      <c r="F343" t="s">
        <v>57</v>
      </c>
      <c r="G343" s="8">
        <v>3.5000000000000003E-2</v>
      </c>
      <c r="H343" s="25">
        <v>4.25</v>
      </c>
    </row>
    <row r="344" spans="1:8" x14ac:dyDescent="0.25">
      <c r="A344">
        <v>202605</v>
      </c>
      <c r="B344" t="s">
        <v>40</v>
      </c>
      <c r="C344">
        <v>1760130354</v>
      </c>
      <c r="D344" t="s">
        <v>25</v>
      </c>
      <c r="E344" t="s">
        <v>26</v>
      </c>
      <c r="F344" t="s">
        <v>57</v>
      </c>
      <c r="G344" s="8">
        <v>0.04</v>
      </c>
      <c r="H344" s="25">
        <v>4.25</v>
      </c>
    </row>
    <row r="345" spans="1:8" x14ac:dyDescent="0.25">
      <c r="A345">
        <v>202605</v>
      </c>
      <c r="B345" t="s">
        <v>40</v>
      </c>
      <c r="C345">
        <v>1760130389</v>
      </c>
      <c r="D345" t="s">
        <v>25</v>
      </c>
      <c r="E345" t="s">
        <v>26</v>
      </c>
      <c r="F345" t="s">
        <v>57</v>
      </c>
      <c r="G345" s="8">
        <v>5.5E-2</v>
      </c>
      <c r="H345" s="25">
        <v>4.25</v>
      </c>
    </row>
    <row r="346" spans="1:8" x14ac:dyDescent="0.25">
      <c r="A346">
        <v>202605</v>
      </c>
      <c r="B346" t="s">
        <v>40</v>
      </c>
      <c r="C346">
        <v>1760142920</v>
      </c>
      <c r="D346" t="s">
        <v>20</v>
      </c>
      <c r="E346" t="s">
        <v>26</v>
      </c>
      <c r="F346" t="s">
        <v>62</v>
      </c>
      <c r="G346" s="8">
        <v>0.19899800000000001</v>
      </c>
      <c r="H346" s="25">
        <v>2.35</v>
      </c>
    </row>
    <row r="347" spans="1:8" x14ac:dyDescent="0.25">
      <c r="A347">
        <v>202605</v>
      </c>
      <c r="B347" t="s">
        <v>40</v>
      </c>
      <c r="C347">
        <v>1760144100</v>
      </c>
      <c r="D347" t="s">
        <v>20</v>
      </c>
      <c r="E347" t="s">
        <v>26</v>
      </c>
      <c r="F347" t="s">
        <v>63</v>
      </c>
      <c r="G347" s="8">
        <v>0.17155000000000001</v>
      </c>
      <c r="H347" s="25">
        <v>4.95</v>
      </c>
    </row>
    <row r="348" spans="1:8" x14ac:dyDescent="0.25">
      <c r="A348">
        <v>202605</v>
      </c>
      <c r="B348" t="s">
        <v>40</v>
      </c>
      <c r="C348">
        <v>1760154090</v>
      </c>
      <c r="D348" t="s">
        <v>25</v>
      </c>
      <c r="E348" t="s">
        <v>26</v>
      </c>
      <c r="F348" t="s">
        <v>57</v>
      </c>
      <c r="G348" s="8">
        <v>2.9000000000000001E-2</v>
      </c>
      <c r="H348" s="25">
        <v>4.25</v>
      </c>
    </row>
    <row r="349" spans="1:8" x14ac:dyDescent="0.25">
      <c r="A349">
        <v>202605</v>
      </c>
      <c r="B349" t="s">
        <v>40</v>
      </c>
      <c r="C349">
        <v>1760154156</v>
      </c>
      <c r="D349" t="s">
        <v>25</v>
      </c>
      <c r="E349" t="s">
        <v>26</v>
      </c>
      <c r="F349" t="s">
        <v>57</v>
      </c>
      <c r="G349" s="8">
        <v>3.5000000000000003E-2</v>
      </c>
      <c r="H349" s="25">
        <v>4.25</v>
      </c>
    </row>
    <row r="350" spans="1:8" x14ac:dyDescent="0.25">
      <c r="A350">
        <v>202605</v>
      </c>
      <c r="B350" t="s">
        <v>40</v>
      </c>
      <c r="C350">
        <v>1760154164</v>
      </c>
      <c r="D350" t="s">
        <v>25</v>
      </c>
      <c r="E350" t="s">
        <v>26</v>
      </c>
      <c r="F350" t="s">
        <v>57</v>
      </c>
      <c r="G350" s="8">
        <v>0.05</v>
      </c>
      <c r="H350" s="25">
        <v>4.25</v>
      </c>
    </row>
    <row r="351" spans="1:8" x14ac:dyDescent="0.25">
      <c r="A351">
        <v>202605</v>
      </c>
      <c r="B351" t="s">
        <v>40</v>
      </c>
      <c r="C351">
        <v>1760164844</v>
      </c>
      <c r="D351" t="s">
        <v>25</v>
      </c>
      <c r="E351" t="s">
        <v>26</v>
      </c>
      <c r="F351" t="s">
        <v>57</v>
      </c>
      <c r="G351" s="8">
        <v>2.5000000000000001E-2</v>
      </c>
      <c r="H351" s="25">
        <v>4.25</v>
      </c>
    </row>
    <row r="352" spans="1:8" x14ac:dyDescent="0.25">
      <c r="A352">
        <v>202605</v>
      </c>
      <c r="B352" t="s">
        <v>40</v>
      </c>
      <c r="C352">
        <v>1760164879</v>
      </c>
      <c r="D352" t="s">
        <v>25</v>
      </c>
      <c r="E352" t="s">
        <v>26</v>
      </c>
      <c r="F352" t="s">
        <v>57</v>
      </c>
      <c r="G352" s="8">
        <v>2.7E-2</v>
      </c>
      <c r="H352" s="25">
        <v>4.25</v>
      </c>
    </row>
    <row r="353" spans="1:8" x14ac:dyDescent="0.25">
      <c r="A353">
        <v>202605</v>
      </c>
      <c r="B353" t="s">
        <v>40</v>
      </c>
      <c r="C353">
        <v>1760164984</v>
      </c>
      <c r="D353" t="s">
        <v>25</v>
      </c>
      <c r="E353" t="s">
        <v>26</v>
      </c>
      <c r="F353" t="s">
        <v>57</v>
      </c>
      <c r="G353" s="8">
        <v>0.04</v>
      </c>
      <c r="H353" s="25">
        <v>4.25</v>
      </c>
    </row>
    <row r="354" spans="1:8" x14ac:dyDescent="0.25">
      <c r="A354">
        <v>202605</v>
      </c>
      <c r="B354" t="s">
        <v>40</v>
      </c>
      <c r="C354">
        <v>1760165875</v>
      </c>
      <c r="D354" t="s">
        <v>20</v>
      </c>
      <c r="E354" t="s">
        <v>21</v>
      </c>
      <c r="F354" t="s">
        <v>66</v>
      </c>
      <c r="G354" s="8">
        <v>0.10248</v>
      </c>
      <c r="H354" s="25">
        <v>5.75</v>
      </c>
    </row>
    <row r="355" spans="1:8" x14ac:dyDescent="0.25">
      <c r="A355">
        <v>202605</v>
      </c>
      <c r="B355" t="s">
        <v>40</v>
      </c>
      <c r="C355">
        <v>1760167703</v>
      </c>
      <c r="D355" t="s">
        <v>20</v>
      </c>
      <c r="E355" t="s">
        <v>26</v>
      </c>
      <c r="F355" t="s">
        <v>97</v>
      </c>
      <c r="G355" s="8">
        <v>0.30743999999999999</v>
      </c>
      <c r="H355" s="25">
        <v>2.15</v>
      </c>
    </row>
    <row r="356" spans="1:8" x14ac:dyDescent="0.25">
      <c r="A356">
        <v>202605</v>
      </c>
      <c r="B356" t="s">
        <v>40</v>
      </c>
      <c r="C356">
        <v>1760170550</v>
      </c>
      <c r="D356" t="s">
        <v>20</v>
      </c>
      <c r="E356" t="s">
        <v>26</v>
      </c>
      <c r="F356" t="s">
        <v>63</v>
      </c>
      <c r="G356" s="8">
        <v>0.17080000000000001</v>
      </c>
      <c r="H356" s="25">
        <v>4.95</v>
      </c>
    </row>
    <row r="357" spans="1:8" x14ac:dyDescent="0.25">
      <c r="A357">
        <v>202605</v>
      </c>
      <c r="B357" t="s">
        <v>40</v>
      </c>
      <c r="C357">
        <v>1760177120</v>
      </c>
      <c r="D357" t="s">
        <v>20</v>
      </c>
      <c r="E357" t="s">
        <v>26</v>
      </c>
      <c r="F357" t="s">
        <v>58</v>
      </c>
      <c r="G357" s="8">
        <v>1.3720000000000001</v>
      </c>
      <c r="H357" s="25">
        <v>1.93</v>
      </c>
    </row>
    <row r="358" spans="1:8" x14ac:dyDescent="0.25">
      <c r="A358">
        <v>202605</v>
      </c>
      <c r="B358" t="s">
        <v>40</v>
      </c>
      <c r="C358">
        <v>1760247340</v>
      </c>
      <c r="D358" t="s">
        <v>20</v>
      </c>
      <c r="E358" t="s">
        <v>21</v>
      </c>
      <c r="F358" t="s">
        <v>66</v>
      </c>
      <c r="G358" s="8">
        <v>2.0501999999999999E-2</v>
      </c>
      <c r="H358" s="25">
        <v>6.25</v>
      </c>
    </row>
    <row r="359" spans="1:8" x14ac:dyDescent="0.25">
      <c r="A359">
        <v>202605</v>
      </c>
      <c r="B359" t="s">
        <v>40</v>
      </c>
      <c r="C359">
        <v>1760247420</v>
      </c>
      <c r="D359" t="s">
        <v>20</v>
      </c>
      <c r="E359" t="s">
        <v>21</v>
      </c>
      <c r="F359" t="s">
        <v>66</v>
      </c>
      <c r="G359" s="8">
        <v>0.10251</v>
      </c>
      <c r="H359" s="25">
        <v>6.25</v>
      </c>
    </row>
    <row r="360" spans="1:8" x14ac:dyDescent="0.25">
      <c r="A360">
        <v>202605</v>
      </c>
      <c r="B360" t="s">
        <v>40</v>
      </c>
      <c r="C360">
        <v>1760281182</v>
      </c>
      <c r="D360" t="s">
        <v>20</v>
      </c>
      <c r="E360" t="s">
        <v>21</v>
      </c>
      <c r="F360" t="s">
        <v>56</v>
      </c>
      <c r="G360" s="8">
        <v>0.90524000000000004</v>
      </c>
      <c r="H360" s="25">
        <v>5.45</v>
      </c>
    </row>
    <row r="361" spans="1:8" x14ac:dyDescent="0.25">
      <c r="A361">
        <v>202605</v>
      </c>
      <c r="B361" t="s">
        <v>40</v>
      </c>
      <c r="C361">
        <v>1760282669</v>
      </c>
      <c r="D361" t="s">
        <v>20</v>
      </c>
      <c r="E361" t="s">
        <v>67</v>
      </c>
      <c r="F361" t="s">
        <v>251</v>
      </c>
      <c r="G361" s="8">
        <v>0.6385358000000001</v>
      </c>
      <c r="H361" s="25">
        <v>0.9</v>
      </c>
    </row>
    <row r="362" spans="1:8" x14ac:dyDescent="0.25">
      <c r="A362">
        <v>202605</v>
      </c>
      <c r="B362" t="s">
        <v>40</v>
      </c>
      <c r="C362">
        <v>1760282707</v>
      </c>
      <c r="D362" t="s">
        <v>20</v>
      </c>
      <c r="E362" t="s">
        <v>67</v>
      </c>
      <c r="F362" t="s">
        <v>251</v>
      </c>
      <c r="G362" s="8">
        <v>1.0099404000000001</v>
      </c>
      <c r="H362" s="25">
        <v>0.9</v>
      </c>
    </row>
    <row r="363" spans="1:8" x14ac:dyDescent="0.25">
      <c r="A363">
        <v>202605</v>
      </c>
      <c r="B363" t="s">
        <v>40</v>
      </c>
      <c r="C363">
        <v>1760286036</v>
      </c>
      <c r="D363" t="s">
        <v>25</v>
      </c>
      <c r="E363" t="s">
        <v>26</v>
      </c>
      <c r="F363" t="s">
        <v>57</v>
      </c>
      <c r="G363" s="8">
        <v>4.1000000000000002E-2</v>
      </c>
      <c r="H363" s="25">
        <v>4.25</v>
      </c>
    </row>
    <row r="364" spans="1:8" x14ac:dyDescent="0.25">
      <c r="A364">
        <v>202605</v>
      </c>
      <c r="B364" t="s">
        <v>40</v>
      </c>
      <c r="C364">
        <v>1760286206</v>
      </c>
      <c r="D364" t="s">
        <v>25</v>
      </c>
      <c r="E364" t="s">
        <v>26</v>
      </c>
      <c r="F364" t="s">
        <v>57</v>
      </c>
      <c r="G364" s="8">
        <v>4.4999999999999998E-2</v>
      </c>
      <c r="H364" s="25">
        <v>4.25</v>
      </c>
    </row>
    <row r="365" spans="1:8" x14ac:dyDescent="0.25">
      <c r="A365">
        <v>202605</v>
      </c>
      <c r="B365" t="s">
        <v>40</v>
      </c>
      <c r="C365">
        <v>1760286230</v>
      </c>
      <c r="D365" t="s">
        <v>25</v>
      </c>
      <c r="E365" t="s">
        <v>26</v>
      </c>
      <c r="F365" t="s">
        <v>57</v>
      </c>
      <c r="G365" s="8">
        <v>7.4999999999999997E-2</v>
      </c>
      <c r="H365" s="25">
        <v>4.25</v>
      </c>
    </row>
    <row r="366" spans="1:8" x14ac:dyDescent="0.25">
      <c r="A366">
        <v>202605</v>
      </c>
      <c r="B366" t="s">
        <v>40</v>
      </c>
      <c r="C366">
        <v>1760344370</v>
      </c>
      <c r="D366" t="s">
        <v>20</v>
      </c>
      <c r="E366" t="s">
        <v>26</v>
      </c>
      <c r="F366" t="s">
        <v>65</v>
      </c>
      <c r="G366" s="8">
        <v>0.81253200000000003</v>
      </c>
      <c r="H366" s="25">
        <v>1.3</v>
      </c>
    </row>
    <row r="367" spans="1:8" x14ac:dyDescent="0.25">
      <c r="A367">
        <v>202605</v>
      </c>
      <c r="B367" t="s">
        <v>40</v>
      </c>
      <c r="C367">
        <v>1760346845</v>
      </c>
      <c r="D367" t="s">
        <v>20</v>
      </c>
      <c r="E367" t="s">
        <v>26</v>
      </c>
      <c r="F367" t="s">
        <v>58</v>
      </c>
      <c r="G367" s="8">
        <v>0.85350000000000004</v>
      </c>
      <c r="H367" s="25">
        <v>1.75</v>
      </c>
    </row>
    <row r="368" spans="1:8" x14ac:dyDescent="0.25">
      <c r="A368">
        <v>202605</v>
      </c>
      <c r="B368" t="s">
        <v>40</v>
      </c>
      <c r="C368">
        <v>1760349526</v>
      </c>
      <c r="D368" t="s">
        <v>20</v>
      </c>
      <c r="E368" t="s">
        <v>21</v>
      </c>
      <c r="F368" t="s">
        <v>259</v>
      </c>
      <c r="G368" s="8">
        <v>0.40967999999999999</v>
      </c>
      <c r="H368" s="25">
        <v>2.65</v>
      </c>
    </row>
    <row r="369" spans="1:8" x14ac:dyDescent="0.25">
      <c r="A369">
        <v>202605</v>
      </c>
      <c r="B369" t="s">
        <v>41</v>
      </c>
      <c r="C369">
        <v>1760161055</v>
      </c>
      <c r="D369" t="s">
        <v>20</v>
      </c>
      <c r="E369" t="s">
        <v>21</v>
      </c>
      <c r="F369" t="s">
        <v>147</v>
      </c>
      <c r="G369" s="8">
        <v>2.7391999999999999</v>
      </c>
      <c r="H369" s="25">
        <v>1.77</v>
      </c>
    </row>
    <row r="370" spans="1:8" x14ac:dyDescent="0.25">
      <c r="A370">
        <v>202605</v>
      </c>
      <c r="B370" t="s">
        <v>41</v>
      </c>
      <c r="C370">
        <v>1760292877</v>
      </c>
      <c r="D370" t="s">
        <v>25</v>
      </c>
      <c r="E370" t="s">
        <v>37</v>
      </c>
      <c r="F370" t="s">
        <v>150</v>
      </c>
      <c r="G370" s="8">
        <v>0.27646425000000002</v>
      </c>
      <c r="H370" s="25">
        <v>6.6</v>
      </c>
    </row>
    <row r="371" spans="1:8" x14ac:dyDescent="0.25">
      <c r="A371">
        <v>202605</v>
      </c>
      <c r="B371" t="s">
        <v>41</v>
      </c>
      <c r="C371">
        <v>1760293016</v>
      </c>
      <c r="D371" t="s">
        <v>25</v>
      </c>
      <c r="E371" t="s">
        <v>37</v>
      </c>
      <c r="F371" t="s">
        <v>150</v>
      </c>
      <c r="G371" s="8">
        <v>0.39344145000000003</v>
      </c>
      <c r="H371" s="25">
        <v>6.55</v>
      </c>
    </row>
    <row r="372" spans="1:8" x14ac:dyDescent="0.25">
      <c r="A372">
        <v>202605</v>
      </c>
      <c r="B372" t="s">
        <v>43</v>
      </c>
      <c r="C372">
        <v>1760170127</v>
      </c>
      <c r="D372" t="s">
        <v>20</v>
      </c>
      <c r="E372" t="s">
        <v>21</v>
      </c>
      <c r="F372" t="s">
        <v>151</v>
      </c>
      <c r="G372" s="8">
        <v>0.68320000000000003</v>
      </c>
      <c r="H372" s="25">
        <v>3.9</v>
      </c>
    </row>
    <row r="373" spans="1:8" x14ac:dyDescent="0.25">
      <c r="A373">
        <v>202605</v>
      </c>
      <c r="B373" t="s">
        <v>43</v>
      </c>
      <c r="C373">
        <v>1760182974</v>
      </c>
      <c r="D373" t="s">
        <v>20</v>
      </c>
      <c r="E373" t="s">
        <v>67</v>
      </c>
      <c r="F373" t="s">
        <v>212</v>
      </c>
      <c r="G373" s="8">
        <v>7.7175000000000002</v>
      </c>
      <c r="H373" s="25">
        <v>1.7</v>
      </c>
    </row>
    <row r="374" spans="1:8" x14ac:dyDescent="0.25">
      <c r="A374">
        <v>202605</v>
      </c>
      <c r="B374" t="s">
        <v>43</v>
      </c>
      <c r="C374">
        <v>1760183393</v>
      </c>
      <c r="D374" t="s">
        <v>20</v>
      </c>
      <c r="E374" t="s">
        <v>67</v>
      </c>
      <c r="F374" t="s">
        <v>212</v>
      </c>
      <c r="G374" s="8">
        <v>7.7175000000000002</v>
      </c>
      <c r="H374" s="25">
        <v>0</v>
      </c>
    </row>
    <row r="375" spans="1:8" x14ac:dyDescent="0.25">
      <c r="A375">
        <v>202605</v>
      </c>
      <c r="B375" t="s">
        <v>43</v>
      </c>
      <c r="C375">
        <v>1760223867</v>
      </c>
      <c r="D375" t="s">
        <v>20</v>
      </c>
      <c r="E375" t="s">
        <v>26</v>
      </c>
      <c r="F375" t="s">
        <v>239</v>
      </c>
      <c r="G375" s="8">
        <v>0.51165000000000005</v>
      </c>
      <c r="H375" s="25">
        <v>4.9000000000000004</v>
      </c>
    </row>
    <row r="376" spans="1:8" x14ac:dyDescent="0.25">
      <c r="A376">
        <v>202605</v>
      </c>
      <c r="B376" t="s">
        <v>43</v>
      </c>
      <c r="C376">
        <v>1760240443</v>
      </c>
      <c r="D376" t="s">
        <v>20</v>
      </c>
      <c r="E376" t="s">
        <v>26</v>
      </c>
      <c r="F376" t="s">
        <v>240</v>
      </c>
      <c r="G376" s="8">
        <v>3.415</v>
      </c>
      <c r="H376" s="25">
        <v>0.55000000000000004</v>
      </c>
    </row>
    <row r="377" spans="1:8" x14ac:dyDescent="0.25">
      <c r="A377">
        <v>202605</v>
      </c>
      <c r="B377" t="s">
        <v>43</v>
      </c>
      <c r="C377">
        <v>1760292109</v>
      </c>
      <c r="D377" t="s">
        <v>20</v>
      </c>
      <c r="E377" t="s">
        <v>21</v>
      </c>
      <c r="F377" t="s">
        <v>212</v>
      </c>
      <c r="G377" s="8">
        <v>8.5449999999999999</v>
      </c>
      <c r="H377" s="25">
        <v>0.95</v>
      </c>
    </row>
    <row r="378" spans="1:8" x14ac:dyDescent="0.25">
      <c r="A378">
        <v>202605</v>
      </c>
      <c r="B378" t="s">
        <v>35</v>
      </c>
      <c r="C378">
        <v>1755948913</v>
      </c>
      <c r="D378" t="s">
        <v>25</v>
      </c>
      <c r="E378" t="s">
        <v>21</v>
      </c>
      <c r="F378" t="s">
        <v>213</v>
      </c>
      <c r="G378" s="8">
        <v>1</v>
      </c>
      <c r="H378" s="25">
        <v>0.8</v>
      </c>
    </row>
    <row r="379" spans="1:8" x14ac:dyDescent="0.25">
      <c r="A379">
        <v>202605</v>
      </c>
      <c r="B379" t="s">
        <v>35</v>
      </c>
      <c r="C379">
        <v>1760135496</v>
      </c>
      <c r="D379" t="s">
        <v>20</v>
      </c>
      <c r="E379" t="s">
        <v>26</v>
      </c>
      <c r="F379" t="s">
        <v>214</v>
      </c>
      <c r="G379" s="8">
        <v>6.8680000000000003</v>
      </c>
      <c r="H379" s="25">
        <v>0.4</v>
      </c>
    </row>
    <row r="380" spans="1:8" x14ac:dyDescent="0.25">
      <c r="A380">
        <v>202605</v>
      </c>
      <c r="B380" t="s">
        <v>35</v>
      </c>
      <c r="C380">
        <v>1760142565</v>
      </c>
      <c r="D380" t="s">
        <v>25</v>
      </c>
      <c r="E380" t="s">
        <v>21</v>
      </c>
      <c r="F380" t="s">
        <v>215</v>
      </c>
      <c r="G380" s="8">
        <v>0.3458</v>
      </c>
      <c r="H380" s="25">
        <v>9.75</v>
      </c>
    </row>
    <row r="381" spans="1:8" x14ac:dyDescent="0.25">
      <c r="A381">
        <v>202605</v>
      </c>
      <c r="B381" t="s">
        <v>35</v>
      </c>
      <c r="C381">
        <v>1760148288</v>
      </c>
      <c r="D381" t="s">
        <v>20</v>
      </c>
      <c r="E381" t="s">
        <v>26</v>
      </c>
      <c r="F381" t="s">
        <v>156</v>
      </c>
      <c r="G381" s="8">
        <v>1.7155</v>
      </c>
      <c r="H381" s="25">
        <v>2.4500000000000002</v>
      </c>
    </row>
    <row r="382" spans="1:8" x14ac:dyDescent="0.25">
      <c r="A382">
        <v>202605</v>
      </c>
      <c r="B382" t="s">
        <v>35</v>
      </c>
      <c r="C382">
        <v>1760171573</v>
      </c>
      <c r="D382" t="s">
        <v>20</v>
      </c>
      <c r="E382" t="s">
        <v>67</v>
      </c>
      <c r="F382" t="s">
        <v>216</v>
      </c>
      <c r="G382" s="8">
        <v>1.708</v>
      </c>
      <c r="H382" s="25">
        <v>2.7</v>
      </c>
    </row>
    <row r="383" spans="1:8" x14ac:dyDescent="0.25">
      <c r="A383">
        <v>202605</v>
      </c>
      <c r="B383" t="s">
        <v>35</v>
      </c>
      <c r="C383">
        <v>1760266167</v>
      </c>
      <c r="D383" t="s">
        <v>20</v>
      </c>
      <c r="E383" t="s">
        <v>21</v>
      </c>
      <c r="F383" t="s">
        <v>155</v>
      </c>
      <c r="G383" s="8">
        <v>3.0726</v>
      </c>
      <c r="H383" s="25">
        <v>2.5</v>
      </c>
    </row>
    <row r="384" spans="1:8" x14ac:dyDescent="0.25">
      <c r="A384">
        <v>202605</v>
      </c>
      <c r="B384" t="s">
        <v>35</v>
      </c>
      <c r="C384">
        <v>1760274542</v>
      </c>
      <c r="D384" t="s">
        <v>20</v>
      </c>
      <c r="E384" t="s">
        <v>26</v>
      </c>
      <c r="F384" t="s">
        <v>156</v>
      </c>
      <c r="G384" s="8">
        <v>1.0247999999999999</v>
      </c>
      <c r="H384" s="25">
        <v>2.4500000000000002</v>
      </c>
    </row>
    <row r="385" spans="1:8" x14ac:dyDescent="0.25">
      <c r="A385">
        <v>202605</v>
      </c>
      <c r="B385" t="s">
        <v>35</v>
      </c>
      <c r="C385">
        <v>1760348988</v>
      </c>
      <c r="D385" t="s">
        <v>20</v>
      </c>
      <c r="E385" t="s">
        <v>21</v>
      </c>
      <c r="F385" t="s">
        <v>260</v>
      </c>
      <c r="G385" s="8">
        <v>1.3655999999999999</v>
      </c>
      <c r="H385" s="25">
        <v>6.2</v>
      </c>
    </row>
    <row r="386" spans="1:8" x14ac:dyDescent="0.25">
      <c r="A386">
        <v>202605</v>
      </c>
      <c r="B386" t="s">
        <v>36</v>
      </c>
      <c r="C386">
        <v>1755949553</v>
      </c>
      <c r="D386" t="s">
        <v>25</v>
      </c>
      <c r="E386" t="s">
        <v>21</v>
      </c>
      <c r="F386" t="s">
        <v>217</v>
      </c>
      <c r="G386" s="8">
        <v>1.0366291000000001</v>
      </c>
      <c r="H386" s="25">
        <v>5.2</v>
      </c>
    </row>
    <row r="387" spans="1:8" x14ac:dyDescent="0.25">
      <c r="A387">
        <v>202605</v>
      </c>
      <c r="B387" t="s">
        <v>36</v>
      </c>
      <c r="C387">
        <v>1755952546</v>
      </c>
      <c r="D387" t="s">
        <v>20</v>
      </c>
      <c r="E387" t="s">
        <v>26</v>
      </c>
      <c r="F387" t="s">
        <v>165</v>
      </c>
      <c r="G387" s="8">
        <v>0.41508</v>
      </c>
      <c r="H387" s="25">
        <v>3.5</v>
      </c>
    </row>
    <row r="388" spans="1:8" x14ac:dyDescent="0.25">
      <c r="A388">
        <v>202605</v>
      </c>
      <c r="B388" t="s">
        <v>36</v>
      </c>
      <c r="C388">
        <v>1760113182</v>
      </c>
      <c r="D388" t="s">
        <v>25</v>
      </c>
      <c r="E388" t="s">
        <v>21</v>
      </c>
      <c r="F388" t="s">
        <v>169</v>
      </c>
      <c r="G388" s="8">
        <v>0.35</v>
      </c>
      <c r="H388" s="25">
        <v>1.55</v>
      </c>
    </row>
    <row r="389" spans="1:8" x14ac:dyDescent="0.25">
      <c r="A389">
        <v>202605</v>
      </c>
      <c r="B389" t="s">
        <v>36</v>
      </c>
      <c r="C389">
        <v>1760113298</v>
      </c>
      <c r="D389" t="s">
        <v>25</v>
      </c>
      <c r="E389" t="s">
        <v>21</v>
      </c>
      <c r="F389" t="s">
        <v>169</v>
      </c>
      <c r="G389" s="8">
        <v>0.35</v>
      </c>
      <c r="H389" s="25">
        <v>1.55</v>
      </c>
    </row>
    <row r="390" spans="1:8" x14ac:dyDescent="0.25">
      <c r="A390">
        <v>202605</v>
      </c>
      <c r="B390" t="s">
        <v>36</v>
      </c>
      <c r="C390">
        <v>1760165506</v>
      </c>
      <c r="D390" t="s">
        <v>20</v>
      </c>
      <c r="E390" t="s">
        <v>67</v>
      </c>
      <c r="F390" t="s">
        <v>218</v>
      </c>
      <c r="G390" s="8">
        <v>2.0495999999999999</v>
      </c>
      <c r="H390" s="25">
        <v>1.3</v>
      </c>
    </row>
    <row r="391" spans="1:8" x14ac:dyDescent="0.25">
      <c r="A391">
        <v>202605</v>
      </c>
      <c r="B391" t="s">
        <v>36</v>
      </c>
      <c r="C391">
        <v>1760195766</v>
      </c>
      <c r="D391" t="s">
        <v>20</v>
      </c>
      <c r="E391" t="s">
        <v>21</v>
      </c>
      <c r="F391" t="s">
        <v>169</v>
      </c>
      <c r="G391" s="8">
        <v>0.34329999999999999</v>
      </c>
      <c r="H391" s="25">
        <v>1.8</v>
      </c>
    </row>
    <row r="392" spans="1:8" x14ac:dyDescent="0.25">
      <c r="A392">
        <v>202605</v>
      </c>
      <c r="B392" t="s">
        <v>36</v>
      </c>
      <c r="C392">
        <v>1760195847</v>
      </c>
      <c r="D392" t="s">
        <v>20</v>
      </c>
      <c r="E392" t="s">
        <v>21</v>
      </c>
      <c r="F392" t="s">
        <v>169</v>
      </c>
      <c r="G392" s="8">
        <v>0.34329999999999999</v>
      </c>
      <c r="H392" s="25">
        <v>1.8</v>
      </c>
    </row>
    <row r="393" spans="1:8" x14ac:dyDescent="0.25">
      <c r="A393">
        <v>202605</v>
      </c>
      <c r="B393" t="s">
        <v>36</v>
      </c>
      <c r="C393">
        <v>1760196096</v>
      </c>
      <c r="D393" t="s">
        <v>20</v>
      </c>
      <c r="E393" t="s">
        <v>21</v>
      </c>
      <c r="F393" t="s">
        <v>169</v>
      </c>
      <c r="G393" s="8">
        <v>0.34329999999999999</v>
      </c>
      <c r="H393" s="25">
        <v>1.8</v>
      </c>
    </row>
    <row r="394" spans="1:8" x14ac:dyDescent="0.25">
      <c r="A394">
        <v>202605</v>
      </c>
      <c r="B394" t="s">
        <v>36</v>
      </c>
      <c r="C394">
        <v>1760196185</v>
      </c>
      <c r="D394" t="s">
        <v>20</v>
      </c>
      <c r="E394" t="s">
        <v>21</v>
      </c>
      <c r="F394" t="s">
        <v>169</v>
      </c>
      <c r="G394" s="8">
        <v>0.34329999999999999</v>
      </c>
      <c r="H394" s="25">
        <v>1.8</v>
      </c>
    </row>
    <row r="395" spans="1:8" x14ac:dyDescent="0.25">
      <c r="A395">
        <v>202605</v>
      </c>
      <c r="B395" t="s">
        <v>36</v>
      </c>
      <c r="C395">
        <v>1760217816</v>
      </c>
      <c r="D395" t="s">
        <v>25</v>
      </c>
      <c r="E395" t="s">
        <v>21</v>
      </c>
      <c r="F395" t="s">
        <v>169</v>
      </c>
      <c r="G395" s="8">
        <v>0.35</v>
      </c>
      <c r="H395" s="25">
        <v>1.5</v>
      </c>
    </row>
    <row r="396" spans="1:8" x14ac:dyDescent="0.25">
      <c r="A396">
        <v>202605</v>
      </c>
      <c r="B396" t="s">
        <v>36</v>
      </c>
      <c r="C396">
        <v>1760223750</v>
      </c>
      <c r="D396" t="s">
        <v>25</v>
      </c>
      <c r="E396" t="s">
        <v>21</v>
      </c>
      <c r="F396" t="s">
        <v>169</v>
      </c>
      <c r="G396" s="8">
        <v>0.35</v>
      </c>
      <c r="H396" s="25">
        <v>1.5</v>
      </c>
    </row>
    <row r="397" spans="1:8" x14ac:dyDescent="0.25">
      <c r="A397">
        <v>202605</v>
      </c>
      <c r="B397" t="s">
        <v>36</v>
      </c>
      <c r="C397">
        <v>1760225916</v>
      </c>
      <c r="D397" t="s">
        <v>25</v>
      </c>
      <c r="E397" t="s">
        <v>21</v>
      </c>
      <c r="F397" t="s">
        <v>241</v>
      </c>
      <c r="G397" s="8">
        <v>0.91</v>
      </c>
      <c r="H397" s="25">
        <v>1.1200000000000001</v>
      </c>
    </row>
    <row r="398" spans="1:8" x14ac:dyDescent="0.25">
      <c r="A398">
        <v>202605</v>
      </c>
      <c r="B398" t="s">
        <v>36</v>
      </c>
      <c r="C398">
        <v>1760226040</v>
      </c>
      <c r="D398" t="s">
        <v>25</v>
      </c>
      <c r="E398" t="s">
        <v>21</v>
      </c>
      <c r="F398" t="s">
        <v>241</v>
      </c>
      <c r="G398" s="8">
        <v>0.91400000000000003</v>
      </c>
      <c r="H398" s="25">
        <v>1.1200000000000001</v>
      </c>
    </row>
    <row r="399" spans="1:8" x14ac:dyDescent="0.25">
      <c r="A399">
        <v>202605</v>
      </c>
      <c r="B399" t="s">
        <v>36</v>
      </c>
      <c r="C399">
        <v>1760226050</v>
      </c>
      <c r="D399" t="s">
        <v>25</v>
      </c>
      <c r="E399" t="s">
        <v>21</v>
      </c>
      <c r="F399" t="s">
        <v>241</v>
      </c>
      <c r="G399" s="8">
        <v>0.91800000000000004</v>
      </c>
      <c r="H399" s="25">
        <v>1.1200000000000001</v>
      </c>
    </row>
    <row r="400" spans="1:8" x14ac:dyDescent="0.25">
      <c r="A400">
        <v>202605</v>
      </c>
      <c r="B400" t="s">
        <v>36</v>
      </c>
      <c r="C400">
        <v>1760292354</v>
      </c>
      <c r="D400" t="s">
        <v>25</v>
      </c>
      <c r="E400" t="s">
        <v>21</v>
      </c>
      <c r="F400" t="s">
        <v>166</v>
      </c>
      <c r="G400" s="8">
        <v>1.3896999999999999</v>
      </c>
      <c r="H400" s="25">
        <v>0.75</v>
      </c>
    </row>
    <row r="401" spans="1:8" x14ac:dyDescent="0.25">
      <c r="A401">
        <v>202605</v>
      </c>
      <c r="B401" t="s">
        <v>45</v>
      </c>
      <c r="C401">
        <v>1755931492</v>
      </c>
      <c r="D401" t="s">
        <v>25</v>
      </c>
      <c r="E401" t="s">
        <v>21</v>
      </c>
      <c r="F401" t="s">
        <v>219</v>
      </c>
      <c r="G401" s="8">
        <v>0.42691699999999999</v>
      </c>
      <c r="H401" s="25">
        <v>1</v>
      </c>
    </row>
    <row r="402" spans="1:8" x14ac:dyDescent="0.25">
      <c r="A402">
        <v>202605</v>
      </c>
      <c r="B402" t="s">
        <v>45</v>
      </c>
      <c r="C402">
        <v>1755932715</v>
      </c>
      <c r="D402" t="s">
        <v>20</v>
      </c>
      <c r="E402" t="s">
        <v>26</v>
      </c>
      <c r="F402" t="s">
        <v>219</v>
      </c>
      <c r="G402" s="8">
        <v>0.66220114500000005</v>
      </c>
      <c r="H402" s="25">
        <v>1</v>
      </c>
    </row>
    <row r="403" spans="1:8" x14ac:dyDescent="0.25">
      <c r="A403">
        <v>202605</v>
      </c>
      <c r="B403" t="s">
        <v>29</v>
      </c>
      <c r="C403">
        <v>1755926870</v>
      </c>
      <c r="D403" t="s">
        <v>20</v>
      </c>
      <c r="E403" t="s">
        <v>26</v>
      </c>
      <c r="F403" t="s">
        <v>220</v>
      </c>
      <c r="G403" s="8">
        <v>1.0485</v>
      </c>
      <c r="H403" s="25">
        <v>3.85</v>
      </c>
    </row>
    <row r="404" spans="1:8" x14ac:dyDescent="0.25">
      <c r="A404">
        <v>202605</v>
      </c>
      <c r="B404" t="s">
        <v>29</v>
      </c>
      <c r="C404">
        <v>1755927339</v>
      </c>
      <c r="D404" t="s">
        <v>20</v>
      </c>
      <c r="E404" t="s">
        <v>26</v>
      </c>
      <c r="F404" t="s">
        <v>220</v>
      </c>
      <c r="G404" s="8">
        <v>0.85841484869999995</v>
      </c>
      <c r="H404" s="25">
        <v>3.85</v>
      </c>
    </row>
    <row r="405" spans="1:8" x14ac:dyDescent="0.25">
      <c r="A405">
        <v>202605</v>
      </c>
      <c r="B405" t="s">
        <v>29</v>
      </c>
      <c r="C405">
        <v>1755927370</v>
      </c>
      <c r="D405" t="s">
        <v>20</v>
      </c>
      <c r="E405" t="s">
        <v>26</v>
      </c>
      <c r="F405" t="s">
        <v>220</v>
      </c>
      <c r="G405" s="8">
        <v>0.18873000000000001</v>
      </c>
      <c r="H405" s="25">
        <v>3.85</v>
      </c>
    </row>
    <row r="406" spans="1:8" x14ac:dyDescent="0.25">
      <c r="A406">
        <v>202605</v>
      </c>
      <c r="B406" t="s">
        <v>29</v>
      </c>
      <c r="C406">
        <v>1755946147</v>
      </c>
      <c r="D406" t="s">
        <v>20</v>
      </c>
      <c r="E406" t="s">
        <v>67</v>
      </c>
      <c r="F406" t="s">
        <v>174</v>
      </c>
      <c r="G406" s="8">
        <v>1.4112720000000001</v>
      </c>
      <c r="H406" s="25">
        <v>0.9</v>
      </c>
    </row>
    <row r="407" spans="1:8" x14ac:dyDescent="0.25">
      <c r="A407">
        <v>202605</v>
      </c>
      <c r="B407" t="s">
        <v>29</v>
      </c>
      <c r="C407">
        <v>1760144045</v>
      </c>
      <c r="D407" t="s">
        <v>20</v>
      </c>
      <c r="E407" t="s">
        <v>26</v>
      </c>
      <c r="F407" t="s">
        <v>221</v>
      </c>
      <c r="G407" s="8">
        <v>5.8327</v>
      </c>
      <c r="H407" s="25">
        <v>0.24</v>
      </c>
    </row>
    <row r="408" spans="1:8" x14ac:dyDescent="0.25">
      <c r="A408">
        <v>202605</v>
      </c>
      <c r="B408" t="s">
        <v>29</v>
      </c>
      <c r="C408">
        <v>1760166804</v>
      </c>
      <c r="D408" t="s">
        <v>25</v>
      </c>
      <c r="E408" t="s">
        <v>21</v>
      </c>
      <c r="F408" t="s">
        <v>222</v>
      </c>
      <c r="G408" s="8">
        <v>3</v>
      </c>
      <c r="H408" s="25">
        <v>0.5</v>
      </c>
    </row>
    <row r="409" spans="1:8" x14ac:dyDescent="0.25">
      <c r="A409">
        <v>202605</v>
      </c>
      <c r="B409" t="s">
        <v>29</v>
      </c>
      <c r="C409">
        <v>1760166944</v>
      </c>
      <c r="D409" t="s">
        <v>25</v>
      </c>
      <c r="E409" t="s">
        <v>21</v>
      </c>
      <c r="F409" t="s">
        <v>222</v>
      </c>
      <c r="G409" s="8">
        <v>3</v>
      </c>
      <c r="H409" s="25">
        <v>0.5</v>
      </c>
    </row>
    <row r="410" spans="1:8" x14ac:dyDescent="0.25">
      <c r="A410">
        <v>202605</v>
      </c>
      <c r="B410" t="s">
        <v>29</v>
      </c>
      <c r="C410">
        <v>1760218693</v>
      </c>
      <c r="D410" t="s">
        <v>20</v>
      </c>
      <c r="E410" t="s">
        <v>21</v>
      </c>
      <c r="F410" t="s">
        <v>181</v>
      </c>
      <c r="G410" s="8">
        <v>2.7423999999999999</v>
      </c>
      <c r="H410" s="25">
        <v>0.25</v>
      </c>
    </row>
    <row r="411" spans="1:8" x14ac:dyDescent="0.25">
      <c r="A411">
        <v>202605</v>
      </c>
      <c r="B411" t="s">
        <v>29</v>
      </c>
      <c r="C411">
        <v>1760240400</v>
      </c>
      <c r="D411" t="s">
        <v>20</v>
      </c>
      <c r="E411" t="s">
        <v>26</v>
      </c>
      <c r="F411" t="s">
        <v>176</v>
      </c>
      <c r="G411" s="8">
        <v>5.3717949999999997</v>
      </c>
      <c r="H411" s="25">
        <v>0.6</v>
      </c>
    </row>
    <row r="412" spans="1:8" x14ac:dyDescent="0.25">
      <c r="A412">
        <v>202605</v>
      </c>
      <c r="B412" t="s">
        <v>29</v>
      </c>
      <c r="C412">
        <v>1760246948</v>
      </c>
      <c r="D412" t="s">
        <v>25</v>
      </c>
      <c r="E412" t="s">
        <v>21</v>
      </c>
      <c r="F412" t="s">
        <v>242</v>
      </c>
      <c r="G412" s="8">
        <v>2.016</v>
      </c>
      <c r="H412" s="25">
        <v>4.5999999999999996</v>
      </c>
    </row>
    <row r="413" spans="1:8" x14ac:dyDescent="0.25">
      <c r="A413">
        <v>202605</v>
      </c>
      <c r="B413" t="s">
        <v>29</v>
      </c>
      <c r="C413">
        <v>1760251470</v>
      </c>
      <c r="D413" t="s">
        <v>20</v>
      </c>
      <c r="E413" t="s">
        <v>26</v>
      </c>
      <c r="F413" t="s">
        <v>243</v>
      </c>
      <c r="G413" s="8">
        <v>1.7084999999999999</v>
      </c>
      <c r="H413" s="25">
        <v>3.15</v>
      </c>
    </row>
    <row r="414" spans="1:8" x14ac:dyDescent="0.25">
      <c r="A414">
        <v>202605</v>
      </c>
      <c r="B414" t="s">
        <v>29</v>
      </c>
      <c r="C414">
        <v>1760269433</v>
      </c>
      <c r="D414" t="s">
        <v>25</v>
      </c>
      <c r="E414" t="s">
        <v>21</v>
      </c>
      <c r="F414" t="s">
        <v>250</v>
      </c>
      <c r="G414" s="8">
        <v>0.13500000000000001</v>
      </c>
      <c r="H414" s="25">
        <v>0</v>
      </c>
    </row>
    <row r="415" spans="1:8" x14ac:dyDescent="0.25">
      <c r="A415">
        <v>202605</v>
      </c>
      <c r="B415" t="s">
        <v>29</v>
      </c>
      <c r="C415">
        <v>1760270660</v>
      </c>
      <c r="D415" t="s">
        <v>25</v>
      </c>
      <c r="E415" t="s">
        <v>21</v>
      </c>
      <c r="F415" t="s">
        <v>250</v>
      </c>
      <c r="G415" s="8">
        <v>0.42936000000000002</v>
      </c>
      <c r="H415" s="25">
        <v>0</v>
      </c>
    </row>
    <row r="416" spans="1:8" x14ac:dyDescent="0.25">
      <c r="A416">
        <v>202605</v>
      </c>
      <c r="B416" t="s">
        <v>29</v>
      </c>
      <c r="C416">
        <v>1760270717</v>
      </c>
      <c r="D416" t="s">
        <v>25</v>
      </c>
      <c r="E416" t="s">
        <v>21</v>
      </c>
      <c r="F416" t="s">
        <v>250</v>
      </c>
      <c r="G416" s="8">
        <v>0.33479999999999999</v>
      </c>
      <c r="H416" s="25">
        <v>0</v>
      </c>
    </row>
    <row r="417" spans="1:8" x14ac:dyDescent="0.25">
      <c r="A417">
        <v>202605</v>
      </c>
      <c r="B417" t="s">
        <v>29</v>
      </c>
      <c r="C417">
        <v>1760270733</v>
      </c>
      <c r="D417" t="s">
        <v>25</v>
      </c>
      <c r="E417" t="s">
        <v>21</v>
      </c>
      <c r="F417" t="s">
        <v>250</v>
      </c>
      <c r="G417" s="8">
        <v>0.29656500000000002</v>
      </c>
      <c r="H417" s="25">
        <v>0</v>
      </c>
    </row>
    <row r="418" spans="1:8" x14ac:dyDescent="0.25">
      <c r="A418">
        <v>202605</v>
      </c>
      <c r="B418" t="s">
        <v>29</v>
      </c>
      <c r="C418">
        <v>1760270740</v>
      </c>
      <c r="D418" t="s">
        <v>25</v>
      </c>
      <c r="E418" t="s">
        <v>21</v>
      </c>
      <c r="F418" t="s">
        <v>250</v>
      </c>
      <c r="G418" s="8">
        <v>0.46890399999999999</v>
      </c>
      <c r="H418" s="25">
        <v>0</v>
      </c>
    </row>
    <row r="419" spans="1:8" x14ac:dyDescent="0.25">
      <c r="A419">
        <v>202605</v>
      </c>
      <c r="B419" t="s">
        <v>29</v>
      </c>
      <c r="C419">
        <v>1760270750</v>
      </c>
      <c r="D419" t="s">
        <v>25</v>
      </c>
      <c r="E419" t="s">
        <v>21</v>
      </c>
      <c r="F419" t="s">
        <v>250</v>
      </c>
      <c r="G419" s="8">
        <v>0.31874999999999998</v>
      </c>
      <c r="H419" s="25">
        <v>0</v>
      </c>
    </row>
    <row r="420" spans="1:8" x14ac:dyDescent="0.25">
      <c r="A420">
        <v>202605</v>
      </c>
      <c r="B420" t="s">
        <v>29</v>
      </c>
      <c r="C420">
        <v>1760270768</v>
      </c>
      <c r="D420" t="s">
        <v>25</v>
      </c>
      <c r="E420" t="s">
        <v>21</v>
      </c>
      <c r="F420" t="s">
        <v>250</v>
      </c>
      <c r="G420" s="8">
        <v>0.33300000000000002</v>
      </c>
      <c r="H420" s="25">
        <v>0</v>
      </c>
    </row>
    <row r="421" spans="1:8" x14ac:dyDescent="0.25">
      <c r="A421">
        <v>202605</v>
      </c>
      <c r="B421" t="s">
        <v>29</v>
      </c>
      <c r="C421">
        <v>1760270784</v>
      </c>
      <c r="D421" t="s">
        <v>25</v>
      </c>
      <c r="E421" t="s">
        <v>21</v>
      </c>
      <c r="F421" t="s">
        <v>250</v>
      </c>
      <c r="G421" s="8">
        <v>0.39091500000000001</v>
      </c>
      <c r="H421" s="25">
        <v>0</v>
      </c>
    </row>
    <row r="422" spans="1:8" x14ac:dyDescent="0.25">
      <c r="A422">
        <v>202605</v>
      </c>
      <c r="B422" t="s">
        <v>29</v>
      </c>
      <c r="C422">
        <v>1760270806</v>
      </c>
      <c r="D422" t="s">
        <v>25</v>
      </c>
      <c r="E422" t="s">
        <v>21</v>
      </c>
      <c r="F422" t="s">
        <v>250</v>
      </c>
      <c r="G422" s="8">
        <v>0.33300000000000002</v>
      </c>
      <c r="H422" s="25">
        <v>0</v>
      </c>
    </row>
    <row r="423" spans="1:8" x14ac:dyDescent="0.25">
      <c r="A423">
        <v>202605</v>
      </c>
      <c r="B423" t="s">
        <v>29</v>
      </c>
      <c r="C423">
        <v>1760270822</v>
      </c>
      <c r="D423" t="s">
        <v>25</v>
      </c>
      <c r="E423" t="s">
        <v>21</v>
      </c>
      <c r="F423" t="s">
        <v>250</v>
      </c>
      <c r="G423" s="8">
        <v>0.35181000000000001</v>
      </c>
      <c r="H423" s="25">
        <v>0</v>
      </c>
    </row>
    <row r="424" spans="1:8" x14ac:dyDescent="0.25">
      <c r="A424">
        <v>202605</v>
      </c>
      <c r="B424" t="s">
        <v>29</v>
      </c>
      <c r="C424">
        <v>1760273074</v>
      </c>
      <c r="D424" t="s">
        <v>20</v>
      </c>
      <c r="E424" t="s">
        <v>67</v>
      </c>
      <c r="F424" t="s">
        <v>174</v>
      </c>
      <c r="G424" s="8">
        <v>0.94281599999999999</v>
      </c>
      <c r="H424" s="25">
        <v>0.9</v>
      </c>
    </row>
    <row r="425" spans="1:8" x14ac:dyDescent="0.25">
      <c r="A425">
        <v>202605</v>
      </c>
      <c r="B425" t="s">
        <v>29</v>
      </c>
      <c r="C425">
        <v>1760343595</v>
      </c>
      <c r="D425" t="s">
        <v>25</v>
      </c>
      <c r="E425" t="s">
        <v>21</v>
      </c>
      <c r="F425" t="s">
        <v>172</v>
      </c>
      <c r="G425" s="8">
        <v>0.8</v>
      </c>
      <c r="H425" s="25">
        <v>4.6500000000000004</v>
      </c>
    </row>
    <row r="426" spans="1:8" x14ac:dyDescent="0.25">
      <c r="A426">
        <v>202605</v>
      </c>
      <c r="B426" t="s">
        <v>42</v>
      </c>
      <c r="C426">
        <v>1760142107</v>
      </c>
      <c r="D426" t="s">
        <v>20</v>
      </c>
      <c r="E426" t="s">
        <v>26</v>
      </c>
      <c r="F426" t="s">
        <v>81</v>
      </c>
      <c r="G426" s="8">
        <v>0.96067999999999998</v>
      </c>
      <c r="H426" s="25">
        <v>3.9</v>
      </c>
    </row>
    <row r="427" spans="1:8" x14ac:dyDescent="0.25">
      <c r="A427">
        <v>202605</v>
      </c>
      <c r="B427" t="s">
        <v>42</v>
      </c>
      <c r="C427">
        <v>1760159735</v>
      </c>
      <c r="D427" t="s">
        <v>20</v>
      </c>
      <c r="E427" t="s">
        <v>26</v>
      </c>
      <c r="F427" t="s">
        <v>81</v>
      </c>
      <c r="G427" s="8">
        <v>0.34239999999999998</v>
      </c>
      <c r="H427" s="25">
        <v>3.9</v>
      </c>
    </row>
    <row r="428" spans="1:8" x14ac:dyDescent="0.25">
      <c r="A428">
        <v>202605</v>
      </c>
      <c r="B428" t="s">
        <v>42</v>
      </c>
      <c r="C428">
        <v>1760167680</v>
      </c>
      <c r="D428" t="s">
        <v>25</v>
      </c>
      <c r="E428" t="s">
        <v>26</v>
      </c>
      <c r="F428" t="s">
        <v>76</v>
      </c>
      <c r="G428" s="8">
        <v>1.19</v>
      </c>
      <c r="H428" s="25">
        <v>2.2000000000000002</v>
      </c>
    </row>
    <row r="429" spans="1:8" x14ac:dyDescent="0.25">
      <c r="A429">
        <v>202605</v>
      </c>
      <c r="B429" t="s">
        <v>42</v>
      </c>
      <c r="C429">
        <v>1760175780</v>
      </c>
      <c r="D429" t="s">
        <v>20</v>
      </c>
      <c r="E429" t="s">
        <v>26</v>
      </c>
      <c r="F429" t="s">
        <v>98</v>
      </c>
      <c r="G429" s="8">
        <v>1.7150000000000001</v>
      </c>
      <c r="H429" s="25">
        <v>1.1000000000000001</v>
      </c>
    </row>
    <row r="430" spans="1:8" x14ac:dyDescent="0.25">
      <c r="A430">
        <v>202605</v>
      </c>
      <c r="B430" t="s">
        <v>42</v>
      </c>
      <c r="C430">
        <v>1760203190</v>
      </c>
      <c r="D430" t="s">
        <v>25</v>
      </c>
      <c r="E430" t="s">
        <v>21</v>
      </c>
      <c r="F430" t="s">
        <v>232</v>
      </c>
      <c r="G430" s="8">
        <v>3.43</v>
      </c>
      <c r="H430" s="25">
        <v>2.2799999999999998</v>
      </c>
    </row>
    <row r="431" spans="1:8" x14ac:dyDescent="0.25">
      <c r="A431">
        <v>202605</v>
      </c>
      <c r="B431" t="s">
        <v>42</v>
      </c>
      <c r="C431">
        <v>1760217735</v>
      </c>
      <c r="D431" t="s">
        <v>25</v>
      </c>
      <c r="E431" t="s">
        <v>37</v>
      </c>
      <c r="F431" t="s">
        <v>233</v>
      </c>
      <c r="G431" s="8">
        <v>0.59659619999999991</v>
      </c>
      <c r="H431" s="25">
        <v>2.9</v>
      </c>
    </row>
    <row r="432" spans="1:8" x14ac:dyDescent="0.25">
      <c r="A432">
        <v>202605</v>
      </c>
      <c r="B432" t="s">
        <v>42</v>
      </c>
      <c r="C432">
        <v>1760224987</v>
      </c>
      <c r="D432" t="s">
        <v>20</v>
      </c>
      <c r="E432" t="s">
        <v>26</v>
      </c>
      <c r="F432" t="s">
        <v>81</v>
      </c>
      <c r="G432" s="8">
        <v>0.20466000000000001</v>
      </c>
      <c r="H432" s="25">
        <v>3.9</v>
      </c>
    </row>
    <row r="433" spans="1:8" x14ac:dyDescent="0.25">
      <c r="A433">
        <v>202605</v>
      </c>
      <c r="B433" t="s">
        <v>42</v>
      </c>
      <c r="C433">
        <v>1760228450</v>
      </c>
      <c r="D433" t="s">
        <v>20</v>
      </c>
      <c r="E433" t="s">
        <v>26</v>
      </c>
      <c r="F433" t="s">
        <v>244</v>
      </c>
      <c r="G433" s="8">
        <v>1.016478</v>
      </c>
      <c r="H433" s="25">
        <v>0.8</v>
      </c>
    </row>
    <row r="434" spans="1:8" x14ac:dyDescent="0.25">
      <c r="A434">
        <v>202605</v>
      </c>
      <c r="B434" t="s">
        <v>42</v>
      </c>
      <c r="C434">
        <v>1760235610</v>
      </c>
      <c r="D434" t="s">
        <v>20</v>
      </c>
      <c r="E434" t="s">
        <v>26</v>
      </c>
      <c r="F434" t="s">
        <v>244</v>
      </c>
      <c r="G434" s="8">
        <v>0.61128499999999997</v>
      </c>
      <c r="H434" s="25">
        <v>0.8</v>
      </c>
    </row>
    <row r="435" spans="1:8" x14ac:dyDescent="0.25">
      <c r="A435">
        <v>202605</v>
      </c>
      <c r="B435" t="s">
        <v>42</v>
      </c>
      <c r="C435">
        <v>1760261645</v>
      </c>
      <c r="D435" t="s">
        <v>25</v>
      </c>
      <c r="E435" t="s">
        <v>26</v>
      </c>
      <c r="F435" t="s">
        <v>69</v>
      </c>
      <c r="G435" s="8">
        <v>1.794</v>
      </c>
      <c r="H435" s="25">
        <v>0.6</v>
      </c>
    </row>
    <row r="436" spans="1:8" x14ac:dyDescent="0.25">
      <c r="A436">
        <v>202605</v>
      </c>
      <c r="B436" t="s">
        <v>42</v>
      </c>
      <c r="C436">
        <v>1760281697</v>
      </c>
      <c r="D436" t="s">
        <v>20</v>
      </c>
      <c r="E436" t="s">
        <v>26</v>
      </c>
      <c r="F436" t="s">
        <v>252</v>
      </c>
      <c r="G436" s="8">
        <v>0.1750549696</v>
      </c>
      <c r="H436" s="25">
        <v>2.25</v>
      </c>
    </row>
    <row r="437" spans="1:8" x14ac:dyDescent="0.25">
      <c r="A437">
        <v>202605</v>
      </c>
      <c r="B437" t="s">
        <v>42</v>
      </c>
      <c r="C437">
        <v>1760286567</v>
      </c>
      <c r="D437" t="s">
        <v>20</v>
      </c>
      <c r="E437" t="s">
        <v>26</v>
      </c>
      <c r="F437" t="s">
        <v>81</v>
      </c>
      <c r="G437" s="8">
        <v>0.47852</v>
      </c>
      <c r="H437" s="25">
        <v>3.9</v>
      </c>
    </row>
    <row r="438" spans="1:8" x14ac:dyDescent="0.25">
      <c r="A438">
        <v>202605</v>
      </c>
      <c r="B438" t="s">
        <v>42</v>
      </c>
      <c r="C438">
        <v>1760291110</v>
      </c>
      <c r="D438" t="s">
        <v>25</v>
      </c>
      <c r="E438" t="s">
        <v>26</v>
      </c>
      <c r="F438" t="s">
        <v>76</v>
      </c>
      <c r="G438" s="8">
        <v>0.377</v>
      </c>
      <c r="H438" s="25">
        <v>2.2000000000000002</v>
      </c>
    </row>
    <row r="439" spans="1:8" x14ac:dyDescent="0.25">
      <c r="A439">
        <v>202605</v>
      </c>
      <c r="B439" t="s">
        <v>42</v>
      </c>
      <c r="C439">
        <v>1760292605</v>
      </c>
      <c r="D439" t="s">
        <v>25</v>
      </c>
      <c r="E439" t="s">
        <v>37</v>
      </c>
      <c r="F439" t="s">
        <v>233</v>
      </c>
      <c r="G439" s="8">
        <v>0.49043750000000003</v>
      </c>
      <c r="H439" s="25">
        <v>3.65</v>
      </c>
    </row>
    <row r="440" spans="1:8" x14ac:dyDescent="0.25">
      <c r="A440">
        <v>202605</v>
      </c>
      <c r="B440" t="s">
        <v>42</v>
      </c>
      <c r="C440">
        <v>1760319030</v>
      </c>
      <c r="D440" t="s">
        <v>20</v>
      </c>
      <c r="E440" t="s">
        <v>26</v>
      </c>
      <c r="F440" t="s">
        <v>74</v>
      </c>
      <c r="G440" s="8">
        <v>0.85324999999999995</v>
      </c>
      <c r="H440" s="25">
        <v>2.5</v>
      </c>
    </row>
    <row r="441" spans="1:8" x14ac:dyDescent="0.25">
      <c r="A441">
        <v>202605</v>
      </c>
      <c r="B441" t="s">
        <v>42</v>
      </c>
      <c r="C441">
        <v>1760319040</v>
      </c>
      <c r="D441" t="s">
        <v>20</v>
      </c>
      <c r="E441" t="s">
        <v>26</v>
      </c>
      <c r="F441" t="s">
        <v>74</v>
      </c>
      <c r="G441" s="8">
        <v>0.85324999999999995</v>
      </c>
      <c r="H441" s="25">
        <v>2.5</v>
      </c>
    </row>
    <row r="442" spans="1:8" x14ac:dyDescent="0.25">
      <c r="A442">
        <v>202605</v>
      </c>
      <c r="B442" t="s">
        <v>42</v>
      </c>
      <c r="C442">
        <v>1760319066</v>
      </c>
      <c r="D442" t="s">
        <v>20</v>
      </c>
      <c r="E442" t="s">
        <v>26</v>
      </c>
      <c r="F442" t="s">
        <v>74</v>
      </c>
      <c r="G442" s="8">
        <v>0.85324999999999995</v>
      </c>
      <c r="H442" s="25">
        <v>2.5</v>
      </c>
    </row>
    <row r="443" spans="1:8" x14ac:dyDescent="0.25">
      <c r="A443">
        <v>202605</v>
      </c>
      <c r="B443" t="s">
        <v>42</v>
      </c>
      <c r="C443">
        <v>1760319074</v>
      </c>
      <c r="D443" t="s">
        <v>20</v>
      </c>
      <c r="E443" t="s">
        <v>26</v>
      </c>
      <c r="F443" t="s">
        <v>74</v>
      </c>
      <c r="G443" s="8">
        <v>0.85324999999999995</v>
      </c>
      <c r="H443" s="25">
        <v>2.5</v>
      </c>
    </row>
    <row r="444" spans="1:8" x14ac:dyDescent="0.25">
      <c r="A444">
        <v>202605</v>
      </c>
      <c r="B444" t="s">
        <v>42</v>
      </c>
      <c r="C444">
        <v>1760323420</v>
      </c>
      <c r="D444" t="s">
        <v>20</v>
      </c>
      <c r="E444" t="s">
        <v>26</v>
      </c>
      <c r="F444" t="s">
        <v>79</v>
      </c>
      <c r="G444" s="8">
        <v>1.7070000000000001</v>
      </c>
      <c r="H444" s="25">
        <v>1.3</v>
      </c>
    </row>
    <row r="445" spans="1:8" x14ac:dyDescent="0.25">
      <c r="A445">
        <v>202605</v>
      </c>
      <c r="B445" t="s">
        <v>96</v>
      </c>
      <c r="C445">
        <v>1755938012</v>
      </c>
      <c r="D445" t="s">
        <v>20</v>
      </c>
      <c r="E445" t="s">
        <v>26</v>
      </c>
      <c r="F445" t="s">
        <v>223</v>
      </c>
      <c r="G445" s="8">
        <v>2.6999975279999999</v>
      </c>
      <c r="H445" s="25">
        <v>0.35</v>
      </c>
    </row>
    <row r="446" spans="1:8" x14ac:dyDescent="0.25">
      <c r="A446">
        <v>202605</v>
      </c>
      <c r="B446" t="s">
        <v>96</v>
      </c>
      <c r="C446">
        <v>1755942877</v>
      </c>
      <c r="D446" t="s">
        <v>20</v>
      </c>
      <c r="E446" t="s">
        <v>26</v>
      </c>
      <c r="F446" t="s">
        <v>223</v>
      </c>
      <c r="G446" s="8">
        <v>0.7783440479999999</v>
      </c>
      <c r="H446" s="25">
        <v>0.35</v>
      </c>
    </row>
    <row r="447" spans="1:8" x14ac:dyDescent="0.25">
      <c r="A447">
        <v>202605</v>
      </c>
      <c r="B447" t="s">
        <v>96</v>
      </c>
      <c r="C447">
        <v>1760217719</v>
      </c>
      <c r="D447" t="s">
        <v>20</v>
      </c>
      <c r="E447" t="s">
        <v>26</v>
      </c>
      <c r="F447" t="s">
        <v>234</v>
      </c>
      <c r="G447" s="8">
        <v>27.423999999999999</v>
      </c>
      <c r="H447" s="25">
        <v>0.8</v>
      </c>
    </row>
    <row r="448" spans="1:8" x14ac:dyDescent="0.25">
      <c r="A448">
        <v>202605</v>
      </c>
      <c r="B448" t="s">
        <v>96</v>
      </c>
      <c r="C448">
        <v>1760218642</v>
      </c>
      <c r="D448" t="s">
        <v>20</v>
      </c>
      <c r="E448" t="s">
        <v>26</v>
      </c>
      <c r="F448" t="s">
        <v>185</v>
      </c>
      <c r="G448" s="8">
        <v>8.57</v>
      </c>
      <c r="H448" s="25">
        <v>0.4</v>
      </c>
    </row>
    <row r="449" spans="1:8" x14ac:dyDescent="0.25">
      <c r="A449">
        <v>202605</v>
      </c>
      <c r="B449" t="s">
        <v>96</v>
      </c>
      <c r="C449">
        <v>1760231118</v>
      </c>
      <c r="D449" t="s">
        <v>20</v>
      </c>
      <c r="E449" t="s">
        <v>26</v>
      </c>
      <c r="F449" t="s">
        <v>234</v>
      </c>
      <c r="G449" s="8">
        <v>6.83</v>
      </c>
      <c r="H449" s="25">
        <v>0.8</v>
      </c>
    </row>
    <row r="450" spans="1:8" x14ac:dyDescent="0.25">
      <c r="A450">
        <v>202605</v>
      </c>
      <c r="B450" t="s">
        <v>96</v>
      </c>
      <c r="C450">
        <v>1760236179</v>
      </c>
      <c r="D450" t="s">
        <v>20</v>
      </c>
      <c r="E450" t="s">
        <v>21</v>
      </c>
      <c r="F450" t="s">
        <v>245</v>
      </c>
      <c r="G450" s="8">
        <v>3.415</v>
      </c>
      <c r="H450" s="25">
        <v>1.85</v>
      </c>
    </row>
    <row r="451" spans="1:8" x14ac:dyDescent="0.25">
      <c r="A451">
        <v>202605</v>
      </c>
      <c r="B451" t="s">
        <v>96</v>
      </c>
      <c r="C451">
        <v>1760236209</v>
      </c>
      <c r="D451" t="s">
        <v>20</v>
      </c>
      <c r="E451" t="s">
        <v>21</v>
      </c>
      <c r="F451" t="s">
        <v>245</v>
      </c>
      <c r="G451" s="8">
        <v>3.415</v>
      </c>
      <c r="H451" s="25">
        <v>1.85</v>
      </c>
    </row>
    <row r="452" spans="1:8" x14ac:dyDescent="0.25">
      <c r="A452">
        <v>202605</v>
      </c>
      <c r="B452" t="s">
        <v>255</v>
      </c>
      <c r="C452">
        <v>1755954840</v>
      </c>
      <c r="D452" t="s">
        <v>20</v>
      </c>
      <c r="E452" t="s">
        <v>37</v>
      </c>
      <c r="F452" t="s">
        <v>224</v>
      </c>
      <c r="G452" s="8">
        <v>1.125790353E-2</v>
      </c>
      <c r="H452" s="25">
        <v>15.2</v>
      </c>
    </row>
    <row r="453" spans="1:8" x14ac:dyDescent="0.25">
      <c r="A453">
        <v>202605</v>
      </c>
      <c r="B453" t="s">
        <v>255</v>
      </c>
      <c r="C453">
        <v>1760176834</v>
      </c>
      <c r="D453" t="s">
        <v>25</v>
      </c>
      <c r="E453" t="s">
        <v>37</v>
      </c>
      <c r="F453" t="s">
        <v>225</v>
      </c>
      <c r="G453" s="8">
        <v>0.12449544999999999</v>
      </c>
      <c r="H453" s="25">
        <v>13.2</v>
      </c>
    </row>
    <row r="454" spans="1:8" x14ac:dyDescent="0.25">
      <c r="A454">
        <v>202605</v>
      </c>
      <c r="B454" t="s">
        <v>255</v>
      </c>
      <c r="C454">
        <v>1760223824</v>
      </c>
      <c r="D454" t="s">
        <v>25</v>
      </c>
      <c r="E454" t="s">
        <v>37</v>
      </c>
      <c r="F454" t="s">
        <v>246</v>
      </c>
      <c r="G454" s="8">
        <v>3.6125160000000003E-2</v>
      </c>
      <c r="H454" s="25">
        <v>4.7</v>
      </c>
    </row>
    <row r="455" spans="1:8" x14ac:dyDescent="0.25">
      <c r="A455">
        <v>202605</v>
      </c>
      <c r="B455" t="s">
        <v>255</v>
      </c>
      <c r="C455">
        <v>1760349968</v>
      </c>
      <c r="D455" t="s">
        <v>25</v>
      </c>
      <c r="E455" t="s">
        <v>37</v>
      </c>
      <c r="F455" t="s">
        <v>261</v>
      </c>
      <c r="G455" s="8">
        <v>0.53915002000000001</v>
      </c>
      <c r="H455" s="25">
        <v>8.65</v>
      </c>
    </row>
    <row r="456" spans="1:8" x14ac:dyDescent="0.25">
      <c r="A456">
        <v>202605</v>
      </c>
      <c r="B456" t="s">
        <v>44</v>
      </c>
      <c r="C456">
        <v>1760147206</v>
      </c>
      <c r="D456" t="s">
        <v>25</v>
      </c>
      <c r="E456" t="s">
        <v>26</v>
      </c>
      <c r="F456" t="s">
        <v>99</v>
      </c>
      <c r="G456" s="8">
        <v>3</v>
      </c>
      <c r="H456" s="25">
        <v>0.4</v>
      </c>
    </row>
    <row r="457" spans="1:8" x14ac:dyDescent="0.25">
      <c r="A457">
        <v>202605</v>
      </c>
      <c r="B457" t="s">
        <v>44</v>
      </c>
      <c r="C457">
        <v>1760236306</v>
      </c>
      <c r="D457" t="s">
        <v>20</v>
      </c>
      <c r="E457" t="s">
        <v>21</v>
      </c>
      <c r="F457" t="s">
        <v>247</v>
      </c>
      <c r="G457" s="8">
        <v>1.0245</v>
      </c>
      <c r="H457" s="25">
        <v>0.35</v>
      </c>
    </row>
    <row r="458" spans="1:8" x14ac:dyDescent="0.25">
      <c r="A458">
        <v>202605</v>
      </c>
      <c r="B458" t="s">
        <v>44</v>
      </c>
      <c r="C458">
        <v>1760348937</v>
      </c>
      <c r="D458" t="s">
        <v>20</v>
      </c>
      <c r="E458" t="s">
        <v>21</v>
      </c>
      <c r="F458" t="s">
        <v>262</v>
      </c>
      <c r="G458" s="8">
        <v>0.5121</v>
      </c>
      <c r="H458" s="25">
        <v>6.7</v>
      </c>
    </row>
    <row r="459" spans="1:8" x14ac:dyDescent="0.25">
      <c r="A459">
        <v>202605</v>
      </c>
      <c r="B459" t="s">
        <v>44</v>
      </c>
      <c r="C459">
        <v>1760349054</v>
      </c>
      <c r="D459" t="s">
        <v>20</v>
      </c>
      <c r="E459" t="s">
        <v>37</v>
      </c>
      <c r="F459" t="s">
        <v>88</v>
      </c>
      <c r="G459" s="8">
        <v>5.8881794339399995</v>
      </c>
      <c r="H459" s="25">
        <v>2.85</v>
      </c>
    </row>
    <row r="460" spans="1:8" x14ac:dyDescent="0.25">
      <c r="A460">
        <v>202605</v>
      </c>
      <c r="B460" t="s">
        <v>46</v>
      </c>
      <c r="C460">
        <v>1760120570</v>
      </c>
      <c r="D460" t="s">
        <v>25</v>
      </c>
      <c r="E460" t="s">
        <v>26</v>
      </c>
      <c r="F460" t="s">
        <v>226</v>
      </c>
      <c r="G460" s="8">
        <v>1.7</v>
      </c>
      <c r="H460" s="25">
        <v>1.1000000000000001</v>
      </c>
    </row>
    <row r="461" spans="1:8" x14ac:dyDescent="0.25">
      <c r="A461">
        <v>202605</v>
      </c>
      <c r="B461" t="s">
        <v>46</v>
      </c>
      <c r="C461">
        <v>1760135747</v>
      </c>
      <c r="D461" t="s">
        <v>20</v>
      </c>
      <c r="E461" t="s">
        <v>26</v>
      </c>
      <c r="F461" t="s">
        <v>227</v>
      </c>
      <c r="G461" s="8">
        <v>1.7170000000000001</v>
      </c>
      <c r="H461" s="25">
        <v>1.6</v>
      </c>
    </row>
    <row r="462" spans="1:8" x14ac:dyDescent="0.25">
      <c r="A462">
        <v>202605</v>
      </c>
      <c r="B462" t="s">
        <v>46</v>
      </c>
      <c r="C462">
        <v>1760135950</v>
      </c>
      <c r="D462" t="s">
        <v>20</v>
      </c>
      <c r="E462" t="s">
        <v>26</v>
      </c>
      <c r="F462" t="s">
        <v>227</v>
      </c>
      <c r="G462" s="8">
        <v>1.7170000000000001</v>
      </c>
      <c r="H462" s="25">
        <v>1.6</v>
      </c>
    </row>
    <row r="463" spans="1:8" x14ac:dyDescent="0.25">
      <c r="A463">
        <v>202605</v>
      </c>
      <c r="B463" t="s">
        <v>46</v>
      </c>
      <c r="C463">
        <v>1760137286</v>
      </c>
      <c r="D463" t="s">
        <v>20</v>
      </c>
      <c r="E463" t="s">
        <v>26</v>
      </c>
      <c r="F463" t="s">
        <v>228</v>
      </c>
      <c r="G463" s="8">
        <v>0.92975549999999996</v>
      </c>
      <c r="H463" s="25">
        <v>18.649999999999999</v>
      </c>
    </row>
    <row r="464" spans="1:8" x14ac:dyDescent="0.25">
      <c r="A464">
        <v>202605</v>
      </c>
      <c r="B464" t="s">
        <v>46</v>
      </c>
      <c r="C464">
        <v>1760148245</v>
      </c>
      <c r="D464" t="s">
        <v>20</v>
      </c>
      <c r="E464" t="s">
        <v>26</v>
      </c>
      <c r="F464" t="s">
        <v>228</v>
      </c>
      <c r="G464" s="8">
        <v>3.9765290000000002</v>
      </c>
      <c r="H464" s="25">
        <v>0.13</v>
      </c>
    </row>
    <row r="465" spans="1:8" x14ac:dyDescent="0.25">
      <c r="A465">
        <v>202605</v>
      </c>
      <c r="B465" t="s">
        <v>46</v>
      </c>
      <c r="C465">
        <v>1760148520</v>
      </c>
      <c r="D465" t="s">
        <v>20</v>
      </c>
      <c r="E465" t="s">
        <v>26</v>
      </c>
      <c r="F465" t="s">
        <v>228</v>
      </c>
      <c r="G465" s="8">
        <v>0.92894325</v>
      </c>
      <c r="H465" s="25">
        <v>0.13</v>
      </c>
    </row>
    <row r="466" spans="1:8" x14ac:dyDescent="0.25">
      <c r="A466">
        <v>202605</v>
      </c>
      <c r="B466" t="s">
        <v>46</v>
      </c>
      <c r="C466">
        <v>1760196370</v>
      </c>
      <c r="D466" t="s">
        <v>25</v>
      </c>
      <c r="E466" t="s">
        <v>37</v>
      </c>
      <c r="F466" t="s">
        <v>191</v>
      </c>
      <c r="G466" s="8">
        <v>4.9203900000000003</v>
      </c>
      <c r="H466" s="25">
        <v>0.5</v>
      </c>
    </row>
    <row r="467" spans="1:8" x14ac:dyDescent="0.25">
      <c r="A467">
        <v>202605</v>
      </c>
      <c r="B467" t="s">
        <v>46</v>
      </c>
      <c r="C467">
        <v>1760225592</v>
      </c>
      <c r="D467" t="s">
        <v>20</v>
      </c>
      <c r="E467" t="s">
        <v>26</v>
      </c>
      <c r="F467" t="s">
        <v>248</v>
      </c>
      <c r="G467" s="8">
        <v>1.33029</v>
      </c>
      <c r="H467" s="25">
        <v>0.9</v>
      </c>
    </row>
    <row r="468" spans="1:8" x14ac:dyDescent="0.25">
      <c r="A468">
        <v>202605</v>
      </c>
      <c r="B468" t="s">
        <v>46</v>
      </c>
      <c r="C468">
        <v>1760261520</v>
      </c>
      <c r="D468" t="s">
        <v>20</v>
      </c>
      <c r="E468" t="s">
        <v>26</v>
      </c>
      <c r="F468" t="s">
        <v>228</v>
      </c>
      <c r="G468" s="8">
        <v>1.5567839999999999</v>
      </c>
      <c r="H468" s="25">
        <v>0.13</v>
      </c>
    </row>
    <row r="469" spans="1:8" x14ac:dyDescent="0.25">
      <c r="A469">
        <v>202605</v>
      </c>
      <c r="B469" t="s">
        <v>46</v>
      </c>
      <c r="C469">
        <v>1760317322</v>
      </c>
      <c r="D469" t="s">
        <v>25</v>
      </c>
      <c r="E469" t="s">
        <v>37</v>
      </c>
      <c r="F469" t="s">
        <v>191</v>
      </c>
      <c r="G469" s="8">
        <v>4.4262899999999998</v>
      </c>
      <c r="H469" s="25">
        <v>0.5</v>
      </c>
    </row>
    <row r="470" spans="1:8" x14ac:dyDescent="0.25">
      <c r="A470">
        <v>202606</v>
      </c>
      <c r="B470" t="s">
        <v>19</v>
      </c>
      <c r="C470">
        <v>1764526155</v>
      </c>
      <c r="D470" t="s">
        <v>20</v>
      </c>
      <c r="E470" t="s">
        <v>21</v>
      </c>
      <c r="F470" t="s">
        <v>100</v>
      </c>
      <c r="G470" s="8">
        <v>6.8839999999999998E-2</v>
      </c>
      <c r="H470" s="25">
        <v>3.34</v>
      </c>
    </row>
    <row r="471" spans="1:8" x14ac:dyDescent="0.25">
      <c r="A471">
        <v>202606</v>
      </c>
      <c r="B471" t="s">
        <v>19</v>
      </c>
      <c r="C471">
        <v>1764557638</v>
      </c>
      <c r="D471" t="s">
        <v>20</v>
      </c>
      <c r="E471" t="s">
        <v>21</v>
      </c>
      <c r="F471" t="s">
        <v>100</v>
      </c>
      <c r="G471" s="8">
        <v>5.0540800000000004E-2</v>
      </c>
      <c r="H471" s="25">
        <v>3.24</v>
      </c>
    </row>
    <row r="472" spans="1:8" x14ac:dyDescent="0.25">
      <c r="A472">
        <v>202606</v>
      </c>
      <c r="B472" t="s">
        <v>19</v>
      </c>
      <c r="C472">
        <v>1764560400</v>
      </c>
      <c r="D472" t="s">
        <v>25</v>
      </c>
      <c r="E472" t="s">
        <v>21</v>
      </c>
      <c r="F472" t="s">
        <v>277</v>
      </c>
      <c r="G472" s="8">
        <v>0.68300000000000005</v>
      </c>
      <c r="H472" s="25">
        <v>3.25</v>
      </c>
    </row>
    <row r="473" spans="1:8" x14ac:dyDescent="0.25">
      <c r="A473">
        <v>202606</v>
      </c>
      <c r="B473" t="s">
        <v>28</v>
      </c>
      <c r="C473">
        <v>1760402656</v>
      </c>
      <c r="D473" t="s">
        <v>20</v>
      </c>
      <c r="E473" t="s">
        <v>21</v>
      </c>
      <c r="F473" t="s">
        <v>109</v>
      </c>
      <c r="G473" s="8">
        <v>0.85375000000000001</v>
      </c>
      <c r="H473" s="25">
        <v>0.6</v>
      </c>
    </row>
    <row r="474" spans="1:8" x14ac:dyDescent="0.25">
      <c r="A474">
        <v>202606</v>
      </c>
      <c r="B474" t="s">
        <v>94</v>
      </c>
      <c r="C474">
        <v>1760379450</v>
      </c>
      <c r="D474" t="s">
        <v>20</v>
      </c>
      <c r="E474" t="s">
        <v>26</v>
      </c>
      <c r="F474" t="s">
        <v>118</v>
      </c>
      <c r="G474" s="8">
        <v>0.12014203733999999</v>
      </c>
      <c r="H474" s="25">
        <v>2.94</v>
      </c>
    </row>
    <row r="475" spans="1:8" x14ac:dyDescent="0.25">
      <c r="A475">
        <v>202606</v>
      </c>
      <c r="B475" t="s">
        <v>94</v>
      </c>
      <c r="C475">
        <v>1760409448</v>
      </c>
      <c r="D475" t="s">
        <v>20</v>
      </c>
      <c r="E475" t="s">
        <v>26</v>
      </c>
      <c r="F475" t="s">
        <v>118</v>
      </c>
      <c r="G475" s="8">
        <v>0.10516167058000001</v>
      </c>
      <c r="H475" s="25">
        <v>2.94</v>
      </c>
    </row>
    <row r="476" spans="1:8" x14ac:dyDescent="0.25">
      <c r="A476">
        <v>202606</v>
      </c>
      <c r="B476" t="s">
        <v>32</v>
      </c>
      <c r="C476">
        <v>1760358990</v>
      </c>
      <c r="D476" t="s">
        <v>25</v>
      </c>
      <c r="E476" t="s">
        <v>37</v>
      </c>
      <c r="F476" t="s">
        <v>126</v>
      </c>
      <c r="G476" s="8">
        <v>1.54617194</v>
      </c>
      <c r="H476" s="25">
        <v>0.85</v>
      </c>
    </row>
    <row r="477" spans="1:8" x14ac:dyDescent="0.25">
      <c r="A477">
        <v>202606</v>
      </c>
      <c r="B477" t="s">
        <v>32</v>
      </c>
      <c r="C477">
        <v>1760379352</v>
      </c>
      <c r="D477" t="s">
        <v>20</v>
      </c>
      <c r="E477" t="s">
        <v>26</v>
      </c>
      <c r="F477" t="s">
        <v>264</v>
      </c>
      <c r="G477" s="8">
        <v>0.68220000000000003</v>
      </c>
      <c r="H477" s="25">
        <v>0.98</v>
      </c>
    </row>
    <row r="478" spans="1:8" x14ac:dyDescent="0.25">
      <c r="A478">
        <v>202606</v>
      </c>
      <c r="B478" t="s">
        <v>32</v>
      </c>
      <c r="C478">
        <v>1764536126</v>
      </c>
      <c r="D478" t="s">
        <v>25</v>
      </c>
      <c r="E478" t="s">
        <v>37</v>
      </c>
      <c r="F478" t="s">
        <v>124</v>
      </c>
      <c r="G478" s="8">
        <v>0.35023462</v>
      </c>
      <c r="H478" s="25">
        <v>4.3</v>
      </c>
    </row>
    <row r="479" spans="1:8" x14ac:dyDescent="0.25">
      <c r="A479">
        <v>202606</v>
      </c>
      <c r="B479" t="s">
        <v>32</v>
      </c>
      <c r="C479">
        <v>1764541103</v>
      </c>
      <c r="D479" t="s">
        <v>25</v>
      </c>
      <c r="E479" t="s">
        <v>26</v>
      </c>
      <c r="F479" t="s">
        <v>127</v>
      </c>
      <c r="G479" s="8">
        <v>0.26800000000000002</v>
      </c>
      <c r="H479" s="25">
        <v>2.75</v>
      </c>
    </row>
    <row r="480" spans="1:8" x14ac:dyDescent="0.25">
      <c r="A480">
        <v>202606</v>
      </c>
      <c r="B480" t="s">
        <v>32</v>
      </c>
      <c r="C480">
        <v>1764541928</v>
      </c>
      <c r="D480" t="s">
        <v>25</v>
      </c>
      <c r="E480" t="s">
        <v>21</v>
      </c>
      <c r="F480" t="s">
        <v>273</v>
      </c>
      <c r="G480" s="8">
        <v>1.37</v>
      </c>
      <c r="H480" s="25">
        <v>3.78</v>
      </c>
    </row>
    <row r="481" spans="1:8" x14ac:dyDescent="0.25">
      <c r="A481">
        <v>202606</v>
      </c>
      <c r="B481" t="s">
        <v>254</v>
      </c>
      <c r="C481">
        <v>1764560280</v>
      </c>
      <c r="D481" t="s">
        <v>20</v>
      </c>
      <c r="E481" t="s">
        <v>37</v>
      </c>
      <c r="F481" t="s">
        <v>206</v>
      </c>
      <c r="G481" s="8">
        <v>5.7150179839999996E-2</v>
      </c>
      <c r="H481" s="25">
        <v>5.15</v>
      </c>
    </row>
    <row r="482" spans="1:8" x14ac:dyDescent="0.25">
      <c r="A482">
        <v>202606</v>
      </c>
      <c r="B482" t="s">
        <v>34</v>
      </c>
      <c r="C482">
        <v>1764561040</v>
      </c>
      <c r="D482" t="s">
        <v>25</v>
      </c>
      <c r="E482" t="s">
        <v>26</v>
      </c>
      <c r="F482" t="s">
        <v>278</v>
      </c>
      <c r="G482" s="8">
        <v>0.68</v>
      </c>
      <c r="H482" s="25">
        <v>2.7</v>
      </c>
    </row>
    <row r="483" spans="1:8" x14ac:dyDescent="0.25">
      <c r="A483">
        <v>202606</v>
      </c>
      <c r="B483" t="s">
        <v>95</v>
      </c>
      <c r="C483">
        <v>1764549783</v>
      </c>
      <c r="D483" t="s">
        <v>20</v>
      </c>
      <c r="E483" t="s">
        <v>26</v>
      </c>
      <c r="F483" t="s">
        <v>202</v>
      </c>
      <c r="G483" s="8">
        <v>1.0773177309900002</v>
      </c>
      <c r="H483" s="25">
        <v>4.8499999999999996</v>
      </c>
    </row>
    <row r="484" spans="1:8" x14ac:dyDescent="0.25">
      <c r="A484">
        <v>202606</v>
      </c>
      <c r="B484" t="s">
        <v>27</v>
      </c>
      <c r="C484">
        <v>1760362840</v>
      </c>
      <c r="D484" t="s">
        <v>25</v>
      </c>
      <c r="E484" t="s">
        <v>21</v>
      </c>
      <c r="F484" t="s">
        <v>265</v>
      </c>
      <c r="G484" s="8">
        <v>4.5</v>
      </c>
      <c r="H484" s="25">
        <v>0.4</v>
      </c>
    </row>
    <row r="485" spans="1:8" x14ac:dyDescent="0.25">
      <c r="A485">
        <v>202606</v>
      </c>
      <c r="B485" t="s">
        <v>27</v>
      </c>
      <c r="C485">
        <v>1760402150</v>
      </c>
      <c r="D485" t="s">
        <v>20</v>
      </c>
      <c r="E485" t="s">
        <v>26</v>
      </c>
      <c r="F485" t="s">
        <v>142</v>
      </c>
      <c r="G485" s="8">
        <v>2.7320000000000002</v>
      </c>
      <c r="H485" s="25">
        <v>4</v>
      </c>
    </row>
    <row r="486" spans="1:8" x14ac:dyDescent="0.25">
      <c r="A486">
        <v>202606</v>
      </c>
      <c r="B486" t="s">
        <v>27</v>
      </c>
      <c r="C486">
        <v>1760411582</v>
      </c>
      <c r="D486" t="s">
        <v>20</v>
      </c>
      <c r="E486" t="s">
        <v>26</v>
      </c>
      <c r="F486" t="s">
        <v>144</v>
      </c>
      <c r="G486" s="8">
        <v>0.12807733629999998</v>
      </c>
      <c r="H486" s="25">
        <v>2.95</v>
      </c>
    </row>
    <row r="487" spans="1:8" x14ac:dyDescent="0.25">
      <c r="A487">
        <v>202606</v>
      </c>
      <c r="B487" t="s">
        <v>27</v>
      </c>
      <c r="C487">
        <v>1764555775</v>
      </c>
      <c r="D487" t="s">
        <v>20</v>
      </c>
      <c r="E487" t="s">
        <v>26</v>
      </c>
      <c r="F487" t="s">
        <v>144</v>
      </c>
      <c r="G487" s="8">
        <v>0.11495243776</v>
      </c>
      <c r="H487" s="25">
        <v>2.95</v>
      </c>
    </row>
    <row r="488" spans="1:8" x14ac:dyDescent="0.25">
      <c r="A488">
        <v>202606</v>
      </c>
      <c r="B488" t="s">
        <v>39</v>
      </c>
      <c r="C488">
        <v>1764531523</v>
      </c>
      <c r="D488" t="s">
        <v>25</v>
      </c>
      <c r="E488" t="s">
        <v>37</v>
      </c>
      <c r="F488" t="s">
        <v>50</v>
      </c>
      <c r="G488" s="8">
        <v>0.16433161999999998</v>
      </c>
      <c r="H488" s="25">
        <v>2.0499999999999998</v>
      </c>
    </row>
    <row r="489" spans="1:8" x14ac:dyDescent="0.25">
      <c r="A489">
        <v>202606</v>
      </c>
      <c r="B489" t="s">
        <v>39</v>
      </c>
      <c r="C489">
        <v>1764560370</v>
      </c>
      <c r="D489" t="s">
        <v>20</v>
      </c>
      <c r="E489" t="s">
        <v>37</v>
      </c>
      <c r="F489" t="s">
        <v>50</v>
      </c>
      <c r="G489" s="8">
        <v>0.30447511232000002</v>
      </c>
      <c r="H489" s="25">
        <v>2.6</v>
      </c>
    </row>
    <row r="490" spans="1:8" x14ac:dyDescent="0.25">
      <c r="A490">
        <v>202606</v>
      </c>
      <c r="B490" t="s">
        <v>40</v>
      </c>
      <c r="C490">
        <v>1760375764</v>
      </c>
      <c r="D490" t="s">
        <v>20</v>
      </c>
      <c r="E490" t="s">
        <v>21</v>
      </c>
      <c r="F490" t="s">
        <v>66</v>
      </c>
      <c r="G490" s="8">
        <v>0.13644000000000001</v>
      </c>
      <c r="H490" s="25">
        <v>5.75</v>
      </c>
    </row>
    <row r="491" spans="1:8" x14ac:dyDescent="0.25">
      <c r="A491">
        <v>202606</v>
      </c>
      <c r="B491" t="s">
        <v>40</v>
      </c>
      <c r="C491">
        <v>1760376220</v>
      </c>
      <c r="D491" t="s">
        <v>20</v>
      </c>
      <c r="E491" t="s">
        <v>26</v>
      </c>
      <c r="F491" t="s">
        <v>62</v>
      </c>
      <c r="G491" s="8">
        <v>0.80158499999999999</v>
      </c>
      <c r="H491" s="25">
        <v>2.35</v>
      </c>
    </row>
    <row r="492" spans="1:8" x14ac:dyDescent="0.25">
      <c r="A492">
        <v>202606</v>
      </c>
      <c r="B492" t="s">
        <v>40</v>
      </c>
      <c r="C492">
        <v>1760397008</v>
      </c>
      <c r="D492" t="s">
        <v>20</v>
      </c>
      <c r="E492" t="s">
        <v>26</v>
      </c>
      <c r="F492" t="s">
        <v>56</v>
      </c>
      <c r="G492" s="8">
        <v>0.2732</v>
      </c>
      <c r="H492" s="25">
        <v>5.55</v>
      </c>
    </row>
    <row r="493" spans="1:8" x14ac:dyDescent="0.25">
      <c r="A493">
        <v>202606</v>
      </c>
      <c r="B493" t="s">
        <v>40</v>
      </c>
      <c r="C493">
        <v>1760409090</v>
      </c>
      <c r="D493" t="s">
        <v>25</v>
      </c>
      <c r="E493" t="s">
        <v>37</v>
      </c>
      <c r="F493" t="s">
        <v>64</v>
      </c>
      <c r="G493" s="8">
        <v>0.14740560999999999</v>
      </c>
      <c r="H493" s="25">
        <v>2.5499999999999998</v>
      </c>
    </row>
    <row r="494" spans="1:8" x14ac:dyDescent="0.25">
      <c r="A494">
        <v>202606</v>
      </c>
      <c r="B494" t="s">
        <v>40</v>
      </c>
      <c r="C494">
        <v>1760412066</v>
      </c>
      <c r="D494" t="s">
        <v>25</v>
      </c>
      <c r="E494" t="s">
        <v>37</v>
      </c>
      <c r="F494" t="s">
        <v>64</v>
      </c>
      <c r="G494" s="8">
        <v>0.48440138999999999</v>
      </c>
      <c r="H494" s="25">
        <v>2.5499999999999998</v>
      </c>
    </row>
    <row r="495" spans="1:8" x14ac:dyDescent="0.25">
      <c r="A495">
        <v>202606</v>
      </c>
      <c r="B495" t="s">
        <v>40</v>
      </c>
      <c r="C495">
        <v>1764541390</v>
      </c>
      <c r="D495" t="s">
        <v>25</v>
      </c>
      <c r="E495" t="s">
        <v>26</v>
      </c>
      <c r="F495" t="s">
        <v>61</v>
      </c>
      <c r="G495" s="8">
        <v>6.83E-2</v>
      </c>
      <c r="H495" s="25">
        <v>5</v>
      </c>
    </row>
    <row r="496" spans="1:8" x14ac:dyDescent="0.25">
      <c r="A496">
        <v>202606</v>
      </c>
      <c r="B496" t="s">
        <v>40</v>
      </c>
      <c r="C496">
        <v>1764541588</v>
      </c>
      <c r="D496" t="s">
        <v>20</v>
      </c>
      <c r="E496" t="s">
        <v>21</v>
      </c>
      <c r="F496" t="s">
        <v>274</v>
      </c>
      <c r="G496" s="8">
        <v>1.0122</v>
      </c>
      <c r="H496" s="25">
        <v>3.68</v>
      </c>
    </row>
    <row r="497" spans="1:8" x14ac:dyDescent="0.25">
      <c r="A497">
        <v>202606</v>
      </c>
      <c r="B497" t="s">
        <v>40</v>
      </c>
      <c r="C497">
        <v>1764552407</v>
      </c>
      <c r="D497" t="s">
        <v>20</v>
      </c>
      <c r="E497" t="s">
        <v>21</v>
      </c>
      <c r="F497" t="s">
        <v>66</v>
      </c>
      <c r="G497" s="8">
        <v>0.10203</v>
      </c>
      <c r="H497" s="25">
        <v>6.5</v>
      </c>
    </row>
    <row r="498" spans="1:8" x14ac:dyDescent="0.25">
      <c r="A498">
        <v>202606</v>
      </c>
      <c r="B498" t="s">
        <v>40</v>
      </c>
      <c r="C498">
        <v>1764552415</v>
      </c>
      <c r="D498" t="s">
        <v>20</v>
      </c>
      <c r="E498" t="s">
        <v>21</v>
      </c>
      <c r="F498" t="s">
        <v>66</v>
      </c>
      <c r="G498" s="8">
        <v>0.10203</v>
      </c>
      <c r="H498" s="25">
        <v>6.5</v>
      </c>
    </row>
    <row r="499" spans="1:8" x14ac:dyDescent="0.25">
      <c r="A499">
        <v>202606</v>
      </c>
      <c r="B499" t="s">
        <v>41</v>
      </c>
      <c r="C499">
        <v>1760409723</v>
      </c>
      <c r="D499" t="s">
        <v>25</v>
      </c>
      <c r="E499" t="s">
        <v>26</v>
      </c>
      <c r="F499" t="s">
        <v>266</v>
      </c>
      <c r="G499" s="8">
        <v>1.3</v>
      </c>
      <c r="H499" s="25">
        <v>0.9</v>
      </c>
    </row>
    <row r="500" spans="1:8" x14ac:dyDescent="0.25">
      <c r="A500">
        <v>202606</v>
      </c>
      <c r="B500" t="s">
        <v>41</v>
      </c>
      <c r="C500">
        <v>1760411183</v>
      </c>
      <c r="D500" t="s">
        <v>25</v>
      </c>
      <c r="E500" t="s">
        <v>21</v>
      </c>
      <c r="F500" t="s">
        <v>267</v>
      </c>
      <c r="G500" s="8">
        <v>0.8</v>
      </c>
      <c r="H500" s="25">
        <v>1.79</v>
      </c>
    </row>
    <row r="501" spans="1:8" x14ac:dyDescent="0.25">
      <c r="A501">
        <v>202606</v>
      </c>
      <c r="B501" t="s">
        <v>43</v>
      </c>
      <c r="C501">
        <v>1760363227</v>
      </c>
      <c r="D501" t="s">
        <v>20</v>
      </c>
      <c r="E501" t="s">
        <v>26</v>
      </c>
      <c r="F501" t="s">
        <v>240</v>
      </c>
      <c r="G501" s="8">
        <v>3.4169999999999998</v>
      </c>
      <c r="H501" s="25">
        <v>0.55000000000000004</v>
      </c>
    </row>
    <row r="502" spans="1:8" x14ac:dyDescent="0.25">
      <c r="A502">
        <v>202606</v>
      </c>
      <c r="B502" t="s">
        <v>43</v>
      </c>
      <c r="C502">
        <v>1760380040</v>
      </c>
      <c r="D502" t="s">
        <v>25</v>
      </c>
      <c r="E502" t="s">
        <v>21</v>
      </c>
      <c r="F502" t="s">
        <v>268</v>
      </c>
      <c r="G502" s="8">
        <v>0.35</v>
      </c>
      <c r="H502" s="25">
        <v>2.5499999999999998</v>
      </c>
    </row>
    <row r="503" spans="1:8" x14ac:dyDescent="0.25">
      <c r="A503">
        <v>202606</v>
      </c>
      <c r="B503" t="s">
        <v>35</v>
      </c>
      <c r="C503">
        <v>1760385450</v>
      </c>
      <c r="D503" t="s">
        <v>20</v>
      </c>
      <c r="E503" t="s">
        <v>26</v>
      </c>
      <c r="F503" t="s">
        <v>153</v>
      </c>
      <c r="G503" s="8">
        <v>0.30762</v>
      </c>
      <c r="H503" s="25">
        <v>5</v>
      </c>
    </row>
    <row r="504" spans="1:8" x14ac:dyDescent="0.25">
      <c r="A504">
        <v>202606</v>
      </c>
      <c r="B504" t="s">
        <v>35</v>
      </c>
      <c r="C504">
        <v>1760385522</v>
      </c>
      <c r="D504" t="s">
        <v>20</v>
      </c>
      <c r="E504" t="s">
        <v>26</v>
      </c>
      <c r="F504" t="s">
        <v>153</v>
      </c>
      <c r="G504" s="8">
        <v>0.372562</v>
      </c>
      <c r="H504" s="25">
        <v>5</v>
      </c>
    </row>
    <row r="505" spans="1:8" x14ac:dyDescent="0.25">
      <c r="A505">
        <v>202606</v>
      </c>
      <c r="B505" t="s">
        <v>36</v>
      </c>
      <c r="C505">
        <v>1760376604</v>
      </c>
      <c r="D505" t="s">
        <v>20</v>
      </c>
      <c r="E505" t="s">
        <v>26</v>
      </c>
      <c r="F505" t="s">
        <v>269</v>
      </c>
      <c r="G505" s="8">
        <v>0.50428223999999999</v>
      </c>
      <c r="H505" s="25">
        <v>1.1100000000000001</v>
      </c>
    </row>
    <row r="506" spans="1:8" x14ac:dyDescent="0.25">
      <c r="A506">
        <v>202606</v>
      </c>
      <c r="B506" t="s">
        <v>36</v>
      </c>
      <c r="C506">
        <v>1760397199</v>
      </c>
      <c r="D506" t="s">
        <v>20</v>
      </c>
      <c r="E506" t="s">
        <v>26</v>
      </c>
      <c r="F506" t="s">
        <v>269</v>
      </c>
      <c r="G506" s="8">
        <v>0.836760375</v>
      </c>
      <c r="H506" s="25">
        <v>1.1100000000000001</v>
      </c>
    </row>
    <row r="507" spans="1:8" x14ac:dyDescent="0.25">
      <c r="A507">
        <v>202606</v>
      </c>
      <c r="B507" t="s">
        <v>36</v>
      </c>
      <c r="C507">
        <v>1764541880</v>
      </c>
      <c r="D507" t="s">
        <v>20</v>
      </c>
      <c r="E507" t="s">
        <v>26</v>
      </c>
      <c r="F507" t="s">
        <v>165</v>
      </c>
      <c r="G507" s="8">
        <v>0.40488000000000002</v>
      </c>
      <c r="H507" s="25">
        <v>3.5</v>
      </c>
    </row>
    <row r="508" spans="1:8" x14ac:dyDescent="0.25">
      <c r="A508">
        <v>202606</v>
      </c>
      <c r="B508" t="s">
        <v>36</v>
      </c>
      <c r="C508">
        <v>1764557719</v>
      </c>
      <c r="D508" t="s">
        <v>25</v>
      </c>
      <c r="E508" t="s">
        <v>21</v>
      </c>
      <c r="F508" t="s">
        <v>279</v>
      </c>
      <c r="G508" s="8">
        <v>1.1599999999999999</v>
      </c>
      <c r="H508" s="25">
        <v>0.85</v>
      </c>
    </row>
    <row r="509" spans="1:8" x14ac:dyDescent="0.25">
      <c r="A509">
        <v>202606</v>
      </c>
      <c r="B509" t="s">
        <v>36</v>
      </c>
      <c r="C509">
        <v>1764560060</v>
      </c>
      <c r="D509" t="s">
        <v>25</v>
      </c>
      <c r="E509" t="s">
        <v>21</v>
      </c>
      <c r="F509" t="s">
        <v>161</v>
      </c>
      <c r="G509" s="8">
        <v>0.17</v>
      </c>
      <c r="H509" s="25">
        <v>4.55</v>
      </c>
    </row>
    <row r="510" spans="1:8" x14ac:dyDescent="0.25">
      <c r="A510">
        <v>202606</v>
      </c>
      <c r="B510" t="s">
        <v>36</v>
      </c>
      <c r="C510">
        <v>1764560760</v>
      </c>
      <c r="D510" t="s">
        <v>25</v>
      </c>
      <c r="E510" t="s">
        <v>21</v>
      </c>
      <c r="F510" t="s">
        <v>167</v>
      </c>
      <c r="G510" s="8">
        <v>0.19</v>
      </c>
      <c r="H510" s="25">
        <v>8.58</v>
      </c>
    </row>
    <row r="511" spans="1:8" x14ac:dyDescent="0.25">
      <c r="A511">
        <v>202606</v>
      </c>
      <c r="B511" t="s">
        <v>36</v>
      </c>
      <c r="C511">
        <v>1764560973</v>
      </c>
      <c r="D511" t="s">
        <v>20</v>
      </c>
      <c r="E511" t="s">
        <v>21</v>
      </c>
      <c r="F511" t="s">
        <v>158</v>
      </c>
      <c r="G511" s="8">
        <v>0.61055999999999999</v>
      </c>
      <c r="H511" s="25">
        <v>4.95</v>
      </c>
    </row>
    <row r="512" spans="1:8" x14ac:dyDescent="0.25">
      <c r="A512">
        <v>202606</v>
      </c>
      <c r="B512" t="s">
        <v>36</v>
      </c>
      <c r="C512">
        <v>1764561155</v>
      </c>
      <c r="D512" t="s">
        <v>20</v>
      </c>
      <c r="E512" t="s">
        <v>26</v>
      </c>
      <c r="F512" t="s">
        <v>280</v>
      </c>
      <c r="G512" s="8">
        <v>2.1714905600000001</v>
      </c>
      <c r="H512" s="25">
        <v>0.7</v>
      </c>
    </row>
    <row r="513" spans="1:8" x14ac:dyDescent="0.25">
      <c r="A513">
        <v>202606</v>
      </c>
      <c r="B513" t="s">
        <v>29</v>
      </c>
      <c r="C513">
        <v>1760380423</v>
      </c>
      <c r="D513" t="s">
        <v>20</v>
      </c>
      <c r="E513" t="s">
        <v>26</v>
      </c>
      <c r="F513" t="s">
        <v>270</v>
      </c>
      <c r="G513" s="8">
        <v>5.1165000000000003</v>
      </c>
      <c r="H513" s="25">
        <v>2.4</v>
      </c>
    </row>
    <row r="514" spans="1:8" x14ac:dyDescent="0.25">
      <c r="A514">
        <v>202606</v>
      </c>
      <c r="B514" t="s">
        <v>29</v>
      </c>
      <c r="C514">
        <v>1760398853</v>
      </c>
      <c r="D514" t="s">
        <v>20</v>
      </c>
      <c r="E514" t="s">
        <v>26</v>
      </c>
      <c r="F514" t="s">
        <v>221</v>
      </c>
      <c r="G514" s="8">
        <v>4.4394999999999998</v>
      </c>
      <c r="H514" s="25">
        <v>0.3</v>
      </c>
    </row>
    <row r="515" spans="1:8" x14ac:dyDescent="0.25">
      <c r="A515">
        <v>202606</v>
      </c>
      <c r="B515" t="s">
        <v>42</v>
      </c>
      <c r="C515">
        <v>1764536053</v>
      </c>
      <c r="D515" t="s">
        <v>20</v>
      </c>
      <c r="E515" t="s">
        <v>26</v>
      </c>
      <c r="F515" t="s">
        <v>275</v>
      </c>
      <c r="G515" s="8">
        <v>0.50609999999999999</v>
      </c>
      <c r="H515" s="25">
        <v>3.05</v>
      </c>
    </row>
    <row r="516" spans="1:8" x14ac:dyDescent="0.25">
      <c r="A516">
        <v>202606</v>
      </c>
      <c r="B516" t="s">
        <v>96</v>
      </c>
      <c r="C516">
        <v>1764537882</v>
      </c>
      <c r="D516" t="s">
        <v>20</v>
      </c>
      <c r="E516" t="s">
        <v>26</v>
      </c>
      <c r="F516" t="s">
        <v>185</v>
      </c>
      <c r="G516" s="8">
        <v>5.80557435374</v>
      </c>
      <c r="H516" s="25">
        <v>0.3</v>
      </c>
    </row>
    <row r="517" spans="1:8" x14ac:dyDescent="0.25">
      <c r="A517">
        <v>202606</v>
      </c>
      <c r="B517" t="s">
        <v>255</v>
      </c>
      <c r="C517">
        <v>1760361356</v>
      </c>
      <c r="D517" t="s">
        <v>20</v>
      </c>
      <c r="E517" t="s">
        <v>37</v>
      </c>
      <c r="F517" t="s">
        <v>271</v>
      </c>
      <c r="G517" s="8">
        <v>2.581324812E-2</v>
      </c>
      <c r="H517" s="25">
        <v>5.2</v>
      </c>
    </row>
    <row r="518" spans="1:8" x14ac:dyDescent="0.25">
      <c r="A518">
        <v>202606</v>
      </c>
      <c r="B518" t="s">
        <v>255</v>
      </c>
      <c r="C518">
        <v>1760379832</v>
      </c>
      <c r="D518" t="s">
        <v>25</v>
      </c>
      <c r="E518" t="s">
        <v>37</v>
      </c>
      <c r="F518" t="s">
        <v>272</v>
      </c>
      <c r="G518" s="8">
        <v>0.33984283000000004</v>
      </c>
      <c r="H518" s="25">
        <v>8.65</v>
      </c>
    </row>
    <row r="519" spans="1:8" x14ac:dyDescent="0.25">
      <c r="A519">
        <v>202606</v>
      </c>
      <c r="B519" t="s">
        <v>47</v>
      </c>
      <c r="C519">
        <v>1764530420</v>
      </c>
      <c r="D519" t="s">
        <v>20</v>
      </c>
      <c r="E519" t="s">
        <v>26</v>
      </c>
      <c r="F519" t="s">
        <v>276</v>
      </c>
      <c r="G519" s="8">
        <v>1.2047000000000001</v>
      </c>
      <c r="H519" s="25">
        <v>2.85</v>
      </c>
    </row>
  </sheetData>
  <pageMargins left="0.7" right="0.7" top="0.75" bottom="0.75" header="0.3" footer="0.3"/>
  <pageSetup paperSize="9" orientation="portrait" r:id="rId3"/>
  <headerFooter>
    <oddFooter>&amp;C_x000D_&amp;1#&amp;"Aptos"&amp;8&amp;K000000 Información Interna</oddFooter>
  </headerFooter>
  <drawing r:id="rId4"/>
  <extLst>
    <ext xmlns:x14="http://schemas.microsoft.com/office/spreadsheetml/2009/9/main" uri="{A8765BA9-456A-4dab-B4F3-ACF838C121DE}">
      <x14:slicerList>
        <x14:slicer r:id="rId5"/>
      </x14:slicerList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_rels/item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.xml"/></Relationships>
</file>

<file path=customXml/_rels/item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6.xml"/></Relationships>
</file>

<file path=customXml/_rels/item7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7.xml"/></Relationships>
</file>

<file path=customXml/_rels/item8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8.xml"/></Relationships>
</file>

<file path=customXml/_rels/item9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9.xml"/></Relationships>
</file>

<file path=customXml/_rels/item10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0.xml"/></Relationships>
</file>

<file path=customXml/_rels/item1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1.xml"/></Relationships>
</file>

<file path=customXml/_rels/item1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2.xml"/></Relationships>
</file>

<file path=customXml/_rels/item1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3.xml"/></Relationships>
</file>

<file path=customXml/_rels/item1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4.xml"/></Relationships>
</file>

<file path=customXml/_rels/item1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5.xml"/></Relationships>
</file>

<file path=customXml/_rels/item1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6.xml"/></Relationships>
</file>

<file path=customXml/_rels/item17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7.xml"/></Relationships>
</file>

<file path=customXml/item1.xml>�� 
</file>

<file path=customXml/item2.xml>�� 
</file>

<file path=customXml/item3.xml>�� 
</file>

<file path=customXml/item4.xml>�� 
</file>

<file path=customXml/item5.xml>�� 
</file>

<file path=customXml/item6.xml>�� 
</file>

<file path=customXml/item7.xml>�� 
</file>

<file path=customXml/item8.xml>�� 
</file>

<file path=customXml/item9.xml>�� 
</file>

<file path=customXml/item10.xml>�� 
</file>

<file path=customXml/item11.xml>�� 
</file>

<file path=customXml/item12.xml>�� 
</file>

<file path=customXml/item13.xml>�� 
</file>

<file path=customXml/item14.xml>�� 
</file>

<file path=customXml/item15.xml>�� 
</file>

<file path=customXml/item16.xml>�� 
</file>

<file path=customXml/item17.xml>�� 
</file>

<file path=customXml/itemProps1.xml><?xml version="1.0" encoding="utf-8"?>
<ds:datastoreItem xmlns:ds="http://schemas.openxmlformats.org/officeDocument/2006/customXml" ds:itemID="{FAB9A007-617F-4FFB-BAAB-27F745E31078}">
  <ds:schemaRefs>
    <ds:schemaRef ds:uri="http://gemini/pivotcustomization/ShowImplicitMeasures"/>
  </ds:schemaRefs>
</ds:datastoreItem>
</file>

<file path=customXml/itemProps2.xml><?xml version="1.0" encoding="utf-8"?>
<ds:datastoreItem xmlns:ds="http://schemas.openxmlformats.org/officeDocument/2006/customXml" ds:itemID="{2E92E59B-232D-4B6D-A5D8-68CD8877AECD}">
  <ds:schemaRefs>
    <ds:schemaRef ds:uri="http://gemini/pivotcustomization/LinkedTableUpdateMode"/>
  </ds:schemaRefs>
</ds:datastoreItem>
</file>

<file path=customXml/itemProps3.xml><?xml version="1.0" encoding="utf-8"?>
<ds:datastoreItem xmlns:ds="http://schemas.openxmlformats.org/officeDocument/2006/customXml" ds:itemID="{06A5E0D3-18FE-4B32-8A60-77DF4BEAAFDC}">
  <ds:schemaRefs>
    <ds:schemaRef ds:uri="http://gemini/pivotcustomization/TableOrder"/>
  </ds:schemaRefs>
</ds:datastoreItem>
</file>

<file path=customXml/itemProps4.xml><?xml version="1.0" encoding="utf-8"?>
<ds:datastoreItem xmlns:ds="http://schemas.openxmlformats.org/officeDocument/2006/customXml" ds:itemID="{31D7DC35-F7B6-4B60-86D0-0007962FED04}">
  <ds:schemaRefs>
    <ds:schemaRef ds:uri="http://gemini/pivotcustomization/TableWidget"/>
  </ds:schemaRefs>
</ds:datastoreItem>
</file>

<file path=customXml/itemProps5.xml><?xml version="1.0" encoding="utf-8"?>
<ds:datastoreItem xmlns:ds="http://schemas.openxmlformats.org/officeDocument/2006/customXml" ds:itemID="{3F9B3FEB-E73F-4B4F-92F4-0DFCFD1426D2}">
  <ds:schemaRefs>
    <ds:schemaRef ds:uri="http://gemini/pivotcustomization/ClientWindowXML"/>
  </ds:schemaRefs>
</ds:datastoreItem>
</file>

<file path=customXml/itemProps6.xml><?xml version="1.0" encoding="utf-8"?>
<ds:datastoreItem xmlns:ds="http://schemas.openxmlformats.org/officeDocument/2006/customXml" ds:itemID="{7D9D08B1-5416-4F70-9D6F-D10040CA8F77}">
  <ds:schemaRefs>
    <ds:schemaRef ds:uri="http://gemini/pivotcustomization/MeasureGridState"/>
  </ds:schemaRefs>
</ds:datastoreItem>
</file>

<file path=customXml/itemProps7.xml><?xml version="1.0" encoding="utf-8"?>
<ds:datastoreItem xmlns:ds="http://schemas.openxmlformats.org/officeDocument/2006/customXml" ds:itemID="{76A0B917-E3E3-4CFD-8F6D-1EC75B945463}">
  <ds:schemaRefs>
    <ds:schemaRef ds:uri="http://gemini/pivotcustomization/FormulaBarState"/>
  </ds:schemaRefs>
</ds:datastoreItem>
</file>

<file path=customXml/itemProps8.xml><?xml version="1.0" encoding="utf-8"?>
<ds:datastoreItem xmlns:ds="http://schemas.openxmlformats.org/officeDocument/2006/customXml" ds:itemID="{7A344F9C-3DA1-4635-8598-9255982679B3}">
  <ds:schemaRefs>
    <ds:schemaRef ds:uri="http://gemini/pivotcustomization/ShowHidden"/>
  </ds:schemaRefs>
</ds:datastoreItem>
</file>

<file path=customXml/itemProps9.xml><?xml version="1.0" encoding="utf-8"?>
<ds:datastoreItem xmlns:ds="http://schemas.openxmlformats.org/officeDocument/2006/customXml" ds:itemID="{A45D4411-5217-408C-9437-5368F0A9CFD2}">
  <ds:schemaRefs>
    <ds:schemaRef ds:uri="http://gemini/pivotcustomization/TableXML_Desem_b1380b3c-db72-424f-adbb-d519295d1a86"/>
  </ds:schemaRefs>
</ds:datastoreItem>
</file>

<file path=customXml/itemProps10.xml><?xml version="1.0" encoding="utf-8"?>
<ds:datastoreItem xmlns:ds="http://schemas.openxmlformats.org/officeDocument/2006/customXml" ds:itemID="{1E11073D-FEB5-4C2E-9F74-C01B4BF5875B}">
  <ds:schemaRefs>
    <ds:schemaRef ds:uri="http://gemini/pivotcustomization/Diagrams"/>
  </ds:schemaRefs>
</ds:datastoreItem>
</file>

<file path=customXml/itemProps11.xml><?xml version="1.0" encoding="utf-8"?>
<ds:datastoreItem xmlns:ds="http://schemas.openxmlformats.org/officeDocument/2006/customXml" ds:itemID="{062027A2-EEC0-4BEC-A55B-7F7B7AF2BF54}">
  <ds:schemaRefs>
    <ds:schemaRef ds:uri="http://gemini/pivotcustomization/ManualCalcMode"/>
  </ds:schemaRefs>
</ds:datastoreItem>
</file>

<file path=customXml/itemProps12.xml><?xml version="1.0" encoding="utf-8"?>
<ds:datastoreItem xmlns:ds="http://schemas.openxmlformats.org/officeDocument/2006/customXml" ds:itemID="{44E2487A-E42F-4061-A95C-62E39634FA3C}">
  <ds:schemaRefs>
    <ds:schemaRef ds:uri="http://schemas.microsoft.com/DataMashup"/>
  </ds:schemaRefs>
</ds:datastoreItem>
</file>

<file path=customXml/itemProps13.xml><?xml version="1.0" encoding="utf-8"?>
<ds:datastoreItem xmlns:ds="http://schemas.openxmlformats.org/officeDocument/2006/customXml" ds:itemID="{FD326E0D-4D80-4714-A34C-B39318D00276}">
  <ds:schemaRefs/>
</ds:datastoreItem>
</file>

<file path=customXml/itemProps14.xml><?xml version="1.0" encoding="utf-8"?>
<ds:datastoreItem xmlns:ds="http://schemas.openxmlformats.org/officeDocument/2006/customXml" ds:itemID="{BF2867B9-8124-4981-8B37-295970009B1A}">
  <ds:schemaRefs/>
</ds:datastoreItem>
</file>

<file path=customXml/itemProps15.xml><?xml version="1.0" encoding="utf-8"?>
<ds:datastoreItem xmlns:ds="http://schemas.openxmlformats.org/officeDocument/2006/customXml" ds:itemID="{F64D491E-768E-4F19-A01C-0350002FEB19}">
  <ds:schemaRefs/>
</ds:datastoreItem>
</file>

<file path=customXml/itemProps16.xml><?xml version="1.0" encoding="utf-8"?>
<ds:datastoreItem xmlns:ds="http://schemas.openxmlformats.org/officeDocument/2006/customXml" ds:itemID="{DE66469A-C117-4F9F-A2DA-FB531081A725}">
  <ds:schemaRefs/>
</ds:datastoreItem>
</file>

<file path=customXml/itemProps17.xml><?xml version="1.0" encoding="utf-8"?>
<ds:datastoreItem xmlns:ds="http://schemas.openxmlformats.org/officeDocument/2006/customXml" ds:itemID="{95788DC9-D07B-4727-BB01-92492E121951}">
  <ds:schemaRefs/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Calculadora</vt:lpstr>
    </vt:vector>
  </TitlesOfParts>
  <Manager/>
  <Company>Banco Pichincha Peru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Luis Zelada</dc:creator>
  <cp:keywords/>
  <dc:description/>
  <cp:lastModifiedBy>Luis Zelada</cp:lastModifiedBy>
  <cp:revision/>
  <dcterms:created xsi:type="dcterms:W3CDTF">2026-04-30T22:13:43Z</dcterms:created>
  <dcterms:modified xsi:type="dcterms:W3CDTF">2026-06-15T17:10:43Z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b117a5ba-086b-43a5-ac20-78afcb57e39e_Enabled">
    <vt:lpwstr>true</vt:lpwstr>
  </property>
  <property fmtid="{D5CDD505-2E9C-101B-9397-08002B2CF9AE}" pid="3" name="MSIP_Label_b117a5ba-086b-43a5-ac20-78afcb57e39e_SetDate">
    <vt:lpwstr>2026-04-30T22:36:53Z</vt:lpwstr>
  </property>
  <property fmtid="{D5CDD505-2E9C-101B-9397-08002B2CF9AE}" pid="4" name="MSIP_Label_b117a5ba-086b-43a5-ac20-78afcb57e39e_Method">
    <vt:lpwstr>Standard</vt:lpwstr>
  </property>
  <property fmtid="{D5CDD505-2E9C-101B-9397-08002B2CF9AE}" pid="5" name="MSIP_Label_b117a5ba-086b-43a5-ac20-78afcb57e39e_Name">
    <vt:lpwstr>Información Interna_Producción</vt:lpwstr>
  </property>
  <property fmtid="{D5CDD505-2E9C-101B-9397-08002B2CF9AE}" pid="6" name="MSIP_Label_b117a5ba-086b-43a5-ac20-78afcb57e39e_SiteId">
    <vt:lpwstr>517e0e98-94c4-4cdc-aedf-9a5d64ccdfb2</vt:lpwstr>
  </property>
  <property fmtid="{D5CDD505-2E9C-101B-9397-08002B2CF9AE}" pid="7" name="MSIP_Label_b117a5ba-086b-43a5-ac20-78afcb57e39e_ActionId">
    <vt:lpwstr>b3d7563d-d2ab-44bd-8bcd-40246ccae26f</vt:lpwstr>
  </property>
  <property fmtid="{D5CDD505-2E9C-101B-9397-08002B2CF9AE}" pid="8" name="MSIP_Label_b117a5ba-086b-43a5-ac20-78afcb57e39e_ContentBits">
    <vt:lpwstr>2</vt:lpwstr>
  </property>
  <property fmtid="{D5CDD505-2E9C-101B-9397-08002B2CF9AE}" pid="9" name="MSIP_Label_b117a5ba-086b-43a5-ac20-78afcb57e39e_Tag">
    <vt:lpwstr>10, 3, 0, 1</vt:lpwstr>
  </property>
</Properties>
</file>