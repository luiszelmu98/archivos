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33" documentId="8_{E9AFCAC9-B2A1-4EC4-B527-4B3219212ADD}" xr6:coauthVersionLast="47" xr6:coauthVersionMax="47" xr10:uidLastSave="{CF94D518-E675-4C83-865D-788F20341D75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201" r:id="rId2"/>
    <pivotCache cacheId="204" r:id="rId3"/>
  </pivotCaches>
  <extLst>
    <ext xmlns:x14="http://schemas.microsoft.com/office/spreadsheetml/2009/9/main" uri="{876F7934-8845-4945-9796-88D515C7AA90}">
      <x14:pivotCaches>
        <pivotCache cacheId="20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<sst xmlns="http://schemas.openxmlformats.org/spreadsheetml/2006/main" count="2163" uniqueCount="287">
  <si>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</si>
  <si>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</si>
  <si>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</si>
  <si>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</si>
  <si>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</si>
  <si>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</si>
  <si>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</si>
  <si>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</si>
  <si>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</si>
  <si>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</si>
  <si>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</si>
  <si>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</si>
  <si>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</si>
  <si>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</si>
  <si>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</si>
  <si>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</si>
  <si>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</si>
  <si>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</si>
  <si>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</si>
  <si>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</si>
  <si>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</si>
  <si>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</si>
  <si>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</si>
  <si>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</si>
  <si>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</si>
  <si>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</si>
  <si>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</si>
  <si>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</si>
  <si>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</si>
  <si>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</si>
  <si>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</si>
  <si>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</si>
  <si>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</si>
  <si>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</si>
  <si>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</si>
  <si>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</si>
  <si>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</si>
  <si>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</si>
  <si>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</si>
  <si>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</si>
  <si>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</si>
  <si>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</si>
  <si>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</si>
  <si>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</si>
  <si>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</si>
  <si>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</si>
  <si>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</si>
  <si>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</si>
  <si>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</si>
  <si>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</si>
  <si>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</si>
  <si>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</si>
  <si>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</si>
  <si>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</si>
  <si>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</si>
  <si>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</si>
  <si>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</si>
  <si>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</si>
  <si>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</si>
  <si>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</si>
  <si>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</si>
  <si>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</si>
  <si>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</si>
  <si>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</si>
  <si>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</si>
  <si>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</si>
  <si>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</si>
  <si>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</si>
  <si>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</si>
  <si>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</si>
  <si>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</si>
  <si>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</si>
  <si>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</si>
  <si>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</si>
  <si>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</si>
  <si>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</si>
  <si>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</si>
  <si>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</si>
  <si>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</si>
  <si>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</si>
  <si>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</si>
  <si>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</si>
  <si>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</si>
  <si>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</si>
  <si>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</si>
  <si>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</si>
  <si>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</si>
  <si>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</si>
  <si>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</si>
  <si>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</si>
  <si>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</si>
  <si>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</si>
  <si>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</si>
  <si>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</si>
  <si>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</si>
  <si>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</si>
  <si>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</si>
  <si>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</si>
  <si>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</si>
  <si>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</si>
  <si>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</si>
  <si>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</si>
  <si>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</si>
  <si>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</si>
  <si>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</si>
  <si>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</si>
  <si>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</si>
  <si>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</si>
  <si>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</si>
  <si>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</si>
  <si>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</si>
  <si>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</si>
  <si>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</si>
  <si>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</si>
  <si>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</si>
  <si>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</si>
  <si>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</si>
  <si>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</si>
  <si>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</si>
  <si>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</si>
  <si>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</si>
  <si>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</si>
  <si>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</si>
  <si>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</si>
  <si>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</si>
  <si>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</si>
  <si>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</si>
  <si>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</si>
  <si>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</si>
  <si>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</si>
  <si>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</si>
  <si>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</si>
  <si>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</si>
  <si>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</si>
  <si>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</si>
  <si>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</si>
  <si>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</si>
  <si>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</si>
  <si>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</si>
  <si>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</si>
  <si>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</si>
  <si>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</si>
  <si>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</si>
  <si>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</si>
  <si>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</si>
  <si>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</si>
  <si>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</si>
  <si>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</si>
  <si>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</si>
  <si>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</si>
  <si>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</si>
  <si>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</si>
  <si>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</si>
  <si>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</si>
  <si>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</si>
  <si>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</si>
  <si>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</si>
  <si>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</si>
  <si>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</si>
  <si>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</si>
  <si>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</si>
  <si>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</si>
  <si>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</si>
  <si>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</si>
  <si>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</si>
  <si>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</si>
  <si>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</si>
  <si>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</si>
  <si>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</si>
  <si>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</si>
  <si>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</si>
  <si>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</si>
  <si>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</si>
  <si>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</si>
  <si>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</si>
  <si>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</si>
  <si>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</si>
  <si>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</si>
  <si>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</si>
  <si>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</si>
  <si>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</si>
  <si>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</si>
  <si>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</si>
  <si>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</si>
  <si>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</si>
  <si>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</si>
  <si>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</si>
  <si>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</si>
  <si>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</si>
  <si>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</si>
  <si>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</si>
  <si>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</si>
  <si>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</si>
  <si>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</si>
  <si>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</si>
  <si>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</si>
  <si>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</si>
  <si>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</si>
  <si>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</si>
  <si>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</si>
  <si>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</si>
  <si>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</si>
  <si>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</si>
  <si>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</si>
  <si>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</si>
  <si>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</si>
  <si>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</si>
  <si>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</si>
  <si>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</si>
  <si>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</si>
  <si>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</si>
  <si>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</si>
  <si>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</si>
  <si>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</si>
  <si>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</si>
  <si>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</si>
  <si>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</si>
  <si>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</si>
  <si>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</si>
  <si>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</si>
  <si>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</si>
  <si>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</si>
  <si>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</si>
  <si>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</si>
  <si>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</si>
  <si>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</si>
  <si>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</si>
  <si>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</si>
  <si>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</si>
  <si>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</si>
  <si>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</si>
  <si>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</si>
  <si>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</si>
  <si>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</si>
  <si>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</si>
  <si>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</si>
  <si>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</si>
  <si>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</si>
  <si>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</si>
  <si>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</si>
  <si>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</si>
  <si>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</si>
  <si>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</si>
  <si>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</si>
  <si>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</si>
  <si>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</si>
  <si>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</si>
  <si>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</si>
  <si>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</si>
  <si>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</si>
  <si>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</si>
  <si>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</si>
  <si>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</si>
  <si>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</si>
  <si>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</si>
  <si>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</si>
  <si>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</si>
  <si>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</si>
  <si>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</si>
  <si>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</si>
  <si>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</si>
  <si>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</si>
  <si>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</si>
  <si>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</si>
  <si>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</si>
  <si>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</si>
  <si>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</si>
  <si>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</si>
  <si>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</si>
  <si>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</si>
  <si>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</si>
  <si>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</si>
  <si>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</si>
  <si>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</si>
  <si>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</si>
  <si>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</si>
  <si>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</si>
  <si>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</si>
  <si>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</si>
  <si>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</si>
  <si>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</si>
  <si>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</si>
  <si>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</si>
  <si>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</si>
  <si>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</si>
  <si>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</si>
  <si>
    <t>CARTAVIO RUM COMPANY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</si>
</sst>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0.648189467589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0.64819039352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95025" count="525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0402656"/>
        <n v="1764569253"/>
        <n v="1760379450"/>
        <n v="1760409448"/>
        <n v="1764564715"/>
        <n v="1764584813"/>
        <n v="1760358990"/>
        <n v="1760379352"/>
        <n v="1764536126"/>
        <n v="1764541103"/>
        <n v="1764541928"/>
        <n v="1764563263"/>
        <n v="1764594320"/>
        <n v="1764560280"/>
        <n v="1764570456"/>
        <n v="1764561040"/>
        <n v="1764564600"/>
        <n v="1764570553"/>
        <n v="1764549783"/>
        <n v="1764568893"/>
        <n v="1760362840"/>
        <n v="1760402150"/>
        <n v="1760411582"/>
        <n v="1764555775"/>
        <n v="1764579879"/>
        <n v="1764531523"/>
        <n v="1764560370"/>
        <n v="1760375764"/>
        <n v="1760376220"/>
        <n v="1760397008"/>
        <n v="1760409090"/>
        <n v="1760412066"/>
        <n v="1764541390"/>
        <n v="1764541588"/>
        <n v="1764552407"/>
        <n v="1764552415"/>
        <n v="1764594266"/>
        <n v="1760409723"/>
        <n v="1760411183"/>
        <n v="1760363227"/>
        <n v="1760380040"/>
        <n v="1760385450"/>
        <n v="1760385522"/>
        <n v="1760376604"/>
        <n v="1760397199"/>
        <n v="1764541880"/>
        <n v="1764557719"/>
        <n v="1764560060"/>
        <n v="1764560760"/>
        <n v="1764560973"/>
        <n v="1764561155"/>
        <n v="1764585100"/>
        <n v="1760380423"/>
        <n v="1760398853"/>
        <n v="1764578350"/>
        <n v="1764536053"/>
        <n v="1764566970"/>
        <n v="1764590058"/>
        <n v="1764537882"/>
        <n v="1764590953"/>
        <n v="1760361356"/>
        <n v="1760379832"/>
        <n v="1764578058"/>
        <n v="1764570570"/>
        <n v="1764595025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3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IMBAREX SA"/>
        <s v="OTOYA MH SAC"/>
        <s v="BEAGLE AGENTES DE ADUANA SA"/>
        <s v="PERULAB S A"/>
        <s v="VIAGO E I R L"/>
        <s v="SILVATEAM PERU COMERCIAL SAC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TAMBOS PERU SAC"/>
        <s v="VERDUM PERU SAC"/>
        <s v="SUDAMERICANA DE FIBRAS S A"/>
        <s v="COLOREXA SOCIEDAD ANONIMA CERRADA"/>
        <s v="CARTAVIO RUM COMPANY SAC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0.648188541665" createdVersion="3" refreshedVersion="8" minRefreshableVersion="3" recordCount="0" supportSubquery="1" supportAdvancedDrill="1" xr:uid="{9131F41C-84C6-47EA-A357-2010BE9D15E8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61752010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204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40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25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2">
      <x v="457"/>
      <x v="1"/>
      <x/>
      <x v="209"/>
    </i>
    <i r="2">
      <x v="458"/>
      <x v="1"/>
      <x/>
      <x v="210"/>
    </i>
    <i r="1">
      <x v="1"/>
      <x v="459"/>
      <x/>
      <x/>
      <x v="9"/>
    </i>
    <i r="2">
      <x v="460"/>
      <x/>
      <x v="1"/>
      <x v="14"/>
    </i>
    <i r="1">
      <x v="2"/>
      <x v="461"/>
      <x/>
      <x v="1"/>
      <x v="17"/>
    </i>
    <i r="2">
      <x v="462"/>
      <x/>
      <x v="1"/>
      <x v="17"/>
    </i>
    <i r="2">
      <x v="463"/>
      <x/>
      <x/>
      <x v="16"/>
    </i>
    <i r="2">
      <x v="464"/>
      <x/>
      <x v="1"/>
      <x v="141"/>
    </i>
    <i r="1">
      <x v="3"/>
      <x v="465"/>
      <x v="1"/>
      <x v="2"/>
      <x v="22"/>
    </i>
    <i r="2">
      <x v="466"/>
      <x/>
      <x v="1"/>
      <x v="211"/>
    </i>
    <i r="2">
      <x v="467"/>
      <x v="1"/>
      <x v="2"/>
      <x v="20"/>
    </i>
    <i r="2">
      <x v="468"/>
      <x v="1"/>
      <x v="1"/>
      <x v="23"/>
    </i>
    <i r="2">
      <x v="469"/>
      <x v="1"/>
      <x/>
      <x v="212"/>
    </i>
    <i r="2">
      <x v="470"/>
      <x/>
      <x/>
      <x v="213"/>
    </i>
    <i r="2">
      <x v="471"/>
      <x/>
      <x v="1"/>
      <x v="24"/>
    </i>
    <i r="1">
      <x v="20"/>
      <x v="472"/>
      <x/>
      <x v="2"/>
      <x v="150"/>
    </i>
    <i r="2">
      <x v="473"/>
      <x/>
      <x v="2"/>
      <x v="150"/>
    </i>
    <i r="1">
      <x v="4"/>
      <x v="474"/>
      <x v="1"/>
      <x v="1"/>
      <x v="214"/>
    </i>
    <i r="2">
      <x v="475"/>
      <x v="1"/>
      <x v="2"/>
      <x v="33"/>
    </i>
    <i r="2">
      <x v="476"/>
      <x v="1"/>
      <x v="2"/>
      <x v="215"/>
    </i>
    <i r="1">
      <x v="5"/>
      <x v="477"/>
      <x/>
      <x v="1"/>
      <x v="156"/>
    </i>
    <i r="2">
      <x v="478"/>
      <x/>
      <x v="1"/>
      <x v="216"/>
    </i>
    <i r="1">
      <x v="6"/>
      <x v="479"/>
      <x v="1"/>
      <x/>
      <x v="217"/>
    </i>
    <i r="2">
      <x v="480"/>
      <x/>
      <x v="1"/>
      <x v="42"/>
    </i>
    <i r="2">
      <x v="481"/>
      <x/>
      <x v="1"/>
      <x v="44"/>
    </i>
    <i r="2">
      <x v="482"/>
      <x/>
      <x v="1"/>
      <x v="44"/>
    </i>
    <i r="2">
      <x v="483"/>
      <x/>
      <x v="1"/>
      <x v="42"/>
    </i>
    <i r="1">
      <x v="7"/>
      <x v="484"/>
      <x v="1"/>
      <x v="2"/>
      <x v="47"/>
    </i>
    <i r="2">
      <x v="485"/>
      <x/>
      <x v="2"/>
      <x v="47"/>
    </i>
    <i r="1">
      <x v="8"/>
      <x v="486"/>
      <x/>
      <x/>
      <x v="63"/>
    </i>
    <i r="2">
      <x v="487"/>
      <x/>
      <x v="1"/>
      <x v="59"/>
    </i>
    <i r="2">
      <x v="488"/>
      <x/>
      <x v="1"/>
      <x v="53"/>
    </i>
    <i r="2">
      <x v="489"/>
      <x v="1"/>
      <x v="2"/>
      <x v="61"/>
    </i>
    <i r="2">
      <x v="490"/>
      <x v="1"/>
      <x v="2"/>
      <x v="61"/>
    </i>
    <i r="2">
      <x v="491"/>
      <x v="1"/>
      <x v="1"/>
      <x v="58"/>
    </i>
    <i r="2">
      <x v="492"/>
      <x/>
      <x/>
      <x v="218"/>
    </i>
    <i r="2">
      <x v="493"/>
      <x/>
      <x/>
      <x v="63"/>
    </i>
    <i r="2">
      <x v="494"/>
      <x/>
      <x/>
      <x v="63"/>
    </i>
    <i r="2">
      <x v="495"/>
      <x v="1"/>
      <x v="1"/>
      <x v="58"/>
    </i>
    <i r="1">
      <x v="9"/>
      <x v="496"/>
      <x v="1"/>
      <x v="1"/>
      <x v="219"/>
    </i>
    <i r="2">
      <x v="497"/>
      <x v="1"/>
      <x/>
      <x v="220"/>
    </i>
    <i r="1">
      <x v="10"/>
      <x v="498"/>
      <x/>
      <x v="1"/>
      <x v="173"/>
    </i>
    <i r="2">
      <x v="499"/>
      <x v="1"/>
      <x/>
      <x v="221"/>
    </i>
    <i r="1">
      <x v="11"/>
      <x v="500"/>
      <x/>
      <x v="1"/>
      <x v="71"/>
    </i>
    <i r="2">
      <x v="501"/>
      <x/>
      <x v="1"/>
      <x v="71"/>
    </i>
    <i r="1">
      <x v="12"/>
      <x v="502"/>
      <x/>
      <x v="1"/>
      <x v="222"/>
    </i>
    <i r="2">
      <x v="503"/>
      <x/>
      <x v="1"/>
      <x v="222"/>
    </i>
    <i r="2">
      <x v="504"/>
      <x/>
      <x v="1"/>
      <x v="83"/>
    </i>
    <i r="2">
      <x v="505"/>
      <x v="1"/>
      <x/>
      <x v="223"/>
    </i>
    <i r="2">
      <x v="506"/>
      <x v="1"/>
      <x/>
      <x v="79"/>
    </i>
    <i r="2">
      <x v="507"/>
      <x v="1"/>
      <x/>
      <x v="85"/>
    </i>
    <i r="2">
      <x v="508"/>
      <x/>
      <x/>
      <x v="76"/>
    </i>
    <i r="2">
      <x v="509"/>
      <x/>
      <x v="1"/>
      <x v="224"/>
    </i>
    <i r="2">
      <x v="510"/>
      <x/>
      <x v="1"/>
      <x v="224"/>
    </i>
    <i r="1">
      <x v="14"/>
      <x v="511"/>
      <x/>
      <x v="1"/>
      <x v="225"/>
    </i>
    <i r="2">
      <x v="512"/>
      <x/>
      <x v="1"/>
      <x v="184"/>
    </i>
    <i r="2">
      <x v="513"/>
      <x/>
      <x/>
      <x v="99"/>
    </i>
    <i r="1">
      <x v="15"/>
      <x v="514"/>
      <x/>
      <x v="1"/>
      <x v="226"/>
    </i>
    <i r="2">
      <x v="515"/>
      <x v="1"/>
      <x v="1"/>
      <x v="110"/>
    </i>
    <i r="2">
      <x v="516"/>
      <x v="1"/>
      <x v="1"/>
      <x v="103"/>
    </i>
    <i r="1">
      <x v="16"/>
      <x v="517"/>
      <x/>
      <x v="1"/>
      <x v="119"/>
    </i>
    <i r="2">
      <x v="518"/>
      <x v="1"/>
      <x/>
      <x v="227"/>
    </i>
    <i r="1">
      <x v="21"/>
      <x v="519"/>
      <x/>
      <x v="2"/>
      <x v="228"/>
    </i>
    <i r="2">
      <x v="520"/>
      <x v="1"/>
      <x v="2"/>
      <x v="229"/>
    </i>
    <i r="2">
      <x v="521"/>
      <x v="1"/>
      <x v="2"/>
      <x v="200"/>
    </i>
    <i r="1">
      <x v="17"/>
      <x v="522"/>
      <x/>
      <x v="2"/>
      <x v="128"/>
    </i>
    <i r="2">
      <x v="523"/>
      <x/>
      <x v="2"/>
      <x v="128"/>
    </i>
    <i r="1">
      <x v="19"/>
      <x v="524"/>
      <x/>
      <x v="1"/>
      <x v="23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0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617520107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617520107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617520107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40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46189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1.5584010574147691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74.455928767969993</v>
      </c>
      <c r="H8" s="21" cm="1">
        <f t="array" ref="H8">IFERROR(SUMPRODUCT(G16:G1006,H16:H1006*(A16:A1006=202606))/SUMIFS(G16:G1006,A16:A1006,202606),0)</f>
        <v>1.8258446976422655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77.455928767969993</v>
      </c>
      <c r="H9" s="21">
        <f>+IFERROR(((G8*H8)+(SUM(J16:J1006)*(SUMPRODUCT(J16:J1006,K16:K1006)/SUM(J16:J1006))))/(G8+SUM(J16:J1006)),H8)</f>
        <v>1.7628729642900243</v>
      </c>
      <c r="I9"/>
      <c r="J9"/>
      <c r="K9"/>
    </row>
    <row r="10" spans="1:22" x14ac:dyDescent="0.25">
      <c r="F10" s="13" t="s">
        <v>6</v>
      </c>
      <c r="G10" s="6">
        <f>+SUM(G16:G999997)</f>
        <v>659.10245409044046</v>
      </c>
      <c r="H10" s="21">
        <f>+SUMPRODUCT(G16:G1006,H16:H1006)/SUM(G16:G1006)</f>
        <v>1.6367210472043783</v>
      </c>
      <c r="I10"/>
      <c r="J10"/>
      <c r="K10"/>
    </row>
    <row r="11" spans="1:22" x14ac:dyDescent="0.25">
      <c r="F11" s="13" t="s">
        <v>7</v>
      </c>
      <c r="G11" s="6">
        <f>+G10+SUM(J16:J999997)</f>
        <v>662.10245409044046</v>
      </c>
      <c r="H11" s="21">
        <f>+IFERROR(((G10*H10)+(SUM(J16:J1006)*(SUMPRODUCT(J16:J1006,K16:K1006)/SUM(J16:J1006))))/(G10+SUM(J16:J1006)),H10)</f>
        <v>1.6302112342366339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1.25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10.37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10.32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4.18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4.25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0.95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1.1000000000000001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0.9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4.5999999999999996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4.5999999999999996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100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277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19</v>
      </c>
      <c r="C473">
        <v>1764570430</v>
      </c>
      <c r="D473" t="s">
        <v>25</v>
      </c>
      <c r="E473" t="s">
        <v>21</v>
      </c>
      <c r="F473" t="s">
        <v>281</v>
      </c>
      <c r="G473" s="8">
        <v>0.67200000000000004</v>
      </c>
      <c r="H473" s="25">
        <v>3.25</v>
      </c>
    </row>
    <row r="474" spans="1:8" x14ac:dyDescent="0.25">
      <c r="A474">
        <v>202606</v>
      </c>
      <c r="B474" t="s">
        <v>19</v>
      </c>
      <c r="C474">
        <v>1764583825</v>
      </c>
      <c r="D474" t="s">
        <v>25</v>
      </c>
      <c r="E474" t="s">
        <v>21</v>
      </c>
      <c r="F474" t="s">
        <v>282</v>
      </c>
      <c r="G474" s="8">
        <v>0.33600000000000002</v>
      </c>
      <c r="H474" s="25">
        <v>3.25</v>
      </c>
    </row>
    <row r="475" spans="1:8" x14ac:dyDescent="0.25">
      <c r="A475">
        <v>202606</v>
      </c>
      <c r="B475" t="s">
        <v>28</v>
      </c>
      <c r="C475">
        <v>1760402656</v>
      </c>
      <c r="D475" t="s">
        <v>20</v>
      </c>
      <c r="E475" t="s">
        <v>21</v>
      </c>
      <c r="F475" t="s">
        <v>109</v>
      </c>
      <c r="G475" s="8">
        <v>0.85375000000000001</v>
      </c>
      <c r="H475" s="25">
        <v>0.6</v>
      </c>
    </row>
    <row r="476" spans="1:8" x14ac:dyDescent="0.25">
      <c r="A476">
        <v>202606</v>
      </c>
      <c r="B476" t="s">
        <v>28</v>
      </c>
      <c r="C476">
        <v>1764569253</v>
      </c>
      <c r="D476" t="s">
        <v>20</v>
      </c>
      <c r="E476" t="s">
        <v>26</v>
      </c>
      <c r="F476" t="s">
        <v>114</v>
      </c>
      <c r="G476" s="8">
        <v>2.3702000000000001</v>
      </c>
      <c r="H476" s="25">
        <v>0.3</v>
      </c>
    </row>
    <row r="477" spans="1:8" x14ac:dyDescent="0.25">
      <c r="A477">
        <v>202606</v>
      </c>
      <c r="B477" t="s">
        <v>94</v>
      </c>
      <c r="C477">
        <v>1760379450</v>
      </c>
      <c r="D477" t="s">
        <v>20</v>
      </c>
      <c r="E477" t="s">
        <v>26</v>
      </c>
      <c r="F477" t="s">
        <v>118</v>
      </c>
      <c r="G477" s="8">
        <v>0.12014203733999999</v>
      </c>
      <c r="H477" s="25">
        <v>2.94</v>
      </c>
    </row>
    <row r="478" spans="1:8" x14ac:dyDescent="0.25">
      <c r="A478">
        <v>202606</v>
      </c>
      <c r="B478" t="s">
        <v>94</v>
      </c>
      <c r="C478">
        <v>1760409448</v>
      </c>
      <c r="D478" t="s">
        <v>20</v>
      </c>
      <c r="E478" t="s">
        <v>26</v>
      </c>
      <c r="F478" t="s">
        <v>118</v>
      </c>
      <c r="G478" s="8">
        <v>0.10516167058000001</v>
      </c>
      <c r="H478" s="25">
        <v>2.94</v>
      </c>
    </row>
    <row r="479" spans="1:8" x14ac:dyDescent="0.25">
      <c r="A479">
        <v>202606</v>
      </c>
      <c r="B479" t="s">
        <v>94</v>
      </c>
      <c r="C479">
        <v>1764564715</v>
      </c>
      <c r="D479" t="s">
        <v>20</v>
      </c>
      <c r="E479" t="s">
        <v>21</v>
      </c>
      <c r="F479" t="s">
        <v>116</v>
      </c>
      <c r="G479" s="8">
        <v>0.67720000000000002</v>
      </c>
      <c r="H479" s="25">
        <v>1</v>
      </c>
    </row>
    <row r="480" spans="1:8" x14ac:dyDescent="0.25">
      <c r="A480">
        <v>202606</v>
      </c>
      <c r="B480" t="s">
        <v>94</v>
      </c>
      <c r="C480">
        <v>1764584813</v>
      </c>
      <c r="D480" t="s">
        <v>20</v>
      </c>
      <c r="E480" t="s">
        <v>26</v>
      </c>
      <c r="F480" t="s">
        <v>198</v>
      </c>
      <c r="G480" s="8">
        <v>3.3809999999999998</v>
      </c>
      <c r="H480" s="25">
        <v>1.5</v>
      </c>
    </row>
    <row r="481" spans="1:8" x14ac:dyDescent="0.25">
      <c r="A481">
        <v>202606</v>
      </c>
      <c r="B481" t="s">
        <v>32</v>
      </c>
      <c r="C481">
        <v>1760358990</v>
      </c>
      <c r="D481" t="s">
        <v>25</v>
      </c>
      <c r="E481" t="s">
        <v>37</v>
      </c>
      <c r="F481" t="s">
        <v>126</v>
      </c>
      <c r="G481" s="8">
        <v>1.54617194</v>
      </c>
      <c r="H481" s="25">
        <v>0.85</v>
      </c>
    </row>
    <row r="482" spans="1:8" x14ac:dyDescent="0.25">
      <c r="A482">
        <v>202606</v>
      </c>
      <c r="B482" t="s">
        <v>32</v>
      </c>
      <c r="C482">
        <v>1760379352</v>
      </c>
      <c r="D482" t="s">
        <v>20</v>
      </c>
      <c r="E482" t="s">
        <v>26</v>
      </c>
      <c r="F482" t="s">
        <v>264</v>
      </c>
      <c r="G482" s="8">
        <v>0.68220000000000003</v>
      </c>
      <c r="H482" s="25">
        <v>0.98</v>
      </c>
    </row>
    <row r="483" spans="1:8" x14ac:dyDescent="0.25">
      <c r="A483">
        <v>202606</v>
      </c>
      <c r="B483" t="s">
        <v>32</v>
      </c>
      <c r="C483">
        <v>1764536126</v>
      </c>
      <c r="D483" t="s">
        <v>25</v>
      </c>
      <c r="E483" t="s">
        <v>37</v>
      </c>
      <c r="F483" t="s">
        <v>124</v>
      </c>
      <c r="G483" s="8">
        <v>0.35023462</v>
      </c>
      <c r="H483" s="25">
        <v>4.3</v>
      </c>
    </row>
    <row r="484" spans="1:8" x14ac:dyDescent="0.25">
      <c r="A484">
        <v>202606</v>
      </c>
      <c r="B484" t="s">
        <v>32</v>
      </c>
      <c r="C484">
        <v>1764541103</v>
      </c>
      <c r="D484" t="s">
        <v>25</v>
      </c>
      <c r="E484" t="s">
        <v>26</v>
      </c>
      <c r="F484" t="s">
        <v>127</v>
      </c>
      <c r="G484" s="8">
        <v>0.26800000000000002</v>
      </c>
      <c r="H484" s="25">
        <v>2.75</v>
      </c>
    </row>
    <row r="485" spans="1:8" x14ac:dyDescent="0.25">
      <c r="A485">
        <v>202606</v>
      </c>
      <c r="B485" t="s">
        <v>32</v>
      </c>
      <c r="C485">
        <v>1764541928</v>
      </c>
      <c r="D485" t="s">
        <v>25</v>
      </c>
      <c r="E485" t="s">
        <v>21</v>
      </c>
      <c r="F485" t="s">
        <v>273</v>
      </c>
      <c r="G485" s="8">
        <v>1.37</v>
      </c>
      <c r="H485" s="25">
        <v>3.78</v>
      </c>
    </row>
    <row r="486" spans="1:8" x14ac:dyDescent="0.25">
      <c r="A486">
        <v>202606</v>
      </c>
      <c r="B486" t="s">
        <v>32</v>
      </c>
      <c r="C486">
        <v>1764563263</v>
      </c>
      <c r="D486" t="s">
        <v>20</v>
      </c>
      <c r="E486" t="s">
        <v>21</v>
      </c>
      <c r="F486" t="s">
        <v>283</v>
      </c>
      <c r="G486" s="8">
        <v>0.33860000000000001</v>
      </c>
      <c r="H486" s="25">
        <v>2</v>
      </c>
    </row>
    <row r="487" spans="1:8" x14ac:dyDescent="0.25">
      <c r="A487">
        <v>202606</v>
      </c>
      <c r="B487" t="s">
        <v>32</v>
      </c>
      <c r="C487">
        <v>1764594320</v>
      </c>
      <c r="D487" t="s">
        <v>20</v>
      </c>
      <c r="E487" t="s">
        <v>26</v>
      </c>
      <c r="F487" t="s">
        <v>128</v>
      </c>
      <c r="G487" s="8">
        <v>0.16894999999999999</v>
      </c>
      <c r="H487" s="25">
        <v>5.45</v>
      </c>
    </row>
    <row r="488" spans="1:8" x14ac:dyDescent="0.25">
      <c r="A488">
        <v>202606</v>
      </c>
      <c r="B488" t="s">
        <v>254</v>
      </c>
      <c r="C488">
        <v>1764560280</v>
      </c>
      <c r="D488" t="s">
        <v>20</v>
      </c>
      <c r="E488" t="s">
        <v>37</v>
      </c>
      <c r="F488" t="s">
        <v>206</v>
      </c>
      <c r="G488" s="8">
        <v>5.7150179839999996E-2</v>
      </c>
      <c r="H488" s="25">
        <v>5.15</v>
      </c>
    </row>
    <row r="489" spans="1:8" x14ac:dyDescent="0.25">
      <c r="A489">
        <v>202606</v>
      </c>
      <c r="B489" t="s">
        <v>254</v>
      </c>
      <c r="C489">
        <v>1764570456</v>
      </c>
      <c r="D489" t="s">
        <v>20</v>
      </c>
      <c r="E489" t="s">
        <v>37</v>
      </c>
      <c r="F489" t="s">
        <v>206</v>
      </c>
      <c r="G489" s="8">
        <v>6.3618233460000007E-2</v>
      </c>
      <c r="H489" s="25">
        <v>5.15</v>
      </c>
    </row>
    <row r="490" spans="1:8" x14ac:dyDescent="0.25">
      <c r="A490">
        <v>202606</v>
      </c>
      <c r="B490" t="s">
        <v>34</v>
      </c>
      <c r="C490">
        <v>1764561040</v>
      </c>
      <c r="D490" t="s">
        <v>25</v>
      </c>
      <c r="E490" t="s">
        <v>26</v>
      </c>
      <c r="F490" t="s">
        <v>278</v>
      </c>
      <c r="G490" s="8">
        <v>0.68</v>
      </c>
      <c r="H490" s="25">
        <v>2.7</v>
      </c>
    </row>
    <row r="491" spans="1:8" x14ac:dyDescent="0.25">
      <c r="A491">
        <v>202606</v>
      </c>
      <c r="B491" t="s">
        <v>34</v>
      </c>
      <c r="C491">
        <v>1764564600</v>
      </c>
      <c r="D491" t="s">
        <v>25</v>
      </c>
      <c r="E491" t="s">
        <v>37</v>
      </c>
      <c r="F491" t="s">
        <v>136</v>
      </c>
      <c r="G491" s="8">
        <v>0.18000404</v>
      </c>
      <c r="H491" s="25">
        <v>10.08</v>
      </c>
    </row>
    <row r="492" spans="1:8" x14ac:dyDescent="0.25">
      <c r="A492">
        <v>202606</v>
      </c>
      <c r="B492" t="s">
        <v>34</v>
      </c>
      <c r="C492">
        <v>1764570553</v>
      </c>
      <c r="D492" t="s">
        <v>25</v>
      </c>
      <c r="E492" t="s">
        <v>37</v>
      </c>
      <c r="F492" t="s">
        <v>284</v>
      </c>
      <c r="G492" s="8">
        <v>0.25000000999999999</v>
      </c>
      <c r="H492" s="25">
        <v>2.86</v>
      </c>
    </row>
    <row r="493" spans="1:8" x14ac:dyDescent="0.25">
      <c r="A493">
        <v>202606</v>
      </c>
      <c r="B493" t="s">
        <v>95</v>
      </c>
      <c r="C493">
        <v>1764549783</v>
      </c>
      <c r="D493" t="s">
        <v>20</v>
      </c>
      <c r="E493" t="s">
        <v>26</v>
      </c>
      <c r="F493" t="s">
        <v>202</v>
      </c>
      <c r="G493" s="8">
        <v>1.0773177309900002</v>
      </c>
      <c r="H493" s="25">
        <v>4.8499999999999996</v>
      </c>
    </row>
    <row r="494" spans="1:8" x14ac:dyDescent="0.25">
      <c r="A494">
        <v>202606</v>
      </c>
      <c r="B494" t="s">
        <v>95</v>
      </c>
      <c r="C494">
        <v>1764568893</v>
      </c>
      <c r="D494" t="s">
        <v>20</v>
      </c>
      <c r="E494" t="s">
        <v>26</v>
      </c>
      <c r="F494" t="s">
        <v>285</v>
      </c>
      <c r="G494" s="8">
        <v>0.33860000000000001</v>
      </c>
      <c r="H494" s="25">
        <v>1.99</v>
      </c>
    </row>
    <row r="495" spans="1:8" x14ac:dyDescent="0.25">
      <c r="A495">
        <v>202606</v>
      </c>
      <c r="B495" t="s">
        <v>27</v>
      </c>
      <c r="C495">
        <v>1760362840</v>
      </c>
      <c r="D495" t="s">
        <v>25</v>
      </c>
      <c r="E495" t="s">
        <v>21</v>
      </c>
      <c r="F495" t="s">
        <v>265</v>
      </c>
      <c r="G495" s="8">
        <v>4.5</v>
      </c>
      <c r="H495" s="25">
        <v>0.4</v>
      </c>
    </row>
    <row r="496" spans="1:8" x14ac:dyDescent="0.25">
      <c r="A496">
        <v>202606</v>
      </c>
      <c r="B496" t="s">
        <v>27</v>
      </c>
      <c r="C496">
        <v>1760402150</v>
      </c>
      <c r="D496" t="s">
        <v>20</v>
      </c>
      <c r="E496" t="s">
        <v>26</v>
      </c>
      <c r="F496" t="s">
        <v>142</v>
      </c>
      <c r="G496" s="8">
        <v>2.7320000000000002</v>
      </c>
      <c r="H496" s="25">
        <v>4</v>
      </c>
    </row>
    <row r="497" spans="1:8" x14ac:dyDescent="0.25">
      <c r="A497">
        <v>202606</v>
      </c>
      <c r="B497" t="s">
        <v>27</v>
      </c>
      <c r="C497">
        <v>1760411582</v>
      </c>
      <c r="D497" t="s">
        <v>20</v>
      </c>
      <c r="E497" t="s">
        <v>26</v>
      </c>
      <c r="F497" t="s">
        <v>144</v>
      </c>
      <c r="G497" s="8">
        <v>0.12807733629999998</v>
      </c>
      <c r="H497" s="25">
        <v>2.95</v>
      </c>
    </row>
    <row r="498" spans="1:8" x14ac:dyDescent="0.25">
      <c r="A498">
        <v>202606</v>
      </c>
      <c r="B498" t="s">
        <v>27</v>
      </c>
      <c r="C498">
        <v>1764555775</v>
      </c>
      <c r="D498" t="s">
        <v>20</v>
      </c>
      <c r="E498" t="s">
        <v>26</v>
      </c>
      <c r="F498" t="s">
        <v>144</v>
      </c>
      <c r="G498" s="8">
        <v>0.11495243776</v>
      </c>
      <c r="H498" s="25">
        <v>2.95</v>
      </c>
    </row>
    <row r="499" spans="1:8" x14ac:dyDescent="0.25">
      <c r="A499">
        <v>202606</v>
      </c>
      <c r="B499" t="s">
        <v>27</v>
      </c>
      <c r="C499">
        <v>1764579879</v>
      </c>
      <c r="D499" t="s">
        <v>20</v>
      </c>
      <c r="E499" t="s">
        <v>26</v>
      </c>
      <c r="F499" t="s">
        <v>142</v>
      </c>
      <c r="G499" s="8">
        <v>2.7048000000000001</v>
      </c>
      <c r="H499" s="25">
        <v>3.85</v>
      </c>
    </row>
    <row r="500" spans="1:8" x14ac:dyDescent="0.25">
      <c r="A500">
        <v>202606</v>
      </c>
      <c r="B500" t="s">
        <v>39</v>
      </c>
      <c r="C500">
        <v>1764531523</v>
      </c>
      <c r="D500" t="s">
        <v>25</v>
      </c>
      <c r="E500" t="s">
        <v>37</v>
      </c>
      <c r="F500" t="s">
        <v>50</v>
      </c>
      <c r="G500" s="8">
        <v>0.16433161999999998</v>
      </c>
      <c r="H500" s="25">
        <v>2.0499999999999998</v>
      </c>
    </row>
    <row r="501" spans="1:8" x14ac:dyDescent="0.25">
      <c r="A501">
        <v>202606</v>
      </c>
      <c r="B501" t="s">
        <v>39</v>
      </c>
      <c r="C501">
        <v>1764560370</v>
      </c>
      <c r="D501" t="s">
        <v>20</v>
      </c>
      <c r="E501" t="s">
        <v>37</v>
      </c>
      <c r="F501" t="s">
        <v>50</v>
      </c>
      <c r="G501" s="8">
        <v>0.30447511232000002</v>
      </c>
      <c r="H501" s="25">
        <v>2.6</v>
      </c>
    </row>
    <row r="502" spans="1:8" x14ac:dyDescent="0.25">
      <c r="A502">
        <v>202606</v>
      </c>
      <c r="B502" t="s">
        <v>40</v>
      </c>
      <c r="C502">
        <v>1760375764</v>
      </c>
      <c r="D502" t="s">
        <v>20</v>
      </c>
      <c r="E502" t="s">
        <v>21</v>
      </c>
      <c r="F502" t="s">
        <v>66</v>
      </c>
      <c r="G502" s="8">
        <v>0.13644000000000001</v>
      </c>
      <c r="H502" s="25">
        <v>5.75</v>
      </c>
    </row>
    <row r="503" spans="1:8" x14ac:dyDescent="0.25">
      <c r="A503">
        <v>202606</v>
      </c>
      <c r="B503" t="s">
        <v>40</v>
      </c>
      <c r="C503">
        <v>1760376220</v>
      </c>
      <c r="D503" t="s">
        <v>20</v>
      </c>
      <c r="E503" t="s">
        <v>26</v>
      </c>
      <c r="F503" t="s">
        <v>62</v>
      </c>
      <c r="G503" s="8">
        <v>0.80158499999999999</v>
      </c>
      <c r="H503" s="25">
        <v>2.35</v>
      </c>
    </row>
    <row r="504" spans="1:8" x14ac:dyDescent="0.25">
      <c r="A504">
        <v>202606</v>
      </c>
      <c r="B504" t="s">
        <v>40</v>
      </c>
      <c r="C504">
        <v>1760397008</v>
      </c>
      <c r="D504" t="s">
        <v>20</v>
      </c>
      <c r="E504" t="s">
        <v>26</v>
      </c>
      <c r="F504" t="s">
        <v>56</v>
      </c>
      <c r="G504" s="8">
        <v>0.2732</v>
      </c>
      <c r="H504" s="25">
        <v>5.55</v>
      </c>
    </row>
    <row r="505" spans="1:8" x14ac:dyDescent="0.25">
      <c r="A505">
        <v>202606</v>
      </c>
      <c r="B505" t="s">
        <v>40</v>
      </c>
      <c r="C505">
        <v>1760409090</v>
      </c>
      <c r="D505" t="s">
        <v>25</v>
      </c>
      <c r="E505" t="s">
        <v>37</v>
      </c>
      <c r="F505" t="s">
        <v>64</v>
      </c>
      <c r="G505" s="8">
        <v>0.14740560999999999</v>
      </c>
      <c r="H505" s="25">
        <v>2.5499999999999998</v>
      </c>
    </row>
    <row r="506" spans="1:8" x14ac:dyDescent="0.25">
      <c r="A506">
        <v>202606</v>
      </c>
      <c r="B506" t="s">
        <v>40</v>
      </c>
      <c r="C506">
        <v>1760412066</v>
      </c>
      <c r="D506" t="s">
        <v>25</v>
      </c>
      <c r="E506" t="s">
        <v>37</v>
      </c>
      <c r="F506" t="s">
        <v>64</v>
      </c>
      <c r="G506" s="8">
        <v>0.48440138999999999</v>
      </c>
      <c r="H506" s="25">
        <v>2.5499999999999998</v>
      </c>
    </row>
    <row r="507" spans="1:8" x14ac:dyDescent="0.25">
      <c r="A507">
        <v>202606</v>
      </c>
      <c r="B507" t="s">
        <v>40</v>
      </c>
      <c r="C507">
        <v>1764541390</v>
      </c>
      <c r="D507" t="s">
        <v>25</v>
      </c>
      <c r="E507" t="s">
        <v>26</v>
      </c>
      <c r="F507" t="s">
        <v>61</v>
      </c>
      <c r="G507" s="8">
        <v>6.83E-2</v>
      </c>
      <c r="H507" s="25">
        <v>5</v>
      </c>
    </row>
    <row r="508" spans="1:8" x14ac:dyDescent="0.25">
      <c r="A508">
        <v>202606</v>
      </c>
      <c r="B508" t="s">
        <v>40</v>
      </c>
      <c r="C508">
        <v>1764541588</v>
      </c>
      <c r="D508" t="s">
        <v>20</v>
      </c>
      <c r="E508" t="s">
        <v>21</v>
      </c>
      <c r="F508" t="s">
        <v>274</v>
      </c>
      <c r="G508" s="8">
        <v>1.0122</v>
      </c>
      <c r="H508" s="25">
        <v>3.68</v>
      </c>
    </row>
    <row r="509" spans="1:8" x14ac:dyDescent="0.25">
      <c r="A509">
        <v>202606</v>
      </c>
      <c r="B509" t="s">
        <v>40</v>
      </c>
      <c r="C509">
        <v>1764552407</v>
      </c>
      <c r="D509" t="s">
        <v>20</v>
      </c>
      <c r="E509" t="s">
        <v>21</v>
      </c>
      <c r="F509" t="s">
        <v>66</v>
      </c>
      <c r="G509" s="8">
        <v>0.10203</v>
      </c>
      <c r="H509" s="25">
        <v>6.5</v>
      </c>
    </row>
    <row r="510" spans="1:8" x14ac:dyDescent="0.25">
      <c r="A510">
        <v>202606</v>
      </c>
      <c r="B510" t="s">
        <v>40</v>
      </c>
      <c r="C510">
        <v>1764552415</v>
      </c>
      <c r="D510" t="s">
        <v>20</v>
      </c>
      <c r="E510" t="s">
        <v>21</v>
      </c>
      <c r="F510" t="s">
        <v>66</v>
      </c>
      <c r="G510" s="8">
        <v>0.10203</v>
      </c>
      <c r="H510" s="25">
        <v>6.5</v>
      </c>
    </row>
    <row r="511" spans="1:8" x14ac:dyDescent="0.25">
      <c r="A511">
        <v>202606</v>
      </c>
      <c r="B511" t="s">
        <v>40</v>
      </c>
      <c r="C511">
        <v>1764594266</v>
      </c>
      <c r="D511" t="s">
        <v>25</v>
      </c>
      <c r="E511" t="s">
        <v>26</v>
      </c>
      <c r="F511" t="s">
        <v>61</v>
      </c>
      <c r="G511" s="8">
        <v>0.27260000000000001</v>
      </c>
      <c r="H511" s="25">
        <v>5</v>
      </c>
    </row>
    <row r="512" spans="1:8" x14ac:dyDescent="0.25">
      <c r="A512">
        <v>202606</v>
      </c>
      <c r="B512" t="s">
        <v>41</v>
      </c>
      <c r="C512">
        <v>1760409723</v>
      </c>
      <c r="D512" t="s">
        <v>25</v>
      </c>
      <c r="E512" t="s">
        <v>26</v>
      </c>
      <c r="F512" t="s">
        <v>266</v>
      </c>
      <c r="G512" s="8">
        <v>1.3</v>
      </c>
      <c r="H512" s="25">
        <v>0.9</v>
      </c>
    </row>
    <row r="513" spans="1:8" x14ac:dyDescent="0.25">
      <c r="A513">
        <v>202606</v>
      </c>
      <c r="B513" t="s">
        <v>41</v>
      </c>
      <c r="C513">
        <v>1760411183</v>
      </c>
      <c r="D513" t="s">
        <v>25</v>
      </c>
      <c r="E513" t="s">
        <v>21</v>
      </c>
      <c r="F513" t="s">
        <v>267</v>
      </c>
      <c r="G513" s="8">
        <v>0.8</v>
      </c>
      <c r="H513" s="25">
        <v>1.79</v>
      </c>
    </row>
    <row r="514" spans="1:8" x14ac:dyDescent="0.25">
      <c r="A514">
        <v>202606</v>
      </c>
      <c r="B514" t="s">
        <v>43</v>
      </c>
      <c r="C514">
        <v>1760363227</v>
      </c>
      <c r="D514" t="s">
        <v>20</v>
      </c>
      <c r="E514" t="s">
        <v>26</v>
      </c>
      <c r="F514" t="s">
        <v>240</v>
      </c>
      <c r="G514" s="8">
        <v>3.4169999999999998</v>
      </c>
      <c r="H514" s="25">
        <v>0.55000000000000004</v>
      </c>
    </row>
    <row r="515" spans="1:8" x14ac:dyDescent="0.25">
      <c r="A515">
        <v>202606</v>
      </c>
      <c r="B515" t="s">
        <v>43</v>
      </c>
      <c r="C515">
        <v>1760380040</v>
      </c>
      <c r="D515" t="s">
        <v>25</v>
      </c>
      <c r="E515" t="s">
        <v>21</v>
      </c>
      <c r="F515" t="s">
        <v>268</v>
      </c>
      <c r="G515" s="8">
        <v>0.35</v>
      </c>
      <c r="H515" s="25">
        <v>2.5499999999999998</v>
      </c>
    </row>
    <row r="516" spans="1:8" x14ac:dyDescent="0.25">
      <c r="A516">
        <v>202606</v>
      </c>
      <c r="B516" t="s">
        <v>35</v>
      </c>
      <c r="C516">
        <v>1760385450</v>
      </c>
      <c r="D516" t="s">
        <v>20</v>
      </c>
      <c r="E516" t="s">
        <v>26</v>
      </c>
      <c r="F516" t="s">
        <v>153</v>
      </c>
      <c r="G516" s="8">
        <v>0.30762</v>
      </c>
      <c r="H516" s="25">
        <v>5</v>
      </c>
    </row>
    <row r="517" spans="1:8" x14ac:dyDescent="0.25">
      <c r="A517">
        <v>202606</v>
      </c>
      <c r="B517" t="s">
        <v>35</v>
      </c>
      <c r="C517">
        <v>1760385522</v>
      </c>
      <c r="D517" t="s">
        <v>20</v>
      </c>
      <c r="E517" t="s">
        <v>26</v>
      </c>
      <c r="F517" t="s">
        <v>153</v>
      </c>
      <c r="G517" s="8">
        <v>0.372562</v>
      </c>
      <c r="H517" s="25">
        <v>5</v>
      </c>
    </row>
    <row r="518" spans="1:8" x14ac:dyDescent="0.25">
      <c r="A518">
        <v>202606</v>
      </c>
      <c r="B518" t="s">
        <v>36</v>
      </c>
      <c r="C518">
        <v>1760376604</v>
      </c>
      <c r="D518" t="s">
        <v>20</v>
      </c>
      <c r="E518" t="s">
        <v>26</v>
      </c>
      <c r="F518" t="s">
        <v>269</v>
      </c>
      <c r="G518" s="8">
        <v>0.50428223999999999</v>
      </c>
      <c r="H518" s="25">
        <v>1.1100000000000001</v>
      </c>
    </row>
    <row r="519" spans="1:8" x14ac:dyDescent="0.25">
      <c r="A519">
        <v>202606</v>
      </c>
      <c r="B519" t="s">
        <v>36</v>
      </c>
      <c r="C519">
        <v>1760397199</v>
      </c>
      <c r="D519" t="s">
        <v>20</v>
      </c>
      <c r="E519" t="s">
        <v>26</v>
      </c>
      <c r="F519" t="s">
        <v>269</v>
      </c>
      <c r="G519" s="8">
        <v>0.836760375</v>
      </c>
      <c r="H519" s="25">
        <v>1.1100000000000001</v>
      </c>
    </row>
    <row r="520" spans="1:8" x14ac:dyDescent="0.25">
      <c r="A520">
        <v>202606</v>
      </c>
      <c r="B520" t="s">
        <v>36</v>
      </c>
      <c r="C520">
        <v>1764541880</v>
      </c>
      <c r="D520" t="s">
        <v>20</v>
      </c>
      <c r="E520" t="s">
        <v>26</v>
      </c>
      <c r="F520" t="s">
        <v>165</v>
      </c>
      <c r="G520" s="8">
        <v>0.40488000000000002</v>
      </c>
      <c r="H520" s="25">
        <v>3.5</v>
      </c>
    </row>
    <row r="521" spans="1:8" x14ac:dyDescent="0.25">
      <c r="A521">
        <v>202606</v>
      </c>
      <c r="B521" t="s">
        <v>36</v>
      </c>
      <c r="C521">
        <v>1764557719</v>
      </c>
      <c r="D521" t="s">
        <v>25</v>
      </c>
      <c r="E521" t="s">
        <v>21</v>
      </c>
      <c r="F521" t="s">
        <v>279</v>
      </c>
      <c r="G521" s="8">
        <v>1.1599999999999999</v>
      </c>
      <c r="H521" s="25">
        <v>0.85</v>
      </c>
    </row>
    <row r="522" spans="1:8" x14ac:dyDescent="0.25">
      <c r="A522">
        <v>202606</v>
      </c>
      <c r="B522" t="s">
        <v>36</v>
      </c>
      <c r="C522">
        <v>1764560060</v>
      </c>
      <c r="D522" t="s">
        <v>25</v>
      </c>
      <c r="E522" t="s">
        <v>21</v>
      </c>
      <c r="F522" t="s">
        <v>161</v>
      </c>
      <c r="G522" s="8">
        <v>0.17</v>
      </c>
      <c r="H522" s="25">
        <v>4.55</v>
      </c>
    </row>
    <row r="523" spans="1:8" x14ac:dyDescent="0.25">
      <c r="A523">
        <v>202606</v>
      </c>
      <c r="B523" t="s">
        <v>36</v>
      </c>
      <c r="C523">
        <v>1764560760</v>
      </c>
      <c r="D523" t="s">
        <v>25</v>
      </c>
      <c r="E523" t="s">
        <v>21</v>
      </c>
      <c r="F523" t="s">
        <v>167</v>
      </c>
      <c r="G523" s="8">
        <v>0.19</v>
      </c>
      <c r="H523" s="25">
        <v>8.58</v>
      </c>
    </row>
    <row r="524" spans="1:8" x14ac:dyDescent="0.25">
      <c r="A524">
        <v>202606</v>
      </c>
      <c r="B524" t="s">
        <v>36</v>
      </c>
      <c r="C524">
        <v>1764560973</v>
      </c>
      <c r="D524" t="s">
        <v>20</v>
      </c>
      <c r="E524" t="s">
        <v>21</v>
      </c>
      <c r="F524" t="s">
        <v>158</v>
      </c>
      <c r="G524" s="8">
        <v>0.61055999999999999</v>
      </c>
      <c r="H524" s="25">
        <v>4.95</v>
      </c>
    </row>
    <row r="525" spans="1:8" x14ac:dyDescent="0.25">
      <c r="A525">
        <v>202606</v>
      </c>
      <c r="B525" t="s">
        <v>36</v>
      </c>
      <c r="C525">
        <v>1764561155</v>
      </c>
      <c r="D525" t="s">
        <v>20</v>
      </c>
      <c r="E525" t="s">
        <v>26</v>
      </c>
      <c r="F525" t="s">
        <v>280</v>
      </c>
      <c r="G525" s="8">
        <v>2.1714905600000001</v>
      </c>
      <c r="H525" s="25">
        <v>0.7</v>
      </c>
    </row>
    <row r="526" spans="1:8" x14ac:dyDescent="0.25">
      <c r="A526">
        <v>202606</v>
      </c>
      <c r="B526" t="s">
        <v>36</v>
      </c>
      <c r="C526">
        <v>1764585100</v>
      </c>
      <c r="D526" t="s">
        <v>20</v>
      </c>
      <c r="E526" t="s">
        <v>26</v>
      </c>
      <c r="F526" t="s">
        <v>280</v>
      </c>
      <c r="G526" s="8">
        <v>2.239087536</v>
      </c>
      <c r="H526" s="25">
        <v>0.7</v>
      </c>
    </row>
    <row r="527" spans="1:8" x14ac:dyDescent="0.25">
      <c r="A527">
        <v>202606</v>
      </c>
      <c r="B527" t="s">
        <v>29</v>
      </c>
      <c r="C527">
        <v>1760380423</v>
      </c>
      <c r="D527" t="s">
        <v>20</v>
      </c>
      <c r="E527" t="s">
        <v>26</v>
      </c>
      <c r="F527" t="s">
        <v>270</v>
      </c>
      <c r="G527" s="8">
        <v>5.1165000000000003</v>
      </c>
      <c r="H527" s="25">
        <v>2.4</v>
      </c>
    </row>
    <row r="528" spans="1:8" x14ac:dyDescent="0.25">
      <c r="A528">
        <v>202606</v>
      </c>
      <c r="B528" t="s">
        <v>29</v>
      </c>
      <c r="C528">
        <v>1760398853</v>
      </c>
      <c r="D528" t="s">
        <v>20</v>
      </c>
      <c r="E528" t="s">
        <v>26</v>
      </c>
      <c r="F528" t="s">
        <v>221</v>
      </c>
      <c r="G528" s="8">
        <v>4.4394999999999998</v>
      </c>
      <c r="H528" s="25">
        <v>0.3</v>
      </c>
    </row>
    <row r="529" spans="1:8" x14ac:dyDescent="0.25">
      <c r="A529">
        <v>202606</v>
      </c>
      <c r="B529" t="s">
        <v>29</v>
      </c>
      <c r="C529">
        <v>1764578350</v>
      </c>
      <c r="D529" t="s">
        <v>20</v>
      </c>
      <c r="E529" t="s">
        <v>21</v>
      </c>
      <c r="F529" t="s">
        <v>181</v>
      </c>
      <c r="G529" s="8">
        <v>2.3666999999999998</v>
      </c>
      <c r="H529" s="25">
        <v>0.3</v>
      </c>
    </row>
    <row r="530" spans="1:8" x14ac:dyDescent="0.25">
      <c r="A530">
        <v>202606</v>
      </c>
      <c r="B530" t="s">
        <v>42</v>
      </c>
      <c r="C530">
        <v>1764536053</v>
      </c>
      <c r="D530" t="s">
        <v>20</v>
      </c>
      <c r="E530" t="s">
        <v>26</v>
      </c>
      <c r="F530" t="s">
        <v>275</v>
      </c>
      <c r="G530" s="8">
        <v>0.50609999999999999</v>
      </c>
      <c r="H530" s="25">
        <v>3.05</v>
      </c>
    </row>
    <row r="531" spans="1:8" x14ac:dyDescent="0.25">
      <c r="A531">
        <v>202606</v>
      </c>
      <c r="B531" t="s">
        <v>42</v>
      </c>
      <c r="C531">
        <v>1764566970</v>
      </c>
      <c r="D531" t="s">
        <v>25</v>
      </c>
      <c r="E531" t="s">
        <v>26</v>
      </c>
      <c r="F531" t="s">
        <v>76</v>
      </c>
      <c r="G531" s="8">
        <v>0.72</v>
      </c>
      <c r="H531" s="25">
        <v>2.0499999999999998</v>
      </c>
    </row>
    <row r="532" spans="1:8" x14ac:dyDescent="0.25">
      <c r="A532">
        <v>202606</v>
      </c>
      <c r="B532" t="s">
        <v>42</v>
      </c>
      <c r="C532">
        <v>1764590058</v>
      </c>
      <c r="D532" t="s">
        <v>25</v>
      </c>
      <c r="E532" t="s">
        <v>26</v>
      </c>
      <c r="F532" t="s">
        <v>69</v>
      </c>
      <c r="G532" s="8">
        <v>0.82079999999999997</v>
      </c>
      <c r="H532" s="25">
        <v>0</v>
      </c>
    </row>
    <row r="533" spans="1:8" x14ac:dyDescent="0.25">
      <c r="A533">
        <v>202606</v>
      </c>
      <c r="B533" t="s">
        <v>96</v>
      </c>
      <c r="C533">
        <v>1764537882</v>
      </c>
      <c r="D533" t="s">
        <v>20</v>
      </c>
      <c r="E533" t="s">
        <v>26</v>
      </c>
      <c r="F533" t="s">
        <v>185</v>
      </c>
      <c r="G533" s="8">
        <v>5.80557435374</v>
      </c>
      <c r="H533" s="25">
        <v>0.3</v>
      </c>
    </row>
    <row r="534" spans="1:8" x14ac:dyDescent="0.25">
      <c r="A534">
        <v>202606</v>
      </c>
      <c r="B534" t="s">
        <v>96</v>
      </c>
      <c r="C534">
        <v>1764590953</v>
      </c>
      <c r="D534" t="s">
        <v>25</v>
      </c>
      <c r="E534" t="s">
        <v>21</v>
      </c>
      <c r="F534" t="s">
        <v>286</v>
      </c>
      <c r="G534" s="8">
        <v>3</v>
      </c>
      <c r="H534" s="25">
        <v>0.25</v>
      </c>
    </row>
    <row r="535" spans="1:8" x14ac:dyDescent="0.25">
      <c r="A535">
        <v>202606</v>
      </c>
      <c r="B535" t="s">
        <v>255</v>
      </c>
      <c r="C535">
        <v>1760361356</v>
      </c>
      <c r="D535" t="s">
        <v>20</v>
      </c>
      <c r="E535" t="s">
        <v>37</v>
      </c>
      <c r="F535" t="s">
        <v>271</v>
      </c>
      <c r="G535" s="8">
        <v>2.581324812E-2</v>
      </c>
      <c r="H535" s="25">
        <v>5.2</v>
      </c>
    </row>
    <row r="536" spans="1:8" x14ac:dyDescent="0.25">
      <c r="A536">
        <v>202606</v>
      </c>
      <c r="B536" t="s">
        <v>255</v>
      </c>
      <c r="C536">
        <v>1760379832</v>
      </c>
      <c r="D536" t="s">
        <v>25</v>
      </c>
      <c r="E536" t="s">
        <v>37</v>
      </c>
      <c r="F536" t="s">
        <v>272</v>
      </c>
      <c r="G536" s="8">
        <v>0.33984283000000004</v>
      </c>
      <c r="H536" s="25">
        <v>8.65</v>
      </c>
    </row>
    <row r="537" spans="1:8" x14ac:dyDescent="0.25">
      <c r="A537">
        <v>202606</v>
      </c>
      <c r="B537" t="s">
        <v>255</v>
      </c>
      <c r="C537">
        <v>1764578058</v>
      </c>
      <c r="D537" t="s">
        <v>25</v>
      </c>
      <c r="E537" t="s">
        <v>37</v>
      </c>
      <c r="F537" t="s">
        <v>261</v>
      </c>
      <c r="G537" s="8">
        <v>0.5</v>
      </c>
      <c r="H537" s="25">
        <v>8.5</v>
      </c>
    </row>
    <row r="538" spans="1:8" x14ac:dyDescent="0.25">
      <c r="A538">
        <v>202606</v>
      </c>
      <c r="B538" t="s">
        <v>44</v>
      </c>
      <c r="C538">
        <v>1764570570</v>
      </c>
      <c r="D538" t="s">
        <v>20</v>
      </c>
      <c r="E538" t="s">
        <v>37</v>
      </c>
      <c r="F538" t="s">
        <v>88</v>
      </c>
      <c r="G538" s="8">
        <v>2.8571741814</v>
      </c>
      <c r="H538" s="25">
        <v>2.75</v>
      </c>
    </row>
    <row r="539" spans="1:8" x14ac:dyDescent="0.25">
      <c r="A539">
        <v>202606</v>
      </c>
      <c r="B539" t="s">
        <v>44</v>
      </c>
      <c r="C539">
        <v>1764595025</v>
      </c>
      <c r="D539" t="s">
        <v>20</v>
      </c>
      <c r="E539" t="s">
        <v>37</v>
      </c>
      <c r="F539" t="s">
        <v>88</v>
      </c>
      <c r="G539" s="8">
        <v>1.1814716751200001</v>
      </c>
      <c r="H539" s="25">
        <v>2.85</v>
      </c>
    </row>
    <row r="540" spans="1:8" x14ac:dyDescent="0.25">
      <c r="A540">
        <v>202606</v>
      </c>
      <c r="B540" t="s">
        <v>47</v>
      </c>
      <c r="C540">
        <v>1764530420</v>
      </c>
      <c r="D540" t="s">
        <v>20</v>
      </c>
      <c r="E540" t="s">
        <v>26</v>
      </c>
      <c r="F540" t="s">
        <v>276</v>
      </c>
      <c r="G540" s="8">
        <v>1.2047000000000001</v>
      </c>
      <c r="H540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2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4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5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6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7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8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9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0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1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B1F80A0D-80DA-401D-9903-9DB7F9C8CEFF}">
  <ds:schemaRefs/>
</ds:datastoreItem>
</file>

<file path=customXml/itemProps14.xml><?xml version="1.0" encoding="utf-8"?>
<ds:datastoreItem xmlns:ds="http://schemas.openxmlformats.org/officeDocument/2006/customXml" ds:itemID="{DF7822E6-FA16-4697-8900-C7FC1284B10B}">
  <ds:schemaRefs/>
</ds:datastoreItem>
</file>

<file path=customXml/itemProps15.xml><?xml version="1.0" encoding="utf-8"?>
<ds:datastoreItem xmlns:ds="http://schemas.openxmlformats.org/officeDocument/2006/customXml" ds:itemID="{16660037-6962-4740-AE05-76C4D58DC6CF}">
  <ds:schemaRefs/>
</ds:datastoreItem>
</file>

<file path=customXml/itemProps16.xml><?xml version="1.0" encoding="utf-8"?>
<ds:datastoreItem xmlns:ds="http://schemas.openxmlformats.org/officeDocument/2006/customXml" ds:itemID="{A3289A48-24A5-450A-80B8-E5473706114A}">
  <ds:schemaRefs/>
</ds:datastoreItem>
</file>

<file path=customXml/itemProps17.xml><?xml version="1.0" encoding="utf-8"?>
<ds:datastoreItem xmlns:ds="http://schemas.openxmlformats.org/officeDocument/2006/customXml" ds:itemID="{9ED8165D-8266-4F56-BA3A-A06A298F548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2026-06-17T20:33:44Z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