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84" documentId="8_{E36DC478-9D34-4691-AA52-C22FB807C30C}" xr6:coauthVersionLast="47" xr6:coauthVersionMax="47" xr10:uidLastSave="{EE9CA072-268E-4788-932F-847D1B215ADD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424" r:id="rId2"/>
    <pivotCache cacheId="1427" r:id="rId3"/>
  </pivotCaches>
  <extLst>
    <ext xmlns:x14="http://schemas.microsoft.com/office/spreadsheetml/2009/9/main" uri="{876F7934-8845-4945-9796-88D515C7AA90}">
      <x14:pivotCaches>
        <pivotCache cacheId="1423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<sst xmlns="http://schemas.openxmlformats.org/spreadsheetml/2006/main" count="1705" uniqueCount="239">
  <si>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</si>
  <si>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</si>
  <si>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</si>
  <si>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</si>
  <si>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</si>
  <si>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</si>
  <si>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</si>
  <si>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</si>
  <si>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</si>
  <si>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</si>
  <si>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</si>
  <si>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</si>
  <si>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</si>
  <si>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</si>
  <si>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</si>
  <si>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</si>
  <si>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</si>
  <si>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</si>
  <si>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</si>
  <si>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</si>
  <si>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</si>
  <si>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</si>
  <si>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</si>
  <si>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</si>
  <si>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</si>
  <si>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</si>
  <si>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</si>
  <si>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</si>
  <si>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</si>
  <si>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</si>
  <si>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</si>
  <si>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</si>
  <si>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</si>
  <si>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</si>
  <si>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</si>
  <si>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</si>
  <si>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</si>
  <si>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</si>
  <si>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</si>
  <si>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</si>
  <si>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</si>
  <si>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</si>
  <si>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</si>
  <si>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</si>
  <si>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</si>
  <si>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</si>
  <si>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</si>
  <si>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</si>
  <si>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</si>
  <si>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</si>
  <si>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</si>
  <si>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</si>
  <si>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</si>
  <si>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</si>
  <si>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</si>
  <si>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</si>
  <si>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</si>
  <si>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</si>
  <si>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</si>
  <si>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</si>
  <si>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</si>
  <si>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</si>
  <si>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</si>
  <si>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</si>
  <si>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</si>
  <si>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</si>
  <si>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</si>
  <si>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</si>
  <si>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</si>
  <si>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</si>
  <si>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</si>
  <si>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</si>
  <si>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</si>
  <si>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</si>
  <si>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</si>
  <si>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</si>
  <si>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</si>
  <si>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</si>
  <si>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</si>
  <si>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</si>
  <si>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</si>
  <si>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</si>
  <si>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</si>
  <si>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</si>
  <si>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</si>
  <si>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</si>
  <si>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</si>
  <si>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</si>
  <si>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</si>
  <si>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</si>
  <si>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</si>
  <si>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</si>
  <si>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</si>
  <si>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</si>
  <si>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</si>
  <si>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</si>
  <si>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</si>
  <si>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</si>
  <si>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</si>
  <si>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</si>
  <si>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</si>
  <si>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</si>
  <si>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</si>
  <si>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</si>
  <si>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</si>
  <si>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</si>
  <si>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</si>
  <si>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</si>
  <si>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</si>
  <si>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</si>
  <si>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</si>
  <si>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</si>
  <si>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</si>
  <si>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</si>
  <si>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</si>
  <si>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</si>
  <si>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</si>
  <si>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</si>
  <si>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</si>
  <si>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</si>
  <si>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</si>
  <si>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</si>
  <si>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</si>
  <si>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</si>
  <si>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</si>
  <si>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</si>
  <si>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</si>
  <si>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</si>
  <si>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</si>
  <si>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</si>
  <si>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</si>
  <si>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</si>
  <si>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</si>
  <si>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</si>
  <si>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</si>
  <si>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</si>
  <si>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</si>
  <si>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</si>
  <si>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</si>
  <si>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</si>
  <si>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</si>
  <si>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</si>
  <si>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</si>
  <si>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</si>
  <si>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</si>
  <si>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</si>
  <si>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</si>
  <si>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</si>
  <si>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</si>
  <si>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</si>
  <si>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</si>
  <si>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</si>
  <si>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</si>
  <si>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</si>
  <si>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</si>
  <si>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</si>
  <si>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</si>
  <si>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</si>
  <si>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</si>
  <si>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</si>
  <si>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</si>
  <si>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</si>
  <si>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</si>
  <si>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</si>
  <si>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</si>
  <si>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</si>
  <si>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</si>
  <si>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</si>
  <si>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</si>
  <si>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</si>
  <si>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</si>
  <si>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</si>
  <si>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</si>
  <si>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</si>
  <si>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</si>
  <si>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</si>
  <si>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</si>
  <si>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</si>
  <si>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</si>
  <si>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</si>
  <si>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</si>
  <si>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</si>
  <si>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</si>
  <si>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</si>
  <si>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</si>
  <si>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</si>
  <si>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</si>
  <si>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</si>
  <si>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</si>
  <si>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</si>
  <si>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</si>
  <si>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</si>
  <si>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</si>
  <si>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</si>
  <si>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</si>
  <si>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</si>
  <si>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</si>
  <si>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</si>
  <si>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</si>
  <si>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</si>
  <si>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</si>
  <si>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</si>
  <si>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</si>
  <si>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</si>
  <si>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</si>
  <si>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</si>
  <si>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</si>
  <si>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</si>
  <si>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</si>
  <si>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</si>
  <si>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</si>
  <si>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</si>
  <si>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</si>
  <si>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</si>
  <si>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</si>
  <si>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</si>
  <si>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</si>
  <si>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</si>
  <si>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</si>
  <si>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</si>
  <si>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</si>
  <si>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</si>
  <si>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</si>
  <si>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</si>
  <si>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</si>
  <si>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</si>
  <si>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</si>
  <si>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</si>
  <si>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</si>
  <si>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</si>
  <si>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</si>
  <si>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</si>
  <si>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</si>
  <si>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</si>
  <si>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</si>
  <si>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</si>
  <si>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</si>
  <si>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</si>
  <si>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18/08/2026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</si>
</sst>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3.704322569443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222783" count="410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69112870"/>
        <n v="1773154796"/>
        <n v="1773157515"/>
        <n v="1773166140"/>
        <n v="1773175580"/>
        <n v="1773186400"/>
        <n v="1769078703"/>
        <n v="1769086730"/>
        <n v="1769094260"/>
        <n v="1773149148"/>
        <n v="1773149260"/>
        <n v="1773155164"/>
        <n v="1773172069"/>
        <n v="1773217712"/>
        <n v="1773218360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69063935"/>
        <n v="1769094750"/>
        <n v="1773218336"/>
        <n v="1773219375"/>
        <n v="1773204700"/>
        <n v="1769110290"/>
        <n v="1773149245"/>
        <n v="1773168738"/>
        <n v="1773168886"/>
        <n v="1773184504"/>
        <n v="1773192840"/>
        <n v="1773192205"/>
        <n v="1773220969"/>
        <n v="1769072322"/>
        <n v="1769086617"/>
        <n v="1769094229"/>
        <n v="1773186515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69106316"/>
        <n v="1769113495"/>
        <n v="1773160575"/>
        <n v="1773181386"/>
        <n v="1773181882"/>
        <n v="1773182640"/>
        <n v="1773205706"/>
        <n v="1773214489"/>
        <n v="1773217879"/>
        <n v="1769086757"/>
        <n v="1769100090"/>
        <n v="1769102370"/>
        <n v="1773158627"/>
        <n v="1773172123"/>
        <n v="1769087672"/>
        <n v="1769099506"/>
        <n v="1773163159"/>
        <n v="1773163230"/>
        <n v="1773180126"/>
        <n v="1773186639"/>
        <n v="1773192248"/>
        <n v="1773220349"/>
        <n v="1773220373"/>
        <n v="1773181912"/>
        <n v="1769102388"/>
        <n v="1769110178"/>
        <n v="1773180819"/>
        <n v="1773205803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69116362"/>
        <n v="1773129627"/>
        <n v="1773158856"/>
        <n v="1773210289"/>
        <n v="1773210297"/>
        <n v="1773210394"/>
        <n v="1773210572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78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INKAPACKING SAC"/>
        <s v="AGROINDUSTRIAS HUARAL SAC"/>
        <s v="CONDUTO PERU SAC"/>
        <s v="PROVEEDORES MINEROS SAC"/>
        <s v="P A PERU S A C"/>
        <s v="GRUPO DELTRON S A"/>
        <s v="INTERLOOM S A C"/>
        <s v="TRAUMA SOLUTIONS SAC"/>
        <s v="POLIMASTER SAC"/>
        <s v="CORPORACION MOLIENDA ZUR SAC"/>
        <s v="ACEROS COMERCIALES S C R L"/>
        <s v="INVERMIN PAITITI SOCIEDAD ANONIMA CERRADA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FLORIDABLANCA SAC"/>
        <s v="CYNARA PERU SAC"/>
        <s v="AMBACAR S A C"/>
        <s v="POLIMEROS Y PLASTICOS ANDINA SAC"/>
        <s v="MARCO PERUANA S A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3.70432384259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3.704321064812" createdVersion="3" refreshedVersion="8" minRefreshableVersion="3" recordCount="0" supportSubquery="1" supportAdvancedDrill="1" xr:uid="{78F0F365-C4DA-496B-9A63-995E3AC6D4DE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064027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424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426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10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2">
      <x v="295"/>
      <x v="1"/>
      <x v="1"/>
      <x v="3"/>
    </i>
    <i r="1">
      <x v="1"/>
      <x v="296"/>
      <x/>
      <x v="2"/>
      <x v="4"/>
    </i>
    <i r="2">
      <x v="297"/>
      <x/>
      <x v="1"/>
      <x v="5"/>
    </i>
    <i r="2">
      <x v="298"/>
      <x v="1"/>
      <x v="1"/>
      <x v="6"/>
    </i>
    <i r="2">
      <x v="299"/>
      <x/>
      <x v="2"/>
      <x v="4"/>
    </i>
    <i r="2">
      <x v="300"/>
      <x/>
      <x v="2"/>
      <x v="146"/>
    </i>
    <i r="2">
      <x v="301"/>
      <x/>
      <x v="2"/>
      <x v="4"/>
    </i>
    <i r="1">
      <x v="2"/>
      <x v="302"/>
      <x/>
      <x/>
      <x v="10"/>
    </i>
    <i r="2">
      <x v="303"/>
      <x/>
      <x v="1"/>
      <x v="147"/>
    </i>
    <i r="2">
      <x v="304"/>
      <x/>
      <x v="1"/>
      <x v="148"/>
    </i>
    <i r="2">
      <x v="305"/>
      <x/>
      <x v="1"/>
      <x v="149"/>
    </i>
    <i r="2">
      <x v="306"/>
      <x/>
      <x v="1"/>
      <x v="148"/>
    </i>
    <i r="2">
      <x v="307"/>
      <x v="1"/>
      <x v="1"/>
      <x v="150"/>
    </i>
    <i r="2">
      <x v="308"/>
      <x/>
      <x v="2"/>
      <x v="16"/>
    </i>
    <i r="1">
      <x v="3"/>
      <x v="309"/>
      <x/>
      <x/>
      <x v="23"/>
    </i>
    <i r="2">
      <x v="310"/>
      <x v="1"/>
      <x/>
      <x v="23"/>
    </i>
    <i r="1">
      <x v="5"/>
      <x v="311"/>
      <x/>
      <x v="2"/>
      <x v="35"/>
    </i>
    <i r="2">
      <x v="312"/>
      <x v="1"/>
      <x v="1"/>
      <x v="31"/>
    </i>
    <i r="2">
      <x v="313"/>
      <x/>
      <x v="2"/>
      <x v="35"/>
    </i>
    <i r="2">
      <x v="314"/>
      <x/>
      <x v="2"/>
      <x v="35"/>
    </i>
    <i r="2">
      <x v="315"/>
      <x/>
      <x v="2"/>
      <x v="33"/>
    </i>
    <i r="2">
      <x v="316"/>
      <x/>
      <x v="2"/>
      <x v="36"/>
    </i>
    <i r="2">
      <x v="317"/>
      <x/>
      <x v="1"/>
      <x v="151"/>
    </i>
    <i r="2">
      <x v="318"/>
      <x/>
      <x v="2"/>
      <x v="35"/>
    </i>
    <i r="2">
      <x v="319"/>
      <x/>
      <x v="2"/>
      <x v="33"/>
    </i>
    <i r="2">
      <x v="320"/>
      <x/>
      <x v="2"/>
      <x v="32"/>
    </i>
    <i r="1">
      <x v="6"/>
      <x v="321"/>
      <x v="1"/>
      <x v="1"/>
      <x v="42"/>
    </i>
    <i r="2">
      <x v="322"/>
      <x v="1"/>
      <x v="1"/>
      <x v="42"/>
    </i>
    <i r="2">
      <x v="323"/>
      <x v="1"/>
      <x v="1"/>
      <x v="152"/>
    </i>
    <i r="2">
      <x v="324"/>
      <x v="1"/>
      <x v="2"/>
      <x v="153"/>
    </i>
    <i r="1">
      <x v="7"/>
      <x v="325"/>
      <x v="1"/>
      <x/>
      <x v="47"/>
    </i>
    <i r="1">
      <x v="8"/>
      <x v="326"/>
      <x/>
      <x v="1"/>
      <x v="62"/>
    </i>
    <i r="2">
      <x v="327"/>
      <x/>
      <x v="2"/>
      <x v="52"/>
    </i>
    <i r="2">
      <x v="328"/>
      <x v="1"/>
      <x v="2"/>
      <x v="55"/>
    </i>
    <i r="2">
      <x v="329"/>
      <x v="1"/>
      <x v="2"/>
      <x v="55"/>
    </i>
    <i r="2">
      <x v="330"/>
      <x v="1"/>
      <x v="1"/>
      <x v="54"/>
    </i>
    <i r="2">
      <x v="331"/>
      <x/>
      <x v="1"/>
      <x v="62"/>
    </i>
    <i r="1">
      <x v="9"/>
      <x v="332"/>
      <x/>
      <x v="2"/>
      <x v="154"/>
    </i>
    <i r="2">
      <x v="333"/>
      <x/>
      <x v="1"/>
      <x v="155"/>
    </i>
    <i r="1">
      <x v="10"/>
      <x v="334"/>
      <x/>
      <x v="2"/>
      <x v="68"/>
    </i>
    <i r="2">
      <x v="335"/>
      <x/>
      <x v="2"/>
      <x v="156"/>
    </i>
    <i r="2">
      <x v="336"/>
      <x v="1"/>
      <x v="1"/>
      <x v="67"/>
    </i>
    <i r="2">
      <x v="337"/>
      <x/>
      <x v="1"/>
      <x v="157"/>
    </i>
    <i r="1">
      <x v="11"/>
      <x v="338"/>
      <x v="1"/>
      <x v="1"/>
      <x v="77"/>
    </i>
    <i r="2">
      <x v="339"/>
      <x v="1"/>
      <x v="1"/>
      <x v="77"/>
    </i>
    <i r="2">
      <x v="340"/>
      <x/>
      <x v="2"/>
      <x v="78"/>
    </i>
    <i r="2">
      <x v="341"/>
      <x v="1"/>
      <x v="1"/>
      <x v="158"/>
    </i>
    <i r="2">
      <x v="342"/>
      <x/>
      <x v="1"/>
      <x v="76"/>
    </i>
    <i r="2">
      <x v="343"/>
      <x/>
      <x v="2"/>
      <x v="75"/>
    </i>
    <i r="2">
      <x v="344"/>
      <x v="1"/>
      <x v="1"/>
      <x v="159"/>
    </i>
    <i r="2">
      <x v="345"/>
      <x v="1"/>
      <x v="1"/>
      <x v="160"/>
    </i>
    <i r="2">
      <x v="346"/>
      <x/>
      <x v="1"/>
      <x v="72"/>
    </i>
    <i r="2">
      <x v="347"/>
      <x v="1"/>
      <x v="1"/>
      <x v="72"/>
    </i>
    <i r="2">
      <x v="348"/>
      <x/>
      <x v="1"/>
      <x v="72"/>
    </i>
    <i r="2">
      <x v="349"/>
      <x v="1"/>
      <x v="1"/>
      <x v="77"/>
    </i>
    <i r="2">
      <x v="350"/>
      <x/>
      <x v="1"/>
      <x v="72"/>
    </i>
    <i r="2">
      <x v="351"/>
      <x v="1"/>
      <x v="1"/>
      <x v="72"/>
    </i>
    <i r="2">
      <x v="352"/>
      <x v="1"/>
      <x v="1"/>
      <x v="72"/>
    </i>
    <i r="1">
      <x v="12"/>
      <x v="353"/>
      <x v="1"/>
      <x v="1"/>
      <x v="161"/>
    </i>
    <i r="2">
      <x v="354"/>
      <x/>
      <x v="2"/>
      <x v="82"/>
    </i>
    <i r="2">
      <x v="355"/>
      <x/>
      <x v="2"/>
      <x v="162"/>
    </i>
    <i r="2">
      <x v="356"/>
      <x/>
      <x v="2"/>
      <x v="163"/>
    </i>
    <i r="2">
      <x v="357"/>
      <x/>
      <x v="1"/>
      <x v="162"/>
    </i>
    <i r="2">
      <x v="358"/>
      <x/>
      <x v="2"/>
      <x v="164"/>
    </i>
    <i r="2">
      <x v="359"/>
      <x v="1"/>
      <x/>
      <x v="161"/>
    </i>
    <i r="2">
      <x v="360"/>
      <x/>
      <x v="2"/>
      <x v="162"/>
    </i>
    <i r="2">
      <x v="361"/>
      <x/>
      <x v="1"/>
      <x v="162"/>
    </i>
    <i r="1">
      <x v="13"/>
      <x v="362"/>
      <x v="1"/>
      <x v="1"/>
      <x v="165"/>
    </i>
    <i r="2">
      <x v="363"/>
      <x v="1"/>
      <x v="1"/>
      <x v="166"/>
    </i>
    <i r="2">
      <x v="364"/>
      <x v="1"/>
      <x v="1"/>
      <x v="167"/>
    </i>
    <i r="2">
      <x v="365"/>
      <x v="1"/>
      <x v="1"/>
      <x v="166"/>
    </i>
    <i r="2">
      <x v="366"/>
      <x v="1"/>
      <x v="1"/>
      <x v="168"/>
    </i>
    <i r="1">
      <x v="14"/>
      <x v="367"/>
      <x/>
      <x v="2"/>
      <x v="169"/>
    </i>
    <i r="2">
      <x v="368"/>
      <x/>
      <x v="2"/>
      <x v="170"/>
    </i>
    <i r="2">
      <x v="369"/>
      <x v="1"/>
      <x v="1"/>
      <x v="171"/>
    </i>
    <i r="2">
      <x v="370"/>
      <x v="1"/>
      <x v="1"/>
      <x v="171"/>
    </i>
    <i r="2">
      <x v="371"/>
      <x/>
      <x v="2"/>
      <x v="170"/>
    </i>
    <i r="2">
      <x v="372"/>
      <x v="1"/>
      <x v="1"/>
      <x v="172"/>
    </i>
    <i r="2">
      <x v="373"/>
      <x/>
      <x v="2"/>
      <x v="170"/>
    </i>
    <i r="2">
      <x v="374"/>
      <x/>
      <x v="2"/>
      <x v="170"/>
    </i>
    <i r="2">
      <x v="375"/>
      <x/>
      <x v="2"/>
      <x v="170"/>
    </i>
    <i r="1">
      <x v="15"/>
      <x v="376"/>
      <x v="1"/>
      <x/>
      <x v="102"/>
    </i>
    <i r="1">
      <x v="16"/>
      <x v="377"/>
      <x/>
      <x v="2"/>
      <x v="108"/>
    </i>
    <i r="2">
      <x v="378"/>
      <x/>
      <x v="1"/>
      <x v="108"/>
    </i>
    <i r="2">
      <x v="379"/>
      <x/>
      <x v="2"/>
      <x v="108"/>
    </i>
    <i r="2">
      <x v="380"/>
      <x/>
      <x v="2"/>
      <x v="110"/>
    </i>
    <i r="1">
      <x v="17"/>
      <x v="381"/>
      <x/>
      <x v="2"/>
      <x v="119"/>
    </i>
    <i r="2">
      <x v="382"/>
      <x/>
      <x v="2"/>
      <x v="119"/>
    </i>
    <i r="2">
      <x v="383"/>
      <x/>
      <x v="2"/>
      <x v="121"/>
    </i>
    <i r="2">
      <x v="384"/>
      <x/>
      <x v="1"/>
      <x v="115"/>
    </i>
    <i r="2">
      <x v="385"/>
      <x/>
      <x v="2"/>
      <x v="173"/>
    </i>
    <i r="2">
      <x v="386"/>
      <x/>
      <x v="2"/>
      <x v="173"/>
    </i>
    <i r="2">
      <x v="387"/>
      <x/>
      <x v="2"/>
      <x v="173"/>
    </i>
    <i r="2">
      <x v="388"/>
      <x/>
      <x v="2"/>
      <x v="174"/>
    </i>
    <i r="2">
      <x v="389"/>
      <x/>
      <x v="1"/>
      <x v="115"/>
    </i>
    <i r="2">
      <x v="390"/>
      <x/>
      <x v="2"/>
      <x v="173"/>
    </i>
    <i r="2">
      <x v="391"/>
      <x/>
      <x v="2"/>
      <x v="119"/>
    </i>
    <i r="2">
      <x v="392"/>
      <x/>
      <x v="2"/>
      <x v="175"/>
    </i>
    <i r="1">
      <x v="18"/>
      <x v="393"/>
      <x/>
      <x/>
      <x v="126"/>
    </i>
    <i r="1">
      <x v="19"/>
      <x v="394"/>
      <x/>
      <x v="2"/>
      <x v="176"/>
    </i>
    <i r="2">
      <x v="395"/>
      <x/>
      <x v="2"/>
      <x v="177"/>
    </i>
    <i r="2">
      <x v="396"/>
      <x/>
      <x v="1"/>
      <x v="132"/>
    </i>
    <i r="2">
      <x v="397"/>
      <x/>
      <x v="1"/>
      <x v="132"/>
    </i>
    <i r="2">
      <x v="398"/>
      <x/>
      <x v="1"/>
      <x v="132"/>
    </i>
    <i r="2">
      <x v="399"/>
      <x/>
      <x v="1"/>
      <x v="132"/>
    </i>
    <i r="1">
      <x v="20"/>
      <x v="400"/>
      <x v="1"/>
      <x v="1"/>
      <x v="144"/>
    </i>
    <i r="2">
      <x v="401"/>
      <x v="1"/>
      <x v="1"/>
      <x v="144"/>
    </i>
    <i r="2">
      <x v="402"/>
      <x v="1"/>
      <x/>
      <x v="140"/>
    </i>
    <i r="2">
      <x v="403"/>
      <x/>
      <x/>
      <x v="140"/>
    </i>
    <i r="2">
      <x v="404"/>
      <x v="1"/>
      <x/>
      <x v="143"/>
    </i>
    <i r="2">
      <x v="405"/>
      <x v="1"/>
      <x/>
      <x v="140"/>
    </i>
    <i r="2">
      <x v="406"/>
      <x v="1"/>
      <x/>
      <x v="140"/>
    </i>
    <i r="2">
      <x v="407"/>
      <x v="1"/>
      <x/>
      <x v="140"/>
    </i>
    <i r="2">
      <x v="408"/>
      <x v="1"/>
      <x/>
      <x v="143"/>
    </i>
    <i r="2">
      <x v="409"/>
      <x v="1"/>
      <x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427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906402706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90640270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906402706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S17" sqref="S17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18/08/2026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146.19687821009992</v>
      </c>
      <c r="H8" s="21" cm="1">
        <f t="array" ref="H8">IFERROR(SUMPRODUCT(G17:G1007,H17:H1007*(A17:A1007=202608))/SUMIFS(G17:G1007,A17:A1007,202608),0)</f>
        <v>1.5896265009090345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149.19687821009992</v>
      </c>
      <c r="H10" s="21">
        <f>+IFERROR(((G8*H8)+(SUM(J17:J1007)*(SUMPRODUCT(J17:J1007,K17:K1007)/SUM(J17:J1007))))/(G8+SUM(J17:J1007)),H8)</f>
        <v>1.5616843646341958</v>
      </c>
      <c r="I10"/>
      <c r="J10"/>
      <c r="K10"/>
    </row>
    <row r="11" spans="1:19" x14ac:dyDescent="0.3">
      <c r="F11" s="13" t="s">
        <v>4</v>
      </c>
      <c r="G11" s="6">
        <f>+SUM(G17:G999998)</f>
        <v>603.54162886712959</v>
      </c>
      <c r="H11" s="21">
        <f>+SUMPRODUCT(G17:G1007,H17:H1007)/SUM(G17:G1007)</f>
        <v>1.3925243461685892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606.54162886712959</v>
      </c>
      <c r="H12" s="21">
        <f>+IFERROR(((G11*H11)+(SUM(J17:J1007)*(SUMPRODUCT(J17:J1007,K17:K1007)/SUM(J17:J1007))))/(G11+SUM(J17:J1007)),H11)</f>
        <v>1.386626032073994</v>
      </c>
      <c r="I12"/>
      <c r="J12"/>
      <c r="K12"/>
      <c r="S12" t="s">
        <v>238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114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56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115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40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116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42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43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6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192</v>
      </c>
      <c r="G312" s="8">
        <v>1.671</v>
      </c>
      <c r="H312" s="26">
        <v>3</v>
      </c>
    </row>
    <row r="313" spans="1:8" x14ac:dyDescent="0.3">
      <c r="A313">
        <v>202608</v>
      </c>
      <c r="B313" t="s">
        <v>55</v>
      </c>
      <c r="C313">
        <v>1769112870</v>
      </c>
      <c r="D313" t="s">
        <v>18</v>
      </c>
      <c r="E313" t="s">
        <v>24</v>
      </c>
      <c r="F313" t="s">
        <v>65</v>
      </c>
      <c r="G313" s="8">
        <v>0.17014460200000001</v>
      </c>
      <c r="H313" s="26">
        <v>2.79</v>
      </c>
    </row>
    <row r="314" spans="1:8" x14ac:dyDescent="0.3">
      <c r="A314">
        <v>202608</v>
      </c>
      <c r="B314" t="s">
        <v>55</v>
      </c>
      <c r="C314">
        <v>1773154796</v>
      </c>
      <c r="D314" t="s">
        <v>18</v>
      </c>
      <c r="E314" t="s">
        <v>19</v>
      </c>
      <c r="F314" t="s">
        <v>63</v>
      </c>
      <c r="G314" s="8">
        <v>0.67359999999999998</v>
      </c>
      <c r="H314" s="26">
        <v>1</v>
      </c>
    </row>
    <row r="315" spans="1:8" x14ac:dyDescent="0.3">
      <c r="A315">
        <v>202608</v>
      </c>
      <c r="B315" t="s">
        <v>55</v>
      </c>
      <c r="C315">
        <v>1773157515</v>
      </c>
      <c r="D315" t="s">
        <v>23</v>
      </c>
      <c r="E315" t="s">
        <v>19</v>
      </c>
      <c r="F315" t="s">
        <v>174</v>
      </c>
      <c r="G315" s="8">
        <v>1.08</v>
      </c>
      <c r="H315" s="26">
        <v>2.0499999999999998</v>
      </c>
    </row>
    <row r="316" spans="1:8" x14ac:dyDescent="0.3">
      <c r="A316">
        <v>202608</v>
      </c>
      <c r="B316" t="s">
        <v>55</v>
      </c>
      <c r="C316">
        <v>1773166140</v>
      </c>
      <c r="D316" t="s">
        <v>18</v>
      </c>
      <c r="E316" t="s">
        <v>24</v>
      </c>
      <c r="F316" t="s">
        <v>65</v>
      </c>
      <c r="G316" s="8">
        <v>0.50731571399999997</v>
      </c>
      <c r="H316" s="26">
        <v>2.79</v>
      </c>
    </row>
    <row r="317" spans="1:8" x14ac:dyDescent="0.3">
      <c r="A317">
        <v>202608</v>
      </c>
      <c r="B317" t="s">
        <v>55</v>
      </c>
      <c r="C317">
        <v>1773175580</v>
      </c>
      <c r="D317" t="s">
        <v>18</v>
      </c>
      <c r="E317" t="s">
        <v>24</v>
      </c>
      <c r="F317" t="s">
        <v>227</v>
      </c>
      <c r="G317" s="8">
        <v>0.33660000000000001</v>
      </c>
      <c r="H317" s="26">
        <v>3.25</v>
      </c>
    </row>
    <row r="318" spans="1:8" x14ac:dyDescent="0.3">
      <c r="A318">
        <v>202608</v>
      </c>
      <c r="B318" t="s">
        <v>55</v>
      </c>
      <c r="C318">
        <v>1773186400</v>
      </c>
      <c r="D318" t="s">
        <v>18</v>
      </c>
      <c r="E318" t="s">
        <v>24</v>
      </c>
      <c r="F318" t="s">
        <v>65</v>
      </c>
      <c r="G318" s="8">
        <v>0.53934339200000003</v>
      </c>
      <c r="H318" s="26">
        <v>2.79</v>
      </c>
    </row>
    <row r="319" spans="1:8" x14ac:dyDescent="0.3">
      <c r="A319">
        <v>202608</v>
      </c>
      <c r="B319" t="s">
        <v>30</v>
      </c>
      <c r="C319">
        <v>1769078703</v>
      </c>
      <c r="D319" t="s">
        <v>18</v>
      </c>
      <c r="E319" t="s">
        <v>34</v>
      </c>
      <c r="F319" t="s">
        <v>109</v>
      </c>
      <c r="G319" s="8">
        <v>0.57523835488999997</v>
      </c>
      <c r="H319" s="26">
        <v>3.15</v>
      </c>
    </row>
    <row r="320" spans="1:8" x14ac:dyDescent="0.3">
      <c r="A320">
        <v>202608</v>
      </c>
      <c r="B320" t="s">
        <v>30</v>
      </c>
      <c r="C320">
        <v>1769086730</v>
      </c>
      <c r="D320" t="s">
        <v>18</v>
      </c>
      <c r="E320" t="s">
        <v>19</v>
      </c>
      <c r="F320" t="s">
        <v>206</v>
      </c>
      <c r="G320" s="8">
        <v>1.18685</v>
      </c>
      <c r="H320" s="26">
        <v>1.3</v>
      </c>
    </row>
    <row r="321" spans="1:8" x14ac:dyDescent="0.3">
      <c r="A321">
        <v>202608</v>
      </c>
      <c r="B321" t="s">
        <v>30</v>
      </c>
      <c r="C321">
        <v>1769094260</v>
      </c>
      <c r="D321" t="s">
        <v>18</v>
      </c>
      <c r="E321" t="s">
        <v>19</v>
      </c>
      <c r="F321" t="s">
        <v>207</v>
      </c>
      <c r="G321" s="8">
        <v>8.1335999999999995</v>
      </c>
      <c r="H321" s="26">
        <v>2.5499999999999998</v>
      </c>
    </row>
    <row r="322" spans="1:8" x14ac:dyDescent="0.3">
      <c r="A322">
        <v>202608</v>
      </c>
      <c r="B322" t="s">
        <v>30</v>
      </c>
      <c r="C322">
        <v>1773149148</v>
      </c>
      <c r="D322" t="s">
        <v>18</v>
      </c>
      <c r="E322" t="s">
        <v>19</v>
      </c>
      <c r="F322" t="s">
        <v>215</v>
      </c>
      <c r="G322" s="8">
        <v>0.28037400000000001</v>
      </c>
      <c r="H322" s="26">
        <v>3.75</v>
      </c>
    </row>
    <row r="323" spans="1:8" x14ac:dyDescent="0.3">
      <c r="A323">
        <v>202608</v>
      </c>
      <c r="B323" t="s">
        <v>30</v>
      </c>
      <c r="C323">
        <v>1773149260</v>
      </c>
      <c r="D323" t="s">
        <v>18</v>
      </c>
      <c r="E323" t="s">
        <v>19</v>
      </c>
      <c r="F323" t="s">
        <v>207</v>
      </c>
      <c r="G323" s="8">
        <v>5.0906459999999996</v>
      </c>
      <c r="H323" s="26">
        <v>2.5499999999999998</v>
      </c>
    </row>
    <row r="324" spans="1:8" x14ac:dyDescent="0.3">
      <c r="A324">
        <v>202608</v>
      </c>
      <c r="B324" t="s">
        <v>30</v>
      </c>
      <c r="C324">
        <v>1773155164</v>
      </c>
      <c r="D324" t="s">
        <v>23</v>
      </c>
      <c r="E324" t="s">
        <v>19</v>
      </c>
      <c r="F324" t="s">
        <v>221</v>
      </c>
      <c r="G324" s="8">
        <v>1</v>
      </c>
      <c r="H324" s="26">
        <v>2.17</v>
      </c>
    </row>
    <row r="325" spans="1:8" x14ac:dyDescent="0.3">
      <c r="A325">
        <v>202608</v>
      </c>
      <c r="B325" t="s">
        <v>30</v>
      </c>
      <c r="C325">
        <v>1773172069</v>
      </c>
      <c r="D325" t="s">
        <v>18</v>
      </c>
      <c r="E325" t="s">
        <v>24</v>
      </c>
      <c r="F325" t="s">
        <v>138</v>
      </c>
      <c r="G325" s="8">
        <v>0.1681</v>
      </c>
      <c r="H325" s="26">
        <v>5.45</v>
      </c>
    </row>
    <row r="326" spans="1:8" x14ac:dyDescent="0.3">
      <c r="A326">
        <v>202608</v>
      </c>
      <c r="B326" t="s">
        <v>96</v>
      </c>
      <c r="C326">
        <v>1773217712</v>
      </c>
      <c r="D326" t="s">
        <v>18</v>
      </c>
      <c r="E326" t="s">
        <v>34</v>
      </c>
      <c r="F326" t="s">
        <v>121</v>
      </c>
      <c r="G326" s="8">
        <v>2.945144328E-2</v>
      </c>
      <c r="H326" s="26">
        <v>9.15</v>
      </c>
    </row>
    <row r="327" spans="1:8" x14ac:dyDescent="0.3">
      <c r="A327">
        <v>202608</v>
      </c>
      <c r="B327" t="s">
        <v>96</v>
      </c>
      <c r="C327">
        <v>1773218360</v>
      </c>
      <c r="D327" t="s">
        <v>23</v>
      </c>
      <c r="E327" t="s">
        <v>34</v>
      </c>
      <c r="F327" t="s">
        <v>121</v>
      </c>
      <c r="G327" s="8">
        <v>5.8734580000000002E-2</v>
      </c>
      <c r="H327" s="26">
        <v>9.15</v>
      </c>
    </row>
    <row r="328" spans="1:8" x14ac:dyDescent="0.3">
      <c r="A328">
        <v>202608</v>
      </c>
      <c r="B328" t="s">
        <v>25</v>
      </c>
      <c r="C328">
        <v>1769063340</v>
      </c>
      <c r="D328" t="s">
        <v>18</v>
      </c>
      <c r="E328" t="s">
        <v>24</v>
      </c>
      <c r="F328" t="s">
        <v>123</v>
      </c>
      <c r="G328" s="8">
        <v>3.3969999999999998</v>
      </c>
      <c r="H328" s="26">
        <v>2.1</v>
      </c>
    </row>
    <row r="329" spans="1:8" x14ac:dyDescent="0.3">
      <c r="A329">
        <v>202608</v>
      </c>
      <c r="B329" t="s">
        <v>25</v>
      </c>
      <c r="C329">
        <v>1769065768</v>
      </c>
      <c r="D329" t="s">
        <v>23</v>
      </c>
      <c r="E329" t="s">
        <v>19</v>
      </c>
      <c r="F329" t="s">
        <v>99</v>
      </c>
      <c r="G329" s="8">
        <v>5.2</v>
      </c>
      <c r="H329" s="26">
        <v>0.5</v>
      </c>
    </row>
    <row r="330" spans="1:8" x14ac:dyDescent="0.3">
      <c r="A330">
        <v>202608</v>
      </c>
      <c r="B330" t="s">
        <v>25</v>
      </c>
      <c r="C330">
        <v>1769099514</v>
      </c>
      <c r="D330" t="s">
        <v>18</v>
      </c>
      <c r="E330" t="s">
        <v>24</v>
      </c>
      <c r="F330" t="s">
        <v>123</v>
      </c>
      <c r="G330" s="8">
        <v>1.4539231591600001</v>
      </c>
      <c r="H330" s="26">
        <v>2.1</v>
      </c>
    </row>
    <row r="331" spans="1:8" x14ac:dyDescent="0.3">
      <c r="A331">
        <v>202608</v>
      </c>
      <c r="B331" t="s">
        <v>25</v>
      </c>
      <c r="C331">
        <v>1769099522</v>
      </c>
      <c r="D331" t="s">
        <v>18</v>
      </c>
      <c r="E331" t="s">
        <v>24</v>
      </c>
      <c r="F331" t="s">
        <v>123</v>
      </c>
      <c r="G331" s="8">
        <v>0.88116429913000005</v>
      </c>
      <c r="H331" s="26">
        <v>2.1</v>
      </c>
    </row>
    <row r="332" spans="1:8" x14ac:dyDescent="0.3">
      <c r="A332">
        <v>202608</v>
      </c>
      <c r="B332" t="s">
        <v>25</v>
      </c>
      <c r="C332">
        <v>1769100695</v>
      </c>
      <c r="D332" t="s">
        <v>18</v>
      </c>
      <c r="E332" t="s">
        <v>24</v>
      </c>
      <c r="F332" t="s">
        <v>122</v>
      </c>
      <c r="G332" s="8">
        <v>0.98280999999999996</v>
      </c>
      <c r="H332" s="26">
        <v>1.05</v>
      </c>
    </row>
    <row r="333" spans="1:8" x14ac:dyDescent="0.3">
      <c r="A333">
        <v>202608</v>
      </c>
      <c r="B333" t="s">
        <v>25</v>
      </c>
      <c r="C333">
        <v>1769117474</v>
      </c>
      <c r="D333" t="s">
        <v>18</v>
      </c>
      <c r="E333" t="s">
        <v>24</v>
      </c>
      <c r="F333" t="s">
        <v>73</v>
      </c>
      <c r="G333" s="8">
        <v>0.20357743780000001</v>
      </c>
      <c r="H333" s="26">
        <v>3.05</v>
      </c>
    </row>
    <row r="334" spans="1:8" x14ac:dyDescent="0.3">
      <c r="A334">
        <v>202608</v>
      </c>
      <c r="B334" t="s">
        <v>25</v>
      </c>
      <c r="C334">
        <v>1773163760</v>
      </c>
      <c r="D334" t="s">
        <v>18</v>
      </c>
      <c r="E334" t="s">
        <v>19</v>
      </c>
      <c r="F334" t="s">
        <v>222</v>
      </c>
      <c r="G334" s="8">
        <v>4.5723200000000004</v>
      </c>
      <c r="H334" s="26">
        <v>1.2</v>
      </c>
    </row>
    <row r="335" spans="1:8" x14ac:dyDescent="0.3">
      <c r="A335">
        <v>202608</v>
      </c>
      <c r="B335" t="s">
        <v>25</v>
      </c>
      <c r="C335">
        <v>1773164899</v>
      </c>
      <c r="D335" t="s">
        <v>18</v>
      </c>
      <c r="E335" t="s">
        <v>24</v>
      </c>
      <c r="F335" t="s">
        <v>123</v>
      </c>
      <c r="G335" s="8">
        <v>1.7520687800799999</v>
      </c>
      <c r="H335" s="26">
        <v>0</v>
      </c>
    </row>
    <row r="336" spans="1:8" x14ac:dyDescent="0.3">
      <c r="A336">
        <v>202608</v>
      </c>
      <c r="B336" t="s">
        <v>25</v>
      </c>
      <c r="C336">
        <v>1773192574</v>
      </c>
      <c r="D336" t="s">
        <v>18</v>
      </c>
      <c r="E336" t="s">
        <v>24</v>
      </c>
      <c r="F336" t="s">
        <v>122</v>
      </c>
      <c r="G336" s="8">
        <v>1.64836</v>
      </c>
      <c r="H336" s="26">
        <v>1.25</v>
      </c>
    </row>
    <row r="337" spans="1:8" x14ac:dyDescent="0.3">
      <c r="A337">
        <v>202608</v>
      </c>
      <c r="B337" t="s">
        <v>25</v>
      </c>
      <c r="C337">
        <v>1773214410</v>
      </c>
      <c r="D337" t="s">
        <v>18</v>
      </c>
      <c r="E337" t="s">
        <v>24</v>
      </c>
      <c r="F337" t="s">
        <v>72</v>
      </c>
      <c r="G337" s="8">
        <v>2.6871999999999998</v>
      </c>
      <c r="H337" s="26">
        <v>4.05</v>
      </c>
    </row>
    <row r="338" spans="1:8" x14ac:dyDescent="0.3">
      <c r="A338">
        <v>202608</v>
      </c>
      <c r="B338" t="s">
        <v>36</v>
      </c>
      <c r="C338">
        <v>1769063935</v>
      </c>
      <c r="D338" t="s">
        <v>23</v>
      </c>
      <c r="E338" t="s">
        <v>19</v>
      </c>
      <c r="F338" t="s">
        <v>97</v>
      </c>
      <c r="G338" s="8">
        <v>0.12</v>
      </c>
      <c r="H338" s="26">
        <v>3</v>
      </c>
    </row>
    <row r="339" spans="1:8" x14ac:dyDescent="0.3">
      <c r="A339">
        <v>202608</v>
      </c>
      <c r="B339" t="s">
        <v>36</v>
      </c>
      <c r="C339">
        <v>1769094750</v>
      </c>
      <c r="D339" t="s">
        <v>23</v>
      </c>
      <c r="E339" t="s">
        <v>19</v>
      </c>
      <c r="F339" t="s">
        <v>97</v>
      </c>
      <c r="G339" s="8">
        <v>0.12</v>
      </c>
      <c r="H339" s="26">
        <v>3</v>
      </c>
    </row>
    <row r="340" spans="1:8" x14ac:dyDescent="0.3">
      <c r="A340">
        <v>202608</v>
      </c>
      <c r="B340" t="s">
        <v>36</v>
      </c>
      <c r="C340">
        <v>1773218336</v>
      </c>
      <c r="D340" t="s">
        <v>23</v>
      </c>
      <c r="E340" t="s">
        <v>19</v>
      </c>
      <c r="F340" t="s">
        <v>231</v>
      </c>
      <c r="G340" s="8">
        <v>1.04325</v>
      </c>
      <c r="H340" s="26">
        <v>1</v>
      </c>
    </row>
    <row r="341" spans="1:8" x14ac:dyDescent="0.3">
      <c r="A341">
        <v>202608</v>
      </c>
      <c r="B341" t="s">
        <v>36</v>
      </c>
      <c r="C341">
        <v>1773219375</v>
      </c>
      <c r="D341" t="s">
        <v>23</v>
      </c>
      <c r="E341" t="s">
        <v>24</v>
      </c>
      <c r="F341" t="s">
        <v>232</v>
      </c>
      <c r="G341" s="8">
        <v>0.215</v>
      </c>
      <c r="H341" s="26">
        <v>4.9000000000000004</v>
      </c>
    </row>
    <row r="342" spans="1:8" x14ac:dyDescent="0.3">
      <c r="A342">
        <v>202608</v>
      </c>
      <c r="B342" t="s">
        <v>117</v>
      </c>
      <c r="C342">
        <v>1773204700</v>
      </c>
      <c r="D342" t="s">
        <v>23</v>
      </c>
      <c r="E342" t="s">
        <v>34</v>
      </c>
      <c r="F342" t="s">
        <v>100</v>
      </c>
      <c r="G342" s="8">
        <v>0.21104100000000001</v>
      </c>
      <c r="H342" s="26">
        <v>8.65</v>
      </c>
    </row>
    <row r="343" spans="1:8" x14ac:dyDescent="0.3">
      <c r="A343">
        <v>202608</v>
      </c>
      <c r="B343" t="s">
        <v>37</v>
      </c>
      <c r="C343">
        <v>1769110290</v>
      </c>
      <c r="D343" t="s">
        <v>18</v>
      </c>
      <c r="E343" t="s">
        <v>19</v>
      </c>
      <c r="F343" t="s">
        <v>183</v>
      </c>
      <c r="G343" s="8">
        <v>0.10149</v>
      </c>
      <c r="H343" s="26">
        <v>6.95</v>
      </c>
    </row>
    <row r="344" spans="1:8" x14ac:dyDescent="0.3">
      <c r="A344">
        <v>202608</v>
      </c>
      <c r="B344" t="s">
        <v>37</v>
      </c>
      <c r="C344">
        <v>1773149245</v>
      </c>
      <c r="D344" t="s">
        <v>18</v>
      </c>
      <c r="E344" t="s">
        <v>24</v>
      </c>
      <c r="F344" t="s">
        <v>47</v>
      </c>
      <c r="G344" s="8">
        <v>0.45940799999999998</v>
      </c>
      <c r="H344" s="26">
        <v>2.4</v>
      </c>
    </row>
    <row r="345" spans="1:8" x14ac:dyDescent="0.3">
      <c r="A345">
        <v>202608</v>
      </c>
      <c r="B345" t="s">
        <v>37</v>
      </c>
      <c r="C345">
        <v>1773168738</v>
      </c>
      <c r="D345" t="s">
        <v>23</v>
      </c>
      <c r="E345" t="s">
        <v>24</v>
      </c>
      <c r="F345" t="s">
        <v>46</v>
      </c>
      <c r="G345" s="8">
        <v>4.2999999999999997E-2</v>
      </c>
      <c r="H345" s="26">
        <v>4.1500000000000004</v>
      </c>
    </row>
    <row r="346" spans="1:8" x14ac:dyDescent="0.3">
      <c r="A346">
        <v>202608</v>
      </c>
      <c r="B346" t="s">
        <v>37</v>
      </c>
      <c r="C346">
        <v>1773168886</v>
      </c>
      <c r="D346" t="s">
        <v>23</v>
      </c>
      <c r="E346" t="s">
        <v>24</v>
      </c>
      <c r="F346" t="s">
        <v>46</v>
      </c>
      <c r="G346" s="8">
        <v>4.4999999999999998E-2</v>
      </c>
      <c r="H346" s="26">
        <v>4.1500000000000004</v>
      </c>
    </row>
    <row r="347" spans="1:8" x14ac:dyDescent="0.3">
      <c r="A347">
        <v>202608</v>
      </c>
      <c r="B347" t="s">
        <v>37</v>
      </c>
      <c r="C347">
        <v>1773184504</v>
      </c>
      <c r="D347" t="s">
        <v>23</v>
      </c>
      <c r="E347" t="s">
        <v>19</v>
      </c>
      <c r="F347" t="s">
        <v>125</v>
      </c>
      <c r="G347" s="8">
        <v>5</v>
      </c>
      <c r="H347" s="26">
        <v>1.1499999999999999</v>
      </c>
    </row>
    <row r="348" spans="1:8" x14ac:dyDescent="0.3">
      <c r="A348">
        <v>202608</v>
      </c>
      <c r="B348" t="s">
        <v>37</v>
      </c>
      <c r="C348">
        <v>1773192840</v>
      </c>
      <c r="D348" t="s">
        <v>18</v>
      </c>
      <c r="E348" t="s">
        <v>19</v>
      </c>
      <c r="F348" t="s">
        <v>183</v>
      </c>
      <c r="G348" s="8">
        <v>3.3640000000000003E-2</v>
      </c>
      <c r="H348" s="26">
        <v>6.95</v>
      </c>
    </row>
    <row r="349" spans="1:8" x14ac:dyDescent="0.3">
      <c r="A349">
        <v>202608</v>
      </c>
      <c r="B349" t="s">
        <v>145</v>
      </c>
      <c r="C349">
        <v>1773192205</v>
      </c>
      <c r="D349" t="s">
        <v>18</v>
      </c>
      <c r="E349" t="s">
        <v>24</v>
      </c>
      <c r="F349" t="s">
        <v>233</v>
      </c>
      <c r="G349" s="8">
        <v>1.72063153684</v>
      </c>
      <c r="H349" s="26">
        <v>0.9</v>
      </c>
    </row>
    <row r="350" spans="1:8" x14ac:dyDescent="0.3">
      <c r="A350">
        <v>202608</v>
      </c>
      <c r="B350" t="s">
        <v>145</v>
      </c>
      <c r="C350">
        <v>1773220969</v>
      </c>
      <c r="D350" t="s">
        <v>18</v>
      </c>
      <c r="E350" t="s">
        <v>19</v>
      </c>
      <c r="F350" t="s">
        <v>234</v>
      </c>
      <c r="G350" s="8">
        <v>0.67179999999999995</v>
      </c>
      <c r="H350" s="26">
        <v>3.7</v>
      </c>
    </row>
    <row r="351" spans="1:8" x14ac:dyDescent="0.3">
      <c r="A351">
        <v>202608</v>
      </c>
      <c r="B351" t="s">
        <v>32</v>
      </c>
      <c r="C351">
        <v>1769072322</v>
      </c>
      <c r="D351" t="s">
        <v>18</v>
      </c>
      <c r="E351" t="s">
        <v>24</v>
      </c>
      <c r="F351" t="s">
        <v>76</v>
      </c>
      <c r="G351" s="8">
        <v>0.84924999999999995</v>
      </c>
      <c r="H351" s="26">
        <v>2.48</v>
      </c>
    </row>
    <row r="352" spans="1:8" x14ac:dyDescent="0.3">
      <c r="A352">
        <v>202608</v>
      </c>
      <c r="B352" t="s">
        <v>32</v>
      </c>
      <c r="C352">
        <v>1769086617</v>
      </c>
      <c r="D352" t="s">
        <v>18</v>
      </c>
      <c r="E352" t="s">
        <v>24</v>
      </c>
      <c r="F352" t="s">
        <v>208</v>
      </c>
      <c r="G352" s="8">
        <v>0.33910000000000001</v>
      </c>
      <c r="H352" s="26">
        <v>6.07</v>
      </c>
    </row>
    <row r="353" spans="1:8" x14ac:dyDescent="0.3">
      <c r="A353">
        <v>202608</v>
      </c>
      <c r="B353" t="s">
        <v>32</v>
      </c>
      <c r="C353">
        <v>1769094229</v>
      </c>
      <c r="D353" t="s">
        <v>23</v>
      </c>
      <c r="E353" t="s">
        <v>19</v>
      </c>
      <c r="F353" t="s">
        <v>91</v>
      </c>
      <c r="G353" s="8">
        <v>1.5</v>
      </c>
      <c r="H353" s="26">
        <v>1</v>
      </c>
    </row>
    <row r="354" spans="1:8" x14ac:dyDescent="0.3">
      <c r="A354">
        <v>202608</v>
      </c>
      <c r="B354" t="s">
        <v>32</v>
      </c>
      <c r="C354">
        <v>1773186515</v>
      </c>
      <c r="D354" t="s">
        <v>18</v>
      </c>
      <c r="E354" t="s">
        <v>19</v>
      </c>
      <c r="F354" t="s">
        <v>235</v>
      </c>
      <c r="G354" s="8">
        <v>1.6819999999999999</v>
      </c>
      <c r="H354" s="26">
        <v>3.8</v>
      </c>
    </row>
    <row r="355" spans="1:8" x14ac:dyDescent="0.3">
      <c r="A355">
        <v>202608</v>
      </c>
      <c r="B355" t="s">
        <v>33</v>
      </c>
      <c r="C355">
        <v>1769063722</v>
      </c>
      <c r="D355" t="s">
        <v>23</v>
      </c>
      <c r="E355" t="s">
        <v>19</v>
      </c>
      <c r="F355" t="s">
        <v>77</v>
      </c>
      <c r="G355" s="8">
        <v>0.2</v>
      </c>
      <c r="H355" s="26">
        <v>3.6</v>
      </c>
    </row>
    <row r="356" spans="1:8" x14ac:dyDescent="0.3">
      <c r="A356">
        <v>202608</v>
      </c>
      <c r="B356" t="s">
        <v>33</v>
      </c>
      <c r="C356">
        <v>1769063820</v>
      </c>
      <c r="D356" t="s">
        <v>23</v>
      </c>
      <c r="E356" t="s">
        <v>19</v>
      </c>
      <c r="F356" t="s">
        <v>77</v>
      </c>
      <c r="G356" s="8">
        <v>0.20300000000000001</v>
      </c>
      <c r="H356" s="26">
        <v>3.6</v>
      </c>
    </row>
    <row r="357" spans="1:8" x14ac:dyDescent="0.3">
      <c r="A357">
        <v>202608</v>
      </c>
      <c r="B357" t="s">
        <v>33</v>
      </c>
      <c r="C357">
        <v>1769072560</v>
      </c>
      <c r="D357" t="s">
        <v>18</v>
      </c>
      <c r="E357" t="s">
        <v>24</v>
      </c>
      <c r="F357" t="s">
        <v>149</v>
      </c>
      <c r="G357" s="8">
        <v>0.40764</v>
      </c>
      <c r="H357" s="26">
        <v>3.3</v>
      </c>
    </row>
    <row r="358" spans="1:8" x14ac:dyDescent="0.3">
      <c r="A358">
        <v>202608</v>
      </c>
      <c r="B358" t="s">
        <v>33</v>
      </c>
      <c r="C358">
        <v>1769084428</v>
      </c>
      <c r="D358" t="s">
        <v>23</v>
      </c>
      <c r="E358" t="s">
        <v>19</v>
      </c>
      <c r="F358" t="s">
        <v>209</v>
      </c>
      <c r="G358" s="8">
        <v>1.2</v>
      </c>
      <c r="H358" s="26">
        <v>0.65</v>
      </c>
    </row>
    <row r="359" spans="1:8" x14ac:dyDescent="0.3">
      <c r="A359">
        <v>202608</v>
      </c>
      <c r="B359" t="s">
        <v>33</v>
      </c>
      <c r="C359">
        <v>1769095527</v>
      </c>
      <c r="D359" t="s">
        <v>18</v>
      </c>
      <c r="E359" t="s">
        <v>19</v>
      </c>
      <c r="F359" t="s">
        <v>79</v>
      </c>
      <c r="G359" s="8">
        <v>1.0166999999999999</v>
      </c>
      <c r="H359" s="26">
        <v>1</v>
      </c>
    </row>
    <row r="360" spans="1:8" x14ac:dyDescent="0.3">
      <c r="A360">
        <v>202608</v>
      </c>
      <c r="B360" t="s">
        <v>33</v>
      </c>
      <c r="C360">
        <v>1769111603</v>
      </c>
      <c r="D360" t="s">
        <v>18</v>
      </c>
      <c r="E360" t="s">
        <v>24</v>
      </c>
      <c r="F360" t="s">
        <v>92</v>
      </c>
      <c r="G360" s="8">
        <v>0.50744999999999996</v>
      </c>
      <c r="H360" s="26">
        <v>3.15</v>
      </c>
    </row>
    <row r="361" spans="1:8" x14ac:dyDescent="0.3">
      <c r="A361">
        <v>202608</v>
      </c>
      <c r="B361" t="s">
        <v>33</v>
      </c>
      <c r="C361">
        <v>1769114475</v>
      </c>
      <c r="D361" t="s">
        <v>23</v>
      </c>
      <c r="E361" t="s">
        <v>19</v>
      </c>
      <c r="F361" t="s">
        <v>216</v>
      </c>
      <c r="G361" s="8">
        <v>1.01649173</v>
      </c>
      <c r="H361" s="26">
        <v>5.05</v>
      </c>
    </row>
    <row r="362" spans="1:8" x14ac:dyDescent="0.3">
      <c r="A362">
        <v>202608</v>
      </c>
      <c r="B362" t="s">
        <v>33</v>
      </c>
      <c r="C362">
        <v>1773145060</v>
      </c>
      <c r="D362" t="s">
        <v>23</v>
      </c>
      <c r="E362" t="s">
        <v>19</v>
      </c>
      <c r="F362" t="s">
        <v>217</v>
      </c>
      <c r="G362" s="8">
        <v>0.16900000000000001</v>
      </c>
      <c r="H362" s="26">
        <v>4.5999999999999996</v>
      </c>
    </row>
    <row r="363" spans="1:8" x14ac:dyDescent="0.3">
      <c r="A363">
        <v>202608</v>
      </c>
      <c r="B363" t="s">
        <v>33</v>
      </c>
      <c r="C363">
        <v>1773169440</v>
      </c>
      <c r="D363" t="s">
        <v>18</v>
      </c>
      <c r="E363" t="s">
        <v>19</v>
      </c>
      <c r="F363" t="s">
        <v>82</v>
      </c>
      <c r="G363" s="8">
        <v>0.3362</v>
      </c>
      <c r="H363" s="26">
        <v>1.55</v>
      </c>
    </row>
    <row r="364" spans="1:8" x14ac:dyDescent="0.3">
      <c r="A364">
        <v>202608</v>
      </c>
      <c r="B364" t="s">
        <v>33</v>
      </c>
      <c r="C364">
        <v>1773176315</v>
      </c>
      <c r="D364" t="s">
        <v>23</v>
      </c>
      <c r="E364" t="s">
        <v>19</v>
      </c>
      <c r="F364" t="s">
        <v>82</v>
      </c>
      <c r="G364" s="8">
        <v>0.31</v>
      </c>
      <c r="H364" s="26">
        <v>1.55</v>
      </c>
    </row>
    <row r="365" spans="1:8" x14ac:dyDescent="0.3">
      <c r="A365">
        <v>202608</v>
      </c>
      <c r="B365" t="s">
        <v>33</v>
      </c>
      <c r="C365">
        <v>1773176919</v>
      </c>
      <c r="D365" t="s">
        <v>18</v>
      </c>
      <c r="E365" t="s">
        <v>19</v>
      </c>
      <c r="F365" t="s">
        <v>82</v>
      </c>
      <c r="G365" s="8">
        <v>0.33660000000000001</v>
      </c>
      <c r="H365" s="26">
        <v>1.55</v>
      </c>
    </row>
    <row r="366" spans="1:8" x14ac:dyDescent="0.3">
      <c r="A366">
        <v>202608</v>
      </c>
      <c r="B366" t="s">
        <v>33</v>
      </c>
      <c r="C366">
        <v>1773181092</v>
      </c>
      <c r="D366" t="s">
        <v>23</v>
      </c>
      <c r="E366" t="s">
        <v>19</v>
      </c>
      <c r="F366" t="s">
        <v>77</v>
      </c>
      <c r="G366" s="8">
        <v>0.23799999999999999</v>
      </c>
      <c r="H366" s="26">
        <v>3.6</v>
      </c>
    </row>
    <row r="367" spans="1:8" x14ac:dyDescent="0.3">
      <c r="A367">
        <v>202608</v>
      </c>
      <c r="B367" t="s">
        <v>33</v>
      </c>
      <c r="C367">
        <v>1773181777</v>
      </c>
      <c r="D367" t="s">
        <v>18</v>
      </c>
      <c r="E367" t="s">
        <v>19</v>
      </c>
      <c r="F367" t="s">
        <v>82</v>
      </c>
      <c r="G367" s="8">
        <v>0.33660000000000001</v>
      </c>
      <c r="H367" s="26">
        <v>1.55</v>
      </c>
    </row>
    <row r="368" spans="1:8" x14ac:dyDescent="0.3">
      <c r="A368">
        <v>202608</v>
      </c>
      <c r="B368" t="s">
        <v>33</v>
      </c>
      <c r="C368">
        <v>1773210270</v>
      </c>
      <c r="D368" t="s">
        <v>23</v>
      </c>
      <c r="E368" t="s">
        <v>19</v>
      </c>
      <c r="F368" t="s">
        <v>82</v>
      </c>
      <c r="G368" s="8">
        <v>0.35</v>
      </c>
      <c r="H368" s="26">
        <v>1.55</v>
      </c>
    </row>
    <row r="369" spans="1:8" x14ac:dyDescent="0.3">
      <c r="A369">
        <v>202608</v>
      </c>
      <c r="B369" t="s">
        <v>33</v>
      </c>
      <c r="C369">
        <v>1773220853</v>
      </c>
      <c r="D369" t="s">
        <v>23</v>
      </c>
      <c r="E369" t="s">
        <v>19</v>
      </c>
      <c r="F369" t="s">
        <v>82</v>
      </c>
      <c r="G369" s="8">
        <v>0.35</v>
      </c>
      <c r="H369" s="26">
        <v>1.55</v>
      </c>
    </row>
    <row r="370" spans="1:8" x14ac:dyDescent="0.3">
      <c r="A370">
        <v>202608</v>
      </c>
      <c r="B370" t="s">
        <v>107</v>
      </c>
      <c r="C370">
        <v>1769106316</v>
      </c>
      <c r="D370" t="s">
        <v>23</v>
      </c>
      <c r="E370" t="s">
        <v>19</v>
      </c>
      <c r="F370" t="s">
        <v>218</v>
      </c>
      <c r="G370" s="8">
        <v>1.69</v>
      </c>
      <c r="H370" s="26">
        <v>3.3</v>
      </c>
    </row>
    <row r="371" spans="1:8" x14ac:dyDescent="0.3">
      <c r="A371">
        <v>202608</v>
      </c>
      <c r="B371" t="s">
        <v>107</v>
      </c>
      <c r="C371">
        <v>1769113495</v>
      </c>
      <c r="D371" t="s">
        <v>18</v>
      </c>
      <c r="E371" t="s">
        <v>24</v>
      </c>
      <c r="F371" t="s">
        <v>66</v>
      </c>
      <c r="G371" s="8">
        <v>0.37414694459999998</v>
      </c>
      <c r="H371" s="26">
        <v>0.35</v>
      </c>
    </row>
    <row r="372" spans="1:8" x14ac:dyDescent="0.3">
      <c r="A372">
        <v>202608</v>
      </c>
      <c r="B372" t="s">
        <v>107</v>
      </c>
      <c r="C372">
        <v>1773160575</v>
      </c>
      <c r="D372" t="s">
        <v>18</v>
      </c>
      <c r="E372" t="s">
        <v>24</v>
      </c>
      <c r="F372" t="s">
        <v>223</v>
      </c>
      <c r="G372" s="8">
        <v>0.19926485720000001</v>
      </c>
      <c r="H372" s="26">
        <v>2.4500000000000002</v>
      </c>
    </row>
    <row r="373" spans="1:8" x14ac:dyDescent="0.3">
      <c r="A373">
        <v>202608</v>
      </c>
      <c r="B373" t="s">
        <v>107</v>
      </c>
      <c r="C373">
        <v>1773181386</v>
      </c>
      <c r="D373" t="s">
        <v>18</v>
      </c>
      <c r="E373" t="s">
        <v>24</v>
      </c>
      <c r="F373" t="s">
        <v>228</v>
      </c>
      <c r="G373" s="8">
        <v>0.26928000000000002</v>
      </c>
      <c r="H373" s="26">
        <v>4.8499999999999996</v>
      </c>
    </row>
    <row r="374" spans="1:8" x14ac:dyDescent="0.3">
      <c r="A374">
        <v>202608</v>
      </c>
      <c r="B374" t="s">
        <v>107</v>
      </c>
      <c r="C374">
        <v>1773181882</v>
      </c>
      <c r="D374" t="s">
        <v>18</v>
      </c>
      <c r="E374" t="s">
        <v>19</v>
      </c>
      <c r="F374" t="s">
        <v>223</v>
      </c>
      <c r="G374" s="8">
        <v>0.13167792</v>
      </c>
      <c r="H374" s="26">
        <v>2.4500000000000002</v>
      </c>
    </row>
    <row r="375" spans="1:8" x14ac:dyDescent="0.3">
      <c r="A375">
        <v>202608</v>
      </c>
      <c r="B375" t="s">
        <v>107</v>
      </c>
      <c r="C375">
        <v>1773182640</v>
      </c>
      <c r="D375" t="s">
        <v>18</v>
      </c>
      <c r="E375" t="s">
        <v>24</v>
      </c>
      <c r="F375" t="s">
        <v>229</v>
      </c>
      <c r="G375" s="8">
        <v>0.42209640000000004</v>
      </c>
      <c r="H375" s="26">
        <v>4.6500000000000004</v>
      </c>
    </row>
    <row r="376" spans="1:8" x14ac:dyDescent="0.3">
      <c r="A376">
        <v>202608</v>
      </c>
      <c r="B376" t="s">
        <v>107</v>
      </c>
      <c r="C376">
        <v>1773205706</v>
      </c>
      <c r="D376" t="s">
        <v>23</v>
      </c>
      <c r="E376" t="s">
        <v>34</v>
      </c>
      <c r="F376" t="s">
        <v>218</v>
      </c>
      <c r="G376" s="8">
        <v>0.46591367</v>
      </c>
      <c r="H376" s="26">
        <v>3.15</v>
      </c>
    </row>
    <row r="377" spans="1:8" x14ac:dyDescent="0.3">
      <c r="A377">
        <v>202608</v>
      </c>
      <c r="B377" t="s">
        <v>107</v>
      </c>
      <c r="C377">
        <v>1773214489</v>
      </c>
      <c r="D377" t="s">
        <v>18</v>
      </c>
      <c r="E377" t="s">
        <v>24</v>
      </c>
      <c r="F377" t="s">
        <v>223</v>
      </c>
      <c r="G377" s="8">
        <v>9.0692999999999996E-2</v>
      </c>
      <c r="H377" s="26">
        <v>2.4500000000000002</v>
      </c>
    </row>
    <row r="378" spans="1:8" x14ac:dyDescent="0.3">
      <c r="A378">
        <v>202608</v>
      </c>
      <c r="B378" t="s">
        <v>107</v>
      </c>
      <c r="C378">
        <v>1773217879</v>
      </c>
      <c r="D378" t="s">
        <v>18</v>
      </c>
      <c r="E378" t="s">
        <v>19</v>
      </c>
      <c r="F378" t="s">
        <v>223</v>
      </c>
      <c r="G378" s="8">
        <v>0.80951899999999999</v>
      </c>
      <c r="H378" s="26">
        <v>2.4500000000000002</v>
      </c>
    </row>
    <row r="379" spans="1:8" x14ac:dyDescent="0.3">
      <c r="A379">
        <v>202608</v>
      </c>
      <c r="B379" t="s">
        <v>41</v>
      </c>
      <c r="C379">
        <v>1769086757</v>
      </c>
      <c r="D379" t="s">
        <v>23</v>
      </c>
      <c r="E379" t="s">
        <v>19</v>
      </c>
      <c r="F379" t="s">
        <v>210</v>
      </c>
      <c r="G379" s="8">
        <v>0.99180000000000001</v>
      </c>
      <c r="H379" s="26">
        <v>1.1000000000000001</v>
      </c>
    </row>
    <row r="380" spans="1:8" x14ac:dyDescent="0.3">
      <c r="A380">
        <v>202608</v>
      </c>
      <c r="B380" t="s">
        <v>41</v>
      </c>
      <c r="C380">
        <v>1769100090</v>
      </c>
      <c r="D380" t="s">
        <v>23</v>
      </c>
      <c r="E380" t="s">
        <v>19</v>
      </c>
      <c r="F380" t="s">
        <v>211</v>
      </c>
      <c r="G380" s="8">
        <v>0.6</v>
      </c>
      <c r="H380" s="26">
        <v>1.5</v>
      </c>
    </row>
    <row r="381" spans="1:8" x14ac:dyDescent="0.3">
      <c r="A381">
        <v>202608</v>
      </c>
      <c r="B381" t="s">
        <v>41</v>
      </c>
      <c r="C381">
        <v>1769102370</v>
      </c>
      <c r="D381" t="s">
        <v>23</v>
      </c>
      <c r="E381" t="s">
        <v>19</v>
      </c>
      <c r="F381" t="s">
        <v>212</v>
      </c>
      <c r="G381" s="8">
        <v>1</v>
      </c>
      <c r="H381" s="26">
        <v>1.3</v>
      </c>
    </row>
    <row r="382" spans="1:8" x14ac:dyDescent="0.3">
      <c r="A382">
        <v>202608</v>
      </c>
      <c r="B382" t="s">
        <v>41</v>
      </c>
      <c r="C382">
        <v>1773158627</v>
      </c>
      <c r="D382" t="s">
        <v>23</v>
      </c>
      <c r="E382" t="s">
        <v>19</v>
      </c>
      <c r="F382" t="s">
        <v>211</v>
      </c>
      <c r="G382" s="8">
        <v>0.4</v>
      </c>
      <c r="H382" s="26">
        <v>1.5</v>
      </c>
    </row>
    <row r="383" spans="1:8" x14ac:dyDescent="0.3">
      <c r="A383">
        <v>202608</v>
      </c>
      <c r="B383" t="s">
        <v>41</v>
      </c>
      <c r="C383">
        <v>1773172123</v>
      </c>
      <c r="D383" t="s">
        <v>23</v>
      </c>
      <c r="E383" t="s">
        <v>19</v>
      </c>
      <c r="F383" t="s">
        <v>224</v>
      </c>
      <c r="G383" s="8">
        <v>0.86499999999999999</v>
      </c>
      <c r="H383" s="26">
        <v>1.25</v>
      </c>
    </row>
    <row r="384" spans="1:8" x14ac:dyDescent="0.3">
      <c r="A384">
        <v>202608</v>
      </c>
      <c r="B384" t="s">
        <v>27</v>
      </c>
      <c r="C384">
        <v>1769087672</v>
      </c>
      <c r="D384" t="s">
        <v>18</v>
      </c>
      <c r="E384" t="s">
        <v>24</v>
      </c>
      <c r="F384" t="s">
        <v>213</v>
      </c>
      <c r="G384" s="8">
        <v>3.391</v>
      </c>
      <c r="H384" s="26">
        <v>0.65</v>
      </c>
    </row>
    <row r="385" spans="1:8" x14ac:dyDescent="0.3">
      <c r="A385">
        <v>202608</v>
      </c>
      <c r="B385" t="s">
        <v>27</v>
      </c>
      <c r="C385">
        <v>1769099506</v>
      </c>
      <c r="D385" t="s">
        <v>18</v>
      </c>
      <c r="E385" t="s">
        <v>24</v>
      </c>
      <c r="F385" t="s">
        <v>214</v>
      </c>
      <c r="G385" s="8">
        <v>1.0166999999999999</v>
      </c>
      <c r="H385" s="26">
        <v>3.95</v>
      </c>
    </row>
    <row r="386" spans="1:8" x14ac:dyDescent="0.3">
      <c r="A386">
        <v>202608</v>
      </c>
      <c r="B386" t="s">
        <v>27</v>
      </c>
      <c r="C386">
        <v>1773163159</v>
      </c>
      <c r="D386" t="s">
        <v>23</v>
      </c>
      <c r="E386" t="s">
        <v>19</v>
      </c>
      <c r="F386" t="s">
        <v>225</v>
      </c>
      <c r="G386" s="8">
        <v>3</v>
      </c>
      <c r="H386" s="26">
        <v>0.65</v>
      </c>
    </row>
    <row r="387" spans="1:8" x14ac:dyDescent="0.3">
      <c r="A387">
        <v>202608</v>
      </c>
      <c r="B387" t="s">
        <v>27</v>
      </c>
      <c r="C387">
        <v>1773163230</v>
      </c>
      <c r="D387" t="s">
        <v>23</v>
      </c>
      <c r="E387" t="s">
        <v>19</v>
      </c>
      <c r="F387" t="s">
        <v>225</v>
      </c>
      <c r="G387" s="8">
        <v>3</v>
      </c>
      <c r="H387" s="26">
        <v>0.65</v>
      </c>
    </row>
    <row r="388" spans="1:8" x14ac:dyDescent="0.3">
      <c r="A388">
        <v>202608</v>
      </c>
      <c r="B388" t="s">
        <v>27</v>
      </c>
      <c r="C388">
        <v>1773180126</v>
      </c>
      <c r="D388" t="s">
        <v>18</v>
      </c>
      <c r="E388" t="s">
        <v>24</v>
      </c>
      <c r="F388" t="s">
        <v>214</v>
      </c>
      <c r="G388" s="8">
        <v>1.0098</v>
      </c>
      <c r="H388" s="26">
        <v>3.95</v>
      </c>
    </row>
    <row r="389" spans="1:8" x14ac:dyDescent="0.3">
      <c r="A389">
        <v>202608</v>
      </c>
      <c r="B389" t="s">
        <v>27</v>
      </c>
      <c r="C389">
        <v>1773186639</v>
      </c>
      <c r="D389" t="s">
        <v>23</v>
      </c>
      <c r="E389" t="s">
        <v>19</v>
      </c>
      <c r="F389" t="s">
        <v>236</v>
      </c>
      <c r="G389" s="8">
        <v>6</v>
      </c>
      <c r="H389" s="26">
        <v>0.6</v>
      </c>
    </row>
    <row r="390" spans="1:8" x14ac:dyDescent="0.3">
      <c r="A390">
        <v>202608</v>
      </c>
      <c r="B390" t="s">
        <v>27</v>
      </c>
      <c r="C390">
        <v>1773192248</v>
      </c>
      <c r="D390" t="s">
        <v>18</v>
      </c>
      <c r="E390" t="s">
        <v>24</v>
      </c>
      <c r="F390" t="s">
        <v>214</v>
      </c>
      <c r="G390" s="8">
        <v>1.0092000000000001</v>
      </c>
      <c r="H390" s="26">
        <v>3.95</v>
      </c>
    </row>
    <row r="391" spans="1:8" x14ac:dyDescent="0.3">
      <c r="A391">
        <v>202608</v>
      </c>
      <c r="B391" t="s">
        <v>27</v>
      </c>
      <c r="C391">
        <v>1773220349</v>
      </c>
      <c r="D391" t="s">
        <v>18</v>
      </c>
      <c r="E391" t="s">
        <v>24</v>
      </c>
      <c r="F391" t="s">
        <v>214</v>
      </c>
      <c r="G391" s="8">
        <v>0.34933599999999998</v>
      </c>
      <c r="H391" s="26">
        <v>3.93</v>
      </c>
    </row>
    <row r="392" spans="1:8" x14ac:dyDescent="0.3">
      <c r="A392">
        <v>202608</v>
      </c>
      <c r="B392" t="s">
        <v>27</v>
      </c>
      <c r="C392">
        <v>1773220373</v>
      </c>
      <c r="D392" t="s">
        <v>18</v>
      </c>
      <c r="E392" t="s">
        <v>24</v>
      </c>
      <c r="F392" t="s">
        <v>214</v>
      </c>
      <c r="G392" s="8">
        <v>0.91700700000000002</v>
      </c>
      <c r="H392" s="26">
        <v>3.93</v>
      </c>
    </row>
    <row r="393" spans="1:8" x14ac:dyDescent="0.3">
      <c r="A393">
        <v>202608</v>
      </c>
      <c r="B393" t="s">
        <v>114</v>
      </c>
      <c r="C393">
        <v>1773181912</v>
      </c>
      <c r="D393" t="s">
        <v>23</v>
      </c>
      <c r="E393" t="s">
        <v>34</v>
      </c>
      <c r="F393" t="s">
        <v>70</v>
      </c>
      <c r="G393" s="8">
        <v>9.5000249999999994E-2</v>
      </c>
      <c r="H393" s="26">
        <v>10.18</v>
      </c>
    </row>
    <row r="394" spans="1:8" x14ac:dyDescent="0.3">
      <c r="A394">
        <v>202608</v>
      </c>
      <c r="B394" t="s">
        <v>56</v>
      </c>
      <c r="C394">
        <v>1769102388</v>
      </c>
      <c r="D394" t="s">
        <v>18</v>
      </c>
      <c r="E394" t="s">
        <v>24</v>
      </c>
      <c r="F394" t="s">
        <v>153</v>
      </c>
      <c r="G394" s="8">
        <v>0.76252500000000001</v>
      </c>
      <c r="H394" s="26">
        <v>1.25</v>
      </c>
    </row>
    <row r="395" spans="1:8" x14ac:dyDescent="0.3">
      <c r="A395">
        <v>202608</v>
      </c>
      <c r="B395" t="s">
        <v>56</v>
      </c>
      <c r="C395">
        <v>1769110178</v>
      </c>
      <c r="D395" t="s">
        <v>18</v>
      </c>
      <c r="E395" t="s">
        <v>19</v>
      </c>
      <c r="F395" t="s">
        <v>153</v>
      </c>
      <c r="G395" s="8">
        <v>0.84575</v>
      </c>
      <c r="H395" s="26">
        <v>1.4</v>
      </c>
    </row>
    <row r="396" spans="1:8" x14ac:dyDescent="0.3">
      <c r="A396">
        <v>202608</v>
      </c>
      <c r="B396" t="s">
        <v>56</v>
      </c>
      <c r="C396">
        <v>1773180819</v>
      </c>
      <c r="D396" t="s">
        <v>18</v>
      </c>
      <c r="E396" t="s">
        <v>24</v>
      </c>
      <c r="F396" t="s">
        <v>153</v>
      </c>
      <c r="G396" s="8">
        <v>0.40414417560000004</v>
      </c>
      <c r="H396" s="26">
        <v>1.25</v>
      </c>
    </row>
    <row r="397" spans="1:8" x14ac:dyDescent="0.3">
      <c r="A397">
        <v>202608</v>
      </c>
      <c r="B397" t="s">
        <v>56</v>
      </c>
      <c r="C397">
        <v>1773205803</v>
      </c>
      <c r="D397" t="s">
        <v>18</v>
      </c>
      <c r="E397" t="s">
        <v>24</v>
      </c>
      <c r="F397" t="s">
        <v>155</v>
      </c>
      <c r="G397" s="8">
        <v>4.1773472551499999</v>
      </c>
      <c r="H397" s="26">
        <v>0.4</v>
      </c>
    </row>
    <row r="398" spans="1:8" x14ac:dyDescent="0.3">
      <c r="A398">
        <v>202608</v>
      </c>
      <c r="B398" t="s">
        <v>115</v>
      </c>
      <c r="C398">
        <v>1769073990</v>
      </c>
      <c r="D398" t="s">
        <v>18</v>
      </c>
      <c r="E398" t="s">
        <v>24</v>
      </c>
      <c r="F398" t="s">
        <v>158</v>
      </c>
      <c r="G398" s="8">
        <v>2.3778999999999999</v>
      </c>
      <c r="H398" s="26">
        <v>0.3</v>
      </c>
    </row>
    <row r="399" spans="1:8" x14ac:dyDescent="0.3">
      <c r="A399">
        <v>202608</v>
      </c>
      <c r="B399" t="s">
        <v>115</v>
      </c>
      <c r="C399">
        <v>1769093930</v>
      </c>
      <c r="D399" t="s">
        <v>18</v>
      </c>
      <c r="E399" t="s">
        <v>24</v>
      </c>
      <c r="F399" t="s">
        <v>158</v>
      </c>
      <c r="G399" s="8">
        <v>2.54175</v>
      </c>
      <c r="H399" s="26">
        <v>0.3</v>
      </c>
    </row>
    <row r="400" spans="1:8" x14ac:dyDescent="0.3">
      <c r="A400">
        <v>202608</v>
      </c>
      <c r="B400" t="s">
        <v>115</v>
      </c>
      <c r="C400">
        <v>1769100377</v>
      </c>
      <c r="D400" t="s">
        <v>18</v>
      </c>
      <c r="E400" t="s">
        <v>24</v>
      </c>
      <c r="F400" t="s">
        <v>189</v>
      </c>
      <c r="G400" s="8">
        <v>1.6944999999999999</v>
      </c>
      <c r="H400" s="26">
        <v>0.3</v>
      </c>
    </row>
    <row r="401" spans="1:8" x14ac:dyDescent="0.3">
      <c r="A401">
        <v>202608</v>
      </c>
      <c r="B401" t="s">
        <v>115</v>
      </c>
      <c r="C401">
        <v>1769109129</v>
      </c>
      <c r="D401" t="s">
        <v>18</v>
      </c>
      <c r="E401" t="s">
        <v>19</v>
      </c>
      <c r="F401" t="s">
        <v>61</v>
      </c>
      <c r="G401" s="8">
        <v>0.55142899999999995</v>
      </c>
      <c r="H401" s="26">
        <v>0.65</v>
      </c>
    </row>
    <row r="402" spans="1:8" x14ac:dyDescent="0.3">
      <c r="A402">
        <v>202608</v>
      </c>
      <c r="B402" t="s">
        <v>115</v>
      </c>
      <c r="C402">
        <v>1769114520</v>
      </c>
      <c r="D402" t="s">
        <v>18</v>
      </c>
      <c r="E402" t="s">
        <v>24</v>
      </c>
      <c r="F402" t="s">
        <v>219</v>
      </c>
      <c r="G402" s="8">
        <v>0.84575</v>
      </c>
      <c r="H402" s="26">
        <v>0.5</v>
      </c>
    </row>
    <row r="403" spans="1:8" x14ac:dyDescent="0.3">
      <c r="A403">
        <v>202608</v>
      </c>
      <c r="B403" t="s">
        <v>115</v>
      </c>
      <c r="C403">
        <v>1769114548</v>
      </c>
      <c r="D403" t="s">
        <v>18</v>
      </c>
      <c r="E403" t="s">
        <v>24</v>
      </c>
      <c r="F403" t="s">
        <v>219</v>
      </c>
      <c r="G403" s="8">
        <v>0.84575</v>
      </c>
      <c r="H403" s="26">
        <v>0.5</v>
      </c>
    </row>
    <row r="404" spans="1:8" x14ac:dyDescent="0.3">
      <c r="A404">
        <v>202608</v>
      </c>
      <c r="B404" t="s">
        <v>115</v>
      </c>
      <c r="C404">
        <v>1773146963</v>
      </c>
      <c r="D404" t="s">
        <v>18</v>
      </c>
      <c r="E404" t="s">
        <v>24</v>
      </c>
      <c r="F404" t="s">
        <v>219</v>
      </c>
      <c r="G404" s="8">
        <v>0.84450000000000003</v>
      </c>
      <c r="H404" s="26">
        <v>0.5</v>
      </c>
    </row>
    <row r="405" spans="1:8" x14ac:dyDescent="0.3">
      <c r="A405">
        <v>202608</v>
      </c>
      <c r="B405" t="s">
        <v>115</v>
      </c>
      <c r="C405">
        <v>1773174400</v>
      </c>
      <c r="D405" t="s">
        <v>18</v>
      </c>
      <c r="E405" t="s">
        <v>24</v>
      </c>
      <c r="F405" t="s">
        <v>230</v>
      </c>
      <c r="G405" s="8">
        <v>0.67320000000000002</v>
      </c>
      <c r="H405" s="26">
        <v>2.5099999999999998</v>
      </c>
    </row>
    <row r="406" spans="1:8" x14ac:dyDescent="0.3">
      <c r="A406">
        <v>202608</v>
      </c>
      <c r="B406" t="s">
        <v>115</v>
      </c>
      <c r="C406">
        <v>1773190415</v>
      </c>
      <c r="D406" t="s">
        <v>18</v>
      </c>
      <c r="E406" t="s">
        <v>19</v>
      </c>
      <c r="F406" t="s">
        <v>61</v>
      </c>
      <c r="G406" s="8">
        <v>1.04284</v>
      </c>
      <c r="H406" s="26">
        <v>0.65</v>
      </c>
    </row>
    <row r="407" spans="1:8" x14ac:dyDescent="0.3">
      <c r="A407">
        <v>202608</v>
      </c>
      <c r="B407" t="s">
        <v>115</v>
      </c>
      <c r="C407">
        <v>1773193090</v>
      </c>
      <c r="D407" t="s">
        <v>18</v>
      </c>
      <c r="E407" t="s">
        <v>24</v>
      </c>
      <c r="F407" t="s">
        <v>219</v>
      </c>
      <c r="G407" s="8">
        <v>1.0092000000000001</v>
      </c>
      <c r="H407" s="26">
        <v>0.5</v>
      </c>
    </row>
    <row r="408" spans="1:8" x14ac:dyDescent="0.3">
      <c r="A408">
        <v>202608</v>
      </c>
      <c r="B408" t="s">
        <v>115</v>
      </c>
      <c r="C408">
        <v>1773205200</v>
      </c>
      <c r="D408" t="s">
        <v>18</v>
      </c>
      <c r="E408" t="s">
        <v>24</v>
      </c>
      <c r="F408" t="s">
        <v>158</v>
      </c>
      <c r="G408" s="8">
        <v>2.5222500000000001</v>
      </c>
      <c r="H408" s="26">
        <v>0.3</v>
      </c>
    </row>
    <row r="409" spans="1:8" x14ac:dyDescent="0.3">
      <c r="A409">
        <v>202608</v>
      </c>
      <c r="B409" t="s">
        <v>115</v>
      </c>
      <c r="C409">
        <v>1773222783</v>
      </c>
      <c r="D409" t="s">
        <v>18</v>
      </c>
      <c r="E409" t="s">
        <v>24</v>
      </c>
      <c r="F409" t="s">
        <v>237</v>
      </c>
      <c r="G409" s="8">
        <v>0.859904</v>
      </c>
      <c r="H409" s="26">
        <v>0.8</v>
      </c>
    </row>
    <row r="410" spans="1:8" x14ac:dyDescent="0.3">
      <c r="A410">
        <v>202608</v>
      </c>
      <c r="B410" t="s">
        <v>40</v>
      </c>
      <c r="C410">
        <v>1769116362</v>
      </c>
      <c r="D410" t="s">
        <v>18</v>
      </c>
      <c r="E410" t="s">
        <v>34</v>
      </c>
      <c r="F410" t="s">
        <v>53</v>
      </c>
      <c r="G410" s="8">
        <v>4.9153342817299999</v>
      </c>
      <c r="H410" s="26">
        <v>2.9</v>
      </c>
    </row>
    <row r="411" spans="1:8" x14ac:dyDescent="0.3">
      <c r="A411">
        <v>202608</v>
      </c>
      <c r="B411" t="s">
        <v>116</v>
      </c>
      <c r="C411">
        <v>1773129627</v>
      </c>
      <c r="D411" t="s">
        <v>18</v>
      </c>
      <c r="E411" t="s">
        <v>24</v>
      </c>
      <c r="F411" t="s">
        <v>220</v>
      </c>
      <c r="G411" s="8">
        <v>0.50744999999999996</v>
      </c>
      <c r="H411" s="26">
        <v>2.8</v>
      </c>
    </row>
    <row r="412" spans="1:8" x14ac:dyDescent="0.3">
      <c r="A412">
        <v>202608</v>
      </c>
      <c r="B412" t="s">
        <v>116</v>
      </c>
      <c r="C412">
        <v>1773158856</v>
      </c>
      <c r="D412" t="s">
        <v>18</v>
      </c>
      <c r="E412" t="s">
        <v>24</v>
      </c>
      <c r="F412" t="s">
        <v>226</v>
      </c>
      <c r="G412" s="8">
        <v>3.3679999999999999</v>
      </c>
      <c r="H412" s="26">
        <v>0.2</v>
      </c>
    </row>
    <row r="413" spans="1:8" x14ac:dyDescent="0.3">
      <c r="A413">
        <v>202608</v>
      </c>
      <c r="B413" t="s">
        <v>116</v>
      </c>
      <c r="C413">
        <v>1773210289</v>
      </c>
      <c r="D413" t="s">
        <v>18</v>
      </c>
      <c r="E413" t="s">
        <v>19</v>
      </c>
      <c r="F413" t="s">
        <v>50</v>
      </c>
      <c r="G413" s="8">
        <v>0.73985999999999996</v>
      </c>
      <c r="H413" s="26">
        <v>5.0999999999999996</v>
      </c>
    </row>
    <row r="414" spans="1:8" x14ac:dyDescent="0.3">
      <c r="A414">
        <v>202608</v>
      </c>
      <c r="B414" t="s">
        <v>116</v>
      </c>
      <c r="C414">
        <v>1773210297</v>
      </c>
      <c r="D414" t="s">
        <v>18</v>
      </c>
      <c r="E414" t="s">
        <v>19</v>
      </c>
      <c r="F414" t="s">
        <v>50</v>
      </c>
      <c r="G414" s="8">
        <v>0.131157</v>
      </c>
      <c r="H414" s="26">
        <v>5.2</v>
      </c>
    </row>
    <row r="415" spans="1:8" x14ac:dyDescent="0.3">
      <c r="A415">
        <v>202608</v>
      </c>
      <c r="B415" t="s">
        <v>116</v>
      </c>
      <c r="C415">
        <v>1773210394</v>
      </c>
      <c r="D415" t="s">
        <v>18</v>
      </c>
      <c r="E415" t="s">
        <v>19</v>
      </c>
      <c r="F415" t="s">
        <v>50</v>
      </c>
      <c r="G415" s="8">
        <v>0.52462799999999998</v>
      </c>
      <c r="H415" s="26">
        <v>5</v>
      </c>
    </row>
    <row r="416" spans="1:8" x14ac:dyDescent="0.3">
      <c r="A416">
        <v>202608</v>
      </c>
      <c r="B416" t="s">
        <v>116</v>
      </c>
      <c r="C416">
        <v>1773210572</v>
      </c>
      <c r="D416" t="s">
        <v>18</v>
      </c>
      <c r="E416" t="s">
        <v>19</v>
      </c>
      <c r="F416" t="s">
        <v>50</v>
      </c>
      <c r="G416" s="8">
        <v>1.4259120000000001</v>
      </c>
      <c r="H416" s="26">
        <v>5.6</v>
      </c>
    </row>
    <row r="417" spans="1:8" x14ac:dyDescent="0.3">
      <c r="A417">
        <v>202608</v>
      </c>
      <c r="B417" t="s">
        <v>42</v>
      </c>
      <c r="C417">
        <v>1769078193</v>
      </c>
      <c r="D417" t="s">
        <v>23</v>
      </c>
      <c r="E417" t="s">
        <v>19</v>
      </c>
      <c r="F417" t="s">
        <v>160</v>
      </c>
      <c r="G417" s="8">
        <v>4</v>
      </c>
      <c r="H417" s="26">
        <v>0.42</v>
      </c>
    </row>
    <row r="418" spans="1:8" x14ac:dyDescent="0.3">
      <c r="A418">
        <v>202608</v>
      </c>
      <c r="B418" t="s">
        <v>42</v>
      </c>
      <c r="C418">
        <v>1769094865</v>
      </c>
      <c r="D418" t="s">
        <v>23</v>
      </c>
      <c r="E418" t="s">
        <v>19</v>
      </c>
      <c r="F418" t="s">
        <v>160</v>
      </c>
      <c r="G418" s="8">
        <v>9</v>
      </c>
      <c r="H418" s="26">
        <v>0.42</v>
      </c>
    </row>
    <row r="419" spans="1:8" x14ac:dyDescent="0.3">
      <c r="A419">
        <v>202608</v>
      </c>
      <c r="B419" t="s">
        <v>42</v>
      </c>
      <c r="C419">
        <v>1773147706</v>
      </c>
      <c r="D419" t="s">
        <v>23</v>
      </c>
      <c r="E419" t="s">
        <v>34</v>
      </c>
      <c r="F419" t="s">
        <v>87</v>
      </c>
      <c r="G419" s="8">
        <v>9.1922440000000008E-2</v>
      </c>
      <c r="H419" s="26">
        <v>2</v>
      </c>
    </row>
    <row r="420" spans="1:8" x14ac:dyDescent="0.3">
      <c r="A420">
        <v>202608</v>
      </c>
      <c r="B420" t="s">
        <v>42</v>
      </c>
      <c r="C420">
        <v>1773154559</v>
      </c>
      <c r="D420" t="s">
        <v>18</v>
      </c>
      <c r="E420" t="s">
        <v>34</v>
      </c>
      <c r="F420" t="s">
        <v>87</v>
      </c>
      <c r="G420" s="8">
        <v>4.6810686880000001E-2</v>
      </c>
      <c r="H420" s="26">
        <v>2.5</v>
      </c>
    </row>
    <row r="421" spans="1:8" x14ac:dyDescent="0.3">
      <c r="A421">
        <v>202608</v>
      </c>
      <c r="B421" t="s">
        <v>42</v>
      </c>
      <c r="C421">
        <v>1773164200</v>
      </c>
      <c r="D421" t="s">
        <v>23</v>
      </c>
      <c r="E421" t="s">
        <v>34</v>
      </c>
      <c r="F421" t="s">
        <v>88</v>
      </c>
      <c r="G421" s="8">
        <v>3.70458</v>
      </c>
      <c r="H421" s="26">
        <v>0.15</v>
      </c>
    </row>
    <row r="422" spans="1:8" x14ac:dyDescent="0.3">
      <c r="A422">
        <v>202608</v>
      </c>
      <c r="B422" t="s">
        <v>42</v>
      </c>
      <c r="C422">
        <v>1773180540</v>
      </c>
      <c r="D422" t="s">
        <v>23</v>
      </c>
      <c r="E422" t="s">
        <v>34</v>
      </c>
      <c r="F422" t="s">
        <v>87</v>
      </c>
      <c r="G422" s="8">
        <v>5.7773650000000003E-2</v>
      </c>
      <c r="H422" s="26">
        <v>2.1</v>
      </c>
    </row>
    <row r="423" spans="1:8" x14ac:dyDescent="0.3">
      <c r="A423">
        <v>202608</v>
      </c>
      <c r="B423" t="s">
        <v>42</v>
      </c>
      <c r="C423">
        <v>1773182595</v>
      </c>
      <c r="D423" t="s">
        <v>23</v>
      </c>
      <c r="E423" t="s">
        <v>34</v>
      </c>
      <c r="F423" t="s">
        <v>87</v>
      </c>
      <c r="G423" s="8">
        <v>5.4125849999999996E-2</v>
      </c>
      <c r="H423" s="26">
        <v>2.1</v>
      </c>
    </row>
    <row r="424" spans="1:8" x14ac:dyDescent="0.3">
      <c r="A424">
        <v>202608</v>
      </c>
      <c r="B424" t="s">
        <v>42</v>
      </c>
      <c r="C424">
        <v>1773182617</v>
      </c>
      <c r="D424" t="s">
        <v>23</v>
      </c>
      <c r="E424" t="s">
        <v>34</v>
      </c>
      <c r="F424" t="s">
        <v>87</v>
      </c>
      <c r="G424" s="8">
        <v>2.9726990000000002E-2</v>
      </c>
      <c r="H424" s="26">
        <v>2.1</v>
      </c>
    </row>
    <row r="425" spans="1:8" x14ac:dyDescent="0.3">
      <c r="A425">
        <v>202608</v>
      </c>
      <c r="B425" t="s">
        <v>42</v>
      </c>
      <c r="C425">
        <v>1773214860</v>
      </c>
      <c r="D425" t="s">
        <v>23</v>
      </c>
      <c r="E425" t="s">
        <v>34</v>
      </c>
      <c r="F425" t="s">
        <v>88</v>
      </c>
      <c r="G425" s="8">
        <v>1.9474158100000001</v>
      </c>
      <c r="H425" s="26">
        <v>0.8</v>
      </c>
    </row>
    <row r="426" spans="1:8" x14ac:dyDescent="0.3">
      <c r="A426">
        <v>202608</v>
      </c>
      <c r="B426" t="s">
        <v>42</v>
      </c>
      <c r="C426">
        <v>1773222708</v>
      </c>
      <c r="D426" t="s">
        <v>23</v>
      </c>
      <c r="E426" t="s">
        <v>34</v>
      </c>
      <c r="F426" t="s">
        <v>87</v>
      </c>
      <c r="G426" s="8">
        <v>1.7314490000000002E-2</v>
      </c>
      <c r="H426" s="26">
        <v>2.1</v>
      </c>
    </row>
    <row r="427" spans="1:8" x14ac:dyDescent="0.3">
      <c r="G427"/>
      <c r="H427"/>
    </row>
    <row r="428" spans="1:8" x14ac:dyDescent="0.3">
      <c r="G428"/>
      <c r="H428"/>
    </row>
    <row r="429" spans="1:8" x14ac:dyDescent="0.3">
      <c r="G429"/>
      <c r="H429"/>
    </row>
    <row r="430" spans="1:8" x14ac:dyDescent="0.3">
      <c r="G430"/>
      <c r="H430"/>
    </row>
    <row r="431" spans="1:8" x14ac:dyDescent="0.3">
      <c r="G431"/>
      <c r="H431"/>
    </row>
    <row r="432" spans="1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4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6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7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8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9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0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8ECF830E-FABB-4AA6-A50B-8C05E1ADF8A2}">
  <ds:schemaRefs/>
</ds:datastoreItem>
</file>

<file path=customXml/itemProps14.xml><?xml version="1.0" encoding="utf-8"?>
<ds:datastoreItem xmlns:ds="http://schemas.openxmlformats.org/officeDocument/2006/customXml" ds:itemID="{5C296F3E-872C-4588-BFE9-FEE2D904D200}">
  <ds:schemaRefs/>
</ds:datastoreItem>
</file>

<file path=customXml/itemProps15.xml><?xml version="1.0" encoding="utf-8"?>
<ds:datastoreItem xmlns:ds="http://schemas.openxmlformats.org/officeDocument/2006/customXml" ds:itemID="{17D126D2-06DB-4B21-AC0F-79FB3A2A39D5}">
  <ds:schemaRefs/>
</ds:datastoreItem>
</file>

<file path=customXml/itemProps16.xml><?xml version="1.0" encoding="utf-8"?>
<ds:datastoreItem xmlns:ds="http://schemas.openxmlformats.org/officeDocument/2006/customXml" ds:itemID="{43B5A036-99A2-4232-BB79-C1F070A43125}">
  <ds:schemaRefs/>
</ds:datastoreItem>
</file>

<file path=customXml/itemProps17.xml><?xml version="1.0" encoding="utf-8"?>
<ds:datastoreItem xmlns:ds="http://schemas.openxmlformats.org/officeDocument/2006/customXml" ds:itemID="{F890522B-B809-4584-BB7D-69B7B849275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2026-08-19T21:54:18Z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