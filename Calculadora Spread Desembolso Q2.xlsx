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32" documentId="8_{E9AFCAC9-B2A1-4EC4-B527-4B3219212ADD}" xr6:coauthVersionLast="47" xr6:coauthVersionMax="47" xr10:uidLastSave="{AF197DF7-8EB7-4314-B4B0-AD8DCE14BC2E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601" r:id="rId2"/>
    <pivotCache cacheId="604" r:id="rId3"/>
  </pivotCaches>
  <extLst>
    <ext xmlns:x14="http://schemas.microsoft.com/office/spreadsheetml/2009/9/main" uri="{876F7934-8845-4945-9796-88D515C7AA90}">
      <x14:pivotCaches>
        <pivotCache cacheId="60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<sst xmlns="http://schemas.openxmlformats.org/spreadsheetml/2006/main" count="997" uniqueCount="190">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</sst>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7.511684953701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55913140" count="23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771169"/>
        <n v="1755771894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13140"/>
        <n v="1755910680"/>
        <n v="1755912470"/>
        <n v="1755912650"/>
      </sharedItems>
    </cacheField>
    <cacheField name="[Desem].[NombreFuncionario].[NombreFuncionario]" caption="NombreFuncionario" numFmtId="0" hierarchy="9" level="1">
      <sharedItems count="20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  <cacheField name="[Desem].[NombreCliente].[NombreCliente]" caption="NombreCliente" numFmtId="0" hierarchy="10" level="1">
      <sharedItems count="139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UPRICA S A 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CONSORCIO DELY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7.511689583334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0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7.51168009259" createdVersion="3" refreshedVersion="8" minRefreshableVersion="3" recordCount="0" supportSubquery="1" supportAdvancedDrill="1" xr:uid="{ECE42DE1-37C1-4324-8457-28B52314C6B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6316077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01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48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3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/>
      <x v="1"/>
      <x v="37"/>
    </i>
    <i r="2">
      <x v="54"/>
      <x/>
      <x/>
      <x v="37"/>
    </i>
    <i r="2">
      <x v="55"/>
      <x v="1"/>
      <x v="1"/>
      <x v="38"/>
    </i>
    <i r="1">
      <x v="5"/>
      <x v="56"/>
      <x/>
      <x v="1"/>
      <x v="39"/>
    </i>
    <i r="2">
      <x v="57"/>
      <x/>
      <x/>
      <x v="40"/>
    </i>
    <i r="2">
      <x v="58"/>
      <x/>
      <x v="1"/>
      <x v="41"/>
    </i>
    <i r="2">
      <x v="59"/>
      <x/>
      <x v="1"/>
      <x v="41"/>
    </i>
    <i r="2">
      <x v="60"/>
      <x/>
      <x v="1"/>
      <x v="41"/>
    </i>
    <i r="2">
      <x v="61"/>
      <x/>
      <x v="1"/>
      <x v="41"/>
    </i>
    <i r="2">
      <x v="62"/>
      <x/>
      <x v="1"/>
      <x v="41"/>
    </i>
    <i r="2">
      <x v="63"/>
      <x/>
      <x v="1"/>
      <x v="41"/>
    </i>
    <i r="2">
      <x v="64"/>
      <x/>
      <x v="1"/>
      <x v="41"/>
    </i>
    <i r="2">
      <x v="65"/>
      <x/>
      <x v="1"/>
      <x v="42"/>
    </i>
    <i r="1">
      <x v="6"/>
      <x v="66"/>
      <x/>
      <x v="1"/>
      <x v="43"/>
    </i>
    <i r="2">
      <x v="67"/>
      <x/>
      <x v="1"/>
      <x v="43"/>
    </i>
    <i r="2">
      <x v="68"/>
      <x/>
      <x/>
      <x v="44"/>
    </i>
    <i r="2">
      <x v="69"/>
      <x/>
      <x v="1"/>
      <x v="45"/>
    </i>
    <i r="2">
      <x v="70"/>
      <x v="1"/>
      <x/>
      <x v="46"/>
    </i>
    <i r="2">
      <x v="71"/>
      <x/>
      <x v="1"/>
      <x v="45"/>
    </i>
    <i r="2">
      <x v="72"/>
      <x/>
      <x v="1"/>
      <x v="47"/>
    </i>
    <i r="2">
      <x v="73"/>
      <x/>
      <x v="1"/>
      <x v="47"/>
    </i>
    <i r="1">
      <x v="7"/>
      <x v="74"/>
      <x/>
      <x/>
      <x v="48"/>
    </i>
    <i r="2">
      <x v="75"/>
      <x/>
      <x v="2"/>
      <x v="49"/>
    </i>
    <i r="2">
      <x v="76"/>
      <x v="1"/>
      <x/>
      <x v="50"/>
    </i>
    <i r="2">
      <x v="77"/>
      <x/>
      <x v="1"/>
      <x v="51"/>
    </i>
    <i r="2">
      <x v="78"/>
      <x/>
      <x v="1"/>
      <x v="51"/>
    </i>
    <i r="2">
      <x v="79"/>
      <x/>
      <x v="1"/>
      <x v="52"/>
    </i>
    <i r="2">
      <x v="80"/>
      <x/>
      <x v="1"/>
      <x v="51"/>
    </i>
    <i r="2">
      <x v="81"/>
      <x v="1"/>
      <x/>
      <x v="53"/>
    </i>
    <i r="2">
      <x v="82"/>
      <x/>
      <x/>
      <x v="51"/>
    </i>
    <i r="2">
      <x v="83"/>
      <x/>
      <x/>
      <x v="54"/>
    </i>
    <i r="2">
      <x v="84"/>
      <x/>
      <x/>
      <x v="54"/>
    </i>
    <i r="2">
      <x v="85"/>
      <x v="1"/>
      <x v="2"/>
      <x v="49"/>
    </i>
    <i r="2">
      <x v="86"/>
      <x/>
      <x v="2"/>
      <x v="49"/>
    </i>
    <i r="1">
      <x v="8"/>
      <x v="87"/>
      <x/>
      <x v="1"/>
      <x v="55"/>
    </i>
    <i r="2">
      <x v="88"/>
      <x v="1"/>
      <x v="1"/>
      <x v="56"/>
    </i>
    <i r="2">
      <x v="89"/>
      <x v="1"/>
      <x v="1"/>
      <x v="56"/>
    </i>
    <i r="2">
      <x v="90"/>
      <x v="1"/>
      <x v="1"/>
      <x v="56"/>
    </i>
    <i r="2">
      <x v="91"/>
      <x/>
      <x v="1"/>
      <x v="57"/>
    </i>
    <i r="2">
      <x v="92"/>
      <x/>
      <x v="1"/>
      <x v="57"/>
    </i>
    <i r="2">
      <x v="93"/>
      <x v="1"/>
      <x v="1"/>
      <x v="56"/>
    </i>
    <i r="2">
      <x v="94"/>
      <x v="1"/>
      <x v="1"/>
      <x v="56"/>
    </i>
    <i r="2">
      <x v="95"/>
      <x v="1"/>
      <x v="1"/>
      <x v="56"/>
    </i>
    <i r="2">
      <x v="96"/>
      <x v="1"/>
      <x v="2"/>
      <x v="58"/>
    </i>
    <i r="2">
      <x v="97"/>
      <x v="1"/>
      <x v="1"/>
      <x v="56"/>
    </i>
    <i r="2">
      <x v="98"/>
      <x v="1"/>
      <x v="1"/>
      <x v="56"/>
    </i>
    <i r="2">
      <x v="99"/>
      <x v="1"/>
      <x v="1"/>
      <x v="56"/>
    </i>
    <i r="2">
      <x v="100"/>
      <x/>
      <x v="1"/>
      <x v="59"/>
    </i>
    <i r="2">
      <x v="101"/>
      <x/>
      <x v="2"/>
      <x v="59"/>
    </i>
    <i r="2">
      <x v="102"/>
      <x/>
      <x v="1"/>
      <x v="55"/>
    </i>
    <i r="2">
      <x v="103"/>
      <x v="1"/>
      <x v="1"/>
      <x v="60"/>
    </i>
    <i r="2">
      <x v="104"/>
      <x v="1"/>
      <x v="1"/>
      <x v="56"/>
    </i>
    <i r="2">
      <x v="105"/>
      <x v="1"/>
      <x v="1"/>
      <x v="56"/>
    </i>
    <i r="2">
      <x v="106"/>
      <x v="1"/>
      <x v="1"/>
      <x v="56"/>
    </i>
    <i r="2">
      <x v="107"/>
      <x/>
      <x v="1"/>
      <x v="61"/>
    </i>
    <i r="2">
      <x v="108"/>
      <x/>
      <x v="1"/>
      <x v="62"/>
    </i>
    <i r="2">
      <x v="109"/>
      <x v="1"/>
      <x v="2"/>
      <x v="63"/>
    </i>
    <i r="2">
      <x v="110"/>
      <x/>
      <x v="1"/>
      <x v="64"/>
    </i>
    <i r="2">
      <x v="111"/>
      <x/>
      <x v="1"/>
      <x v="61"/>
    </i>
    <i r="2">
      <x v="112"/>
      <x v="1"/>
      <x v="1"/>
      <x v="56"/>
    </i>
    <i r="2">
      <x v="113"/>
      <x v="1"/>
      <x v="1"/>
      <x v="56"/>
    </i>
    <i r="2">
      <x v="114"/>
      <x v="1"/>
      <x v="1"/>
      <x v="56"/>
    </i>
    <i r="2">
      <x v="115"/>
      <x/>
      <x/>
      <x v="65"/>
    </i>
    <i r="2">
      <x v="116"/>
      <x/>
      <x/>
      <x v="65"/>
    </i>
    <i r="2">
      <x v="117"/>
      <x/>
      <x/>
      <x v="65"/>
    </i>
    <i r="2">
      <x v="118"/>
      <x/>
      <x/>
      <x v="65"/>
    </i>
    <i r="2">
      <x v="119"/>
      <x v="1"/>
      <x v="1"/>
      <x v="56"/>
    </i>
    <i r="2">
      <x v="120"/>
      <x v="1"/>
      <x v="1"/>
      <x v="56"/>
    </i>
    <i r="2">
      <x v="121"/>
      <x v="1"/>
      <x v="1"/>
      <x v="56"/>
    </i>
    <i r="2">
      <x v="122"/>
      <x v="1"/>
      <x v="1"/>
      <x v="56"/>
    </i>
    <i r="2">
      <x v="123"/>
      <x/>
      <x v="2"/>
      <x v="59"/>
    </i>
    <i r="1">
      <x v="9"/>
      <x v="124"/>
      <x/>
      <x/>
      <x v="66"/>
    </i>
    <i r="2">
      <x v="125"/>
      <x/>
      <x v="1"/>
      <x v="67"/>
    </i>
    <i r="2">
      <x v="126"/>
      <x v="1"/>
      <x v="1"/>
      <x v="68"/>
    </i>
    <i r="2">
      <x v="127"/>
      <x/>
      <x v="3"/>
      <x v="66"/>
    </i>
    <i r="2">
      <x v="128"/>
      <x/>
      <x/>
      <x v="66"/>
    </i>
    <i r="2">
      <x v="129"/>
      <x/>
      <x/>
      <x v="67"/>
    </i>
    <i r="2">
      <x v="130"/>
      <x v="1"/>
      <x v="1"/>
      <x v="68"/>
    </i>
    <i r="2">
      <x v="131"/>
      <x/>
      <x v="1"/>
      <x v="67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2"/>
      <x v="230"/>
      <x v="1"/>
      <x/>
      <x v="20"/>
    </i>
    <i r="1">
      <x v="3"/>
      <x v="231"/>
      <x/>
      <x/>
      <x v="138"/>
    </i>
    <i r="1">
      <x v="6"/>
      <x v="232"/>
      <x v="1"/>
      <x/>
      <x v="46"/>
    </i>
    <i r="2">
      <x v="233"/>
      <x v="1"/>
      <x/>
      <x v="46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04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6" firstHeaderRow="1" firstDataRow="1" firstDataCol="1"/>
  <pivotFields count="1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963160775">
      <levels count="2">
        <level uniqueName="[Desem].[NombreFuncionario].[(All)]" sourceCaption="(All)" count="0"/>
        <level uniqueName="[Desem].[NombreFuncionario].[NombreFuncionario]" sourceCaption="NombreFuncionario" count="20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963160775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963160775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48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46146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13.7034</v>
      </c>
      <c r="H7" s="21" cm="1">
        <f t="array" ref="H7">IFERROR(SUMPRODUCT(G15:G1005,H15:H1005*(A15:A1005=202605))/SUMIFS(G15:G1005,A15:A1005,202605),0)</f>
        <v>0.2117144650232789</v>
      </c>
      <c r="I7"/>
      <c r="J7"/>
      <c r="K7"/>
    </row>
    <row r="8" spans="1:22" x14ac:dyDescent="0.3">
      <c r="F8" s="13" t="s">
        <v>6</v>
      </c>
      <c r="G8" s="6">
        <f>+G7+SUM(J15:J999996)</f>
        <v>16.703400000000002</v>
      </c>
      <c r="H8" s="21">
        <f>+IFERROR(((G7*H7)+(SUM(J15:J1005)*(SUMPRODUCT(J15:J1005,K15:K1005)/SUM(J15:J1005))))/(G7+SUM(J15:J1005)),H7)</f>
        <v>0.20961049846139107</v>
      </c>
      <c r="I8"/>
      <c r="J8"/>
      <c r="K8"/>
    </row>
    <row r="9" spans="1:22" x14ac:dyDescent="0.3">
      <c r="F9" s="13" t="s">
        <v>7</v>
      </c>
      <c r="G9" s="6">
        <f>+SUM(G15:G999996)</f>
        <v>291.83123775070004</v>
      </c>
      <c r="H9" s="21">
        <f>+SUMPRODUCT(G15:G1005,H15:H1005)/SUM(G15:G1005)</f>
        <v>1.5036466148658882</v>
      </c>
      <c r="I9"/>
      <c r="J9"/>
      <c r="K9"/>
    </row>
    <row r="10" spans="1:22" x14ac:dyDescent="0.3">
      <c r="F10" s="13" t="s">
        <v>8</v>
      </c>
      <c r="G10" s="6">
        <f>+G9+SUM(J15:J999996)</f>
        <v>294.83123775070004</v>
      </c>
      <c r="H10" s="21">
        <f>+IFERROR(((G9*H9)+(SUM(J15:J1005)*(SUMPRODUCT(J15:J1005,K15:K1005)/SUM(J15:J1005))))/(G9+SUM(J15:J1005)),H9)</f>
        <v>1.4903816030766537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40</v>
      </c>
      <c r="U20" t="s">
        <v>41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39</v>
      </c>
      <c r="U21" t="s">
        <v>42</v>
      </c>
      <c r="V21">
        <v>2.2475108275483411</v>
      </c>
    </row>
    <row r="22" spans="1:22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30</v>
      </c>
      <c r="U22" t="s">
        <v>45</v>
      </c>
      <c r="V22">
        <v>1.3588268129797207</v>
      </c>
    </row>
    <row r="23" spans="1:22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46</v>
      </c>
      <c r="U23" t="s">
        <v>46</v>
      </c>
      <c r="V23">
        <v>1.4</v>
      </c>
    </row>
    <row r="24" spans="1:22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48</v>
      </c>
      <c r="U24" t="s">
        <v>48</v>
      </c>
      <c r="V24">
        <v>2.2000000000000002</v>
      </c>
    </row>
    <row r="25" spans="1:22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50</v>
      </c>
      <c r="U25" t="s">
        <v>51</v>
      </c>
      <c r="V25">
        <v>2.2999999999999998</v>
      </c>
    </row>
    <row r="26" spans="1:22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53</v>
      </c>
      <c r="U26" t="s">
        <v>54</v>
      </c>
      <c r="V26">
        <v>1.395144852541258</v>
      </c>
    </row>
    <row r="27" spans="1:22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41</v>
      </c>
      <c r="U27" t="s">
        <v>32</v>
      </c>
      <c r="V27">
        <v>1.55</v>
      </c>
    </row>
    <row r="28" spans="1:22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42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58</v>
      </c>
      <c r="U29" t="s">
        <v>38</v>
      </c>
      <c r="V29">
        <v>1.75</v>
      </c>
    </row>
    <row r="30" spans="1:22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33</v>
      </c>
      <c r="U30" t="s">
        <v>50</v>
      </c>
      <c r="V30">
        <v>2.4</v>
      </c>
    </row>
    <row r="31" spans="1:22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51</v>
      </c>
    </row>
    <row r="32" spans="1:22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36</v>
      </c>
    </row>
    <row r="33" spans="1:19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54</v>
      </c>
    </row>
    <row r="34" spans="1:19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63</v>
      </c>
    </row>
    <row r="35" spans="1:19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64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65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1755771169</v>
      </c>
      <c r="D68" t="s">
        <v>21</v>
      </c>
      <c r="E68" t="s">
        <v>28</v>
      </c>
      <c r="F68" t="s">
        <v>87</v>
      </c>
      <c r="G68" s="8">
        <v>2.0621999999999998</v>
      </c>
      <c r="H68" s="25">
        <v>1.45</v>
      </c>
    </row>
    <row r="69" spans="1:8" x14ac:dyDescent="0.3">
      <c r="A69">
        <v>202604</v>
      </c>
      <c r="B69" t="s">
        <v>40</v>
      </c>
      <c r="C69">
        <v>1755771894</v>
      </c>
      <c r="D69" t="s">
        <v>21</v>
      </c>
      <c r="E69" t="s">
        <v>22</v>
      </c>
      <c r="F69" t="s">
        <v>87</v>
      </c>
      <c r="G69" s="8">
        <v>0.34370000000000001</v>
      </c>
      <c r="H69" s="25">
        <v>1.45</v>
      </c>
    </row>
    <row r="70" spans="1:8" x14ac:dyDescent="0.3">
      <c r="A70">
        <v>202604</v>
      </c>
      <c r="B70" t="s">
        <v>40</v>
      </c>
      <c r="C70">
        <v>1755849290</v>
      </c>
      <c r="D70" t="s">
        <v>27</v>
      </c>
      <c r="E70" t="s">
        <v>28</v>
      </c>
      <c r="F70" t="s">
        <v>88</v>
      </c>
      <c r="G70" s="8">
        <v>1.46</v>
      </c>
      <c r="H70" s="25">
        <v>0.5</v>
      </c>
    </row>
    <row r="71" spans="1:8" x14ac:dyDescent="0.3">
      <c r="A71">
        <v>202604</v>
      </c>
      <c r="B71" t="s">
        <v>39</v>
      </c>
      <c r="C71">
        <v>1751395430</v>
      </c>
      <c r="D71" t="s">
        <v>21</v>
      </c>
      <c r="E71" t="s">
        <v>28</v>
      </c>
      <c r="F71" t="s">
        <v>89</v>
      </c>
      <c r="G71" s="8">
        <v>1.7184999999999999</v>
      </c>
      <c r="H71" s="25">
        <v>3.35</v>
      </c>
    </row>
    <row r="72" spans="1:8" x14ac:dyDescent="0.3">
      <c r="A72">
        <v>202604</v>
      </c>
      <c r="B72" t="s">
        <v>39</v>
      </c>
      <c r="C72">
        <v>1751420140</v>
      </c>
      <c r="D72" t="s">
        <v>21</v>
      </c>
      <c r="E72" t="s">
        <v>22</v>
      </c>
      <c r="F72" t="s">
        <v>90</v>
      </c>
      <c r="G72" s="8">
        <v>1.0182</v>
      </c>
      <c r="H72" s="25">
        <v>1.55</v>
      </c>
    </row>
    <row r="73" spans="1:8" x14ac:dyDescent="0.3">
      <c r="A73">
        <v>202604</v>
      </c>
      <c r="B73" t="s">
        <v>39</v>
      </c>
      <c r="C73">
        <v>1755715552</v>
      </c>
      <c r="D73" t="s">
        <v>21</v>
      </c>
      <c r="E73" t="s">
        <v>28</v>
      </c>
      <c r="F73" t="s">
        <v>91</v>
      </c>
      <c r="G73" s="8">
        <v>0.309747249</v>
      </c>
      <c r="H73" s="25">
        <v>3.3</v>
      </c>
    </row>
    <row r="74" spans="1:8" x14ac:dyDescent="0.3">
      <c r="A74">
        <v>202604</v>
      </c>
      <c r="B74" t="s">
        <v>39</v>
      </c>
      <c r="C74">
        <v>1755715692</v>
      </c>
      <c r="D74" t="s">
        <v>21</v>
      </c>
      <c r="E74" t="s">
        <v>28</v>
      </c>
      <c r="F74" t="s">
        <v>91</v>
      </c>
      <c r="G74" s="8">
        <v>0.29371837181999999</v>
      </c>
      <c r="H74" s="25">
        <v>3.3</v>
      </c>
    </row>
    <row r="75" spans="1:8" x14ac:dyDescent="0.3">
      <c r="A75">
        <v>202604</v>
      </c>
      <c r="B75" t="s">
        <v>39</v>
      </c>
      <c r="C75">
        <v>1755756216</v>
      </c>
      <c r="D75" t="s">
        <v>21</v>
      </c>
      <c r="E75" t="s">
        <v>28</v>
      </c>
      <c r="F75" t="s">
        <v>91</v>
      </c>
      <c r="G75" s="8">
        <v>0.687866584</v>
      </c>
      <c r="H75" s="25">
        <v>3.3</v>
      </c>
    </row>
    <row r="76" spans="1:8" x14ac:dyDescent="0.3">
      <c r="A76">
        <v>202604</v>
      </c>
      <c r="B76" t="s">
        <v>39</v>
      </c>
      <c r="C76">
        <v>1755757999</v>
      </c>
      <c r="D76" t="s">
        <v>21</v>
      </c>
      <c r="E76" t="s">
        <v>28</v>
      </c>
      <c r="F76" t="s">
        <v>91</v>
      </c>
      <c r="G76" s="8">
        <v>0.35734399999999999</v>
      </c>
      <c r="H76" s="25">
        <v>3.3</v>
      </c>
    </row>
    <row r="77" spans="1:8" x14ac:dyDescent="0.3">
      <c r="A77">
        <v>202604</v>
      </c>
      <c r="B77" t="s">
        <v>39</v>
      </c>
      <c r="C77">
        <v>1755778058</v>
      </c>
      <c r="D77" t="s">
        <v>21</v>
      </c>
      <c r="E77" t="s">
        <v>28</v>
      </c>
      <c r="F77" t="s">
        <v>91</v>
      </c>
      <c r="G77" s="8">
        <v>0.34442311999999997</v>
      </c>
      <c r="H77" s="25">
        <v>3.3</v>
      </c>
    </row>
    <row r="78" spans="1:8" x14ac:dyDescent="0.3">
      <c r="A78">
        <v>202604</v>
      </c>
      <c r="B78" t="s">
        <v>39</v>
      </c>
      <c r="C78">
        <v>1755851448</v>
      </c>
      <c r="D78" t="s">
        <v>21</v>
      </c>
      <c r="E78" t="s">
        <v>28</v>
      </c>
      <c r="F78" t="s">
        <v>91</v>
      </c>
      <c r="G78" s="8">
        <v>0.31766866499999996</v>
      </c>
      <c r="H78" s="25">
        <v>3.3</v>
      </c>
    </row>
    <row r="79" spans="1:8" x14ac:dyDescent="0.3">
      <c r="A79">
        <v>202604</v>
      </c>
      <c r="B79" t="s">
        <v>39</v>
      </c>
      <c r="C79">
        <v>1755874340</v>
      </c>
      <c r="D79" t="s">
        <v>21</v>
      </c>
      <c r="E79" t="s">
        <v>28</v>
      </c>
      <c r="F79" t="s">
        <v>91</v>
      </c>
      <c r="G79" s="8">
        <v>0.52965311699999995</v>
      </c>
      <c r="H79" s="25">
        <v>3.3</v>
      </c>
    </row>
    <row r="80" spans="1:8" x14ac:dyDescent="0.3">
      <c r="A80">
        <v>202604</v>
      </c>
      <c r="B80" t="s">
        <v>39</v>
      </c>
      <c r="C80">
        <v>1755891199</v>
      </c>
      <c r="D80" t="s">
        <v>21</v>
      </c>
      <c r="E80" t="s">
        <v>28</v>
      </c>
      <c r="F80" t="s">
        <v>92</v>
      </c>
      <c r="G80" s="8">
        <v>1.0550999999999999</v>
      </c>
      <c r="H80" s="25">
        <v>2.99</v>
      </c>
    </row>
    <row r="81" spans="1:8" x14ac:dyDescent="0.3">
      <c r="A81">
        <v>202604</v>
      </c>
      <c r="B81" t="s">
        <v>30</v>
      </c>
      <c r="C81">
        <v>1755662726</v>
      </c>
      <c r="D81" t="s">
        <v>21</v>
      </c>
      <c r="E81" t="s">
        <v>28</v>
      </c>
      <c r="F81" t="s">
        <v>93</v>
      </c>
      <c r="G81" s="8">
        <v>2.7040000000000002</v>
      </c>
      <c r="H81" s="25">
        <v>3.95</v>
      </c>
    </row>
    <row r="82" spans="1:8" x14ac:dyDescent="0.3">
      <c r="A82">
        <v>202604</v>
      </c>
      <c r="B82" t="s">
        <v>30</v>
      </c>
      <c r="C82">
        <v>1755673230</v>
      </c>
      <c r="D82" t="s">
        <v>21</v>
      </c>
      <c r="E82" t="s">
        <v>28</v>
      </c>
      <c r="F82" t="s">
        <v>93</v>
      </c>
      <c r="G82" s="8">
        <v>2.0291999999999999</v>
      </c>
      <c r="H82" s="25">
        <v>3.95</v>
      </c>
    </row>
    <row r="83" spans="1:8" x14ac:dyDescent="0.3">
      <c r="A83">
        <v>202604</v>
      </c>
      <c r="B83" t="s">
        <v>30</v>
      </c>
      <c r="C83">
        <v>1755726510</v>
      </c>
      <c r="D83" t="s">
        <v>21</v>
      </c>
      <c r="E83" t="s">
        <v>22</v>
      </c>
      <c r="F83" t="s">
        <v>94</v>
      </c>
      <c r="G83" s="8">
        <v>4.6675199999999997</v>
      </c>
      <c r="H83" s="25">
        <v>1.1499999999999999</v>
      </c>
    </row>
    <row r="84" spans="1:8" x14ac:dyDescent="0.3">
      <c r="A84">
        <v>202604</v>
      </c>
      <c r="B84" t="s">
        <v>30</v>
      </c>
      <c r="C84">
        <v>1755742843</v>
      </c>
      <c r="D84" t="s">
        <v>21</v>
      </c>
      <c r="E84" t="s">
        <v>28</v>
      </c>
      <c r="F84" t="s">
        <v>95</v>
      </c>
      <c r="G84" s="8">
        <v>0.25859422385999997</v>
      </c>
      <c r="H84" s="25">
        <v>2.8</v>
      </c>
    </row>
    <row r="85" spans="1:8" x14ac:dyDescent="0.3">
      <c r="A85">
        <v>202604</v>
      </c>
      <c r="B85" t="s">
        <v>30</v>
      </c>
      <c r="C85">
        <v>1755768389</v>
      </c>
      <c r="D85" t="s">
        <v>27</v>
      </c>
      <c r="E85" t="s">
        <v>22</v>
      </c>
      <c r="F85" t="s">
        <v>96</v>
      </c>
      <c r="G85" s="8">
        <v>2.2000000000000002</v>
      </c>
      <c r="H85" s="25">
        <v>0.5</v>
      </c>
    </row>
    <row r="86" spans="1:8" x14ac:dyDescent="0.3">
      <c r="A86">
        <v>202604</v>
      </c>
      <c r="B86" t="s">
        <v>30</v>
      </c>
      <c r="C86">
        <v>1755799720</v>
      </c>
      <c r="D86" t="s">
        <v>21</v>
      </c>
      <c r="E86" t="s">
        <v>28</v>
      </c>
      <c r="F86" t="s">
        <v>95</v>
      </c>
      <c r="G86" s="8">
        <v>0.1834038408</v>
      </c>
      <c r="H86" s="25">
        <v>2.75</v>
      </c>
    </row>
    <row r="87" spans="1:8" x14ac:dyDescent="0.3">
      <c r="A87">
        <v>202604</v>
      </c>
      <c r="B87" t="s">
        <v>30</v>
      </c>
      <c r="C87">
        <v>1755878095</v>
      </c>
      <c r="D87" t="s">
        <v>21</v>
      </c>
      <c r="E87" t="s">
        <v>28</v>
      </c>
      <c r="F87" t="s">
        <v>97</v>
      </c>
      <c r="G87" s="8">
        <v>0.93579446788999998</v>
      </c>
      <c r="H87" s="25">
        <v>0.5</v>
      </c>
    </row>
    <row r="88" spans="1:8" x14ac:dyDescent="0.3">
      <c r="A88">
        <v>202604</v>
      </c>
      <c r="B88" t="s">
        <v>30</v>
      </c>
      <c r="C88">
        <v>1755878109</v>
      </c>
      <c r="D88" t="s">
        <v>21</v>
      </c>
      <c r="E88" t="s">
        <v>28</v>
      </c>
      <c r="F88" t="s">
        <v>97</v>
      </c>
      <c r="G88" s="8">
        <v>1.7871799958400001</v>
      </c>
      <c r="H88" s="25">
        <v>0.4</v>
      </c>
    </row>
    <row r="89" spans="1:8" x14ac:dyDescent="0.3">
      <c r="A89">
        <v>202604</v>
      </c>
      <c r="B89" t="s">
        <v>46</v>
      </c>
      <c r="C89">
        <v>1751403912</v>
      </c>
      <c r="D89" t="s">
        <v>21</v>
      </c>
      <c r="E89" t="s">
        <v>22</v>
      </c>
      <c r="F89" t="s">
        <v>98</v>
      </c>
      <c r="G89" s="8">
        <v>0.24024000000000001</v>
      </c>
      <c r="H89" s="25">
        <v>6.15</v>
      </c>
    </row>
    <row r="90" spans="1:8" x14ac:dyDescent="0.3">
      <c r="A90">
        <v>202604</v>
      </c>
      <c r="B90" t="s">
        <v>46</v>
      </c>
      <c r="C90">
        <v>1751417018</v>
      </c>
      <c r="D90" t="s">
        <v>21</v>
      </c>
      <c r="E90" t="s">
        <v>43</v>
      </c>
      <c r="F90" t="s">
        <v>99</v>
      </c>
      <c r="G90" s="8">
        <v>0.30089354270000002</v>
      </c>
      <c r="H90" s="25">
        <v>2.7</v>
      </c>
    </row>
    <row r="91" spans="1:8" x14ac:dyDescent="0.3">
      <c r="A91">
        <v>202604</v>
      </c>
      <c r="B91" t="s">
        <v>46</v>
      </c>
      <c r="C91">
        <v>1755672632</v>
      </c>
      <c r="D91" t="s">
        <v>27</v>
      </c>
      <c r="E91" t="s">
        <v>22</v>
      </c>
      <c r="F91" t="s">
        <v>100</v>
      </c>
      <c r="G91" s="8">
        <v>1</v>
      </c>
      <c r="H91" s="25">
        <v>1</v>
      </c>
    </row>
    <row r="92" spans="1:8" x14ac:dyDescent="0.3">
      <c r="A92">
        <v>202604</v>
      </c>
      <c r="B92" t="s">
        <v>46</v>
      </c>
      <c r="C92">
        <v>1755678967</v>
      </c>
      <c r="D92" t="s">
        <v>21</v>
      </c>
      <c r="E92" t="s">
        <v>28</v>
      </c>
      <c r="F92" t="s">
        <v>101</v>
      </c>
      <c r="G92" s="8">
        <v>1.6910000000000001</v>
      </c>
      <c r="H92" s="25">
        <v>0.6</v>
      </c>
    </row>
    <row r="93" spans="1:8" x14ac:dyDescent="0.3">
      <c r="A93">
        <v>202604</v>
      </c>
      <c r="B93" t="s">
        <v>46</v>
      </c>
      <c r="C93">
        <v>1755819994</v>
      </c>
      <c r="D93" t="s">
        <v>21</v>
      </c>
      <c r="E93" t="s">
        <v>28</v>
      </c>
      <c r="F93" t="s">
        <v>101</v>
      </c>
      <c r="G93" s="8">
        <v>1.7364999999999999</v>
      </c>
      <c r="H93" s="25">
        <v>0.6</v>
      </c>
    </row>
    <row r="94" spans="1:8" x14ac:dyDescent="0.3">
      <c r="A94">
        <v>202604</v>
      </c>
      <c r="B94" t="s">
        <v>46</v>
      </c>
      <c r="C94">
        <v>1755867662</v>
      </c>
      <c r="D94" t="s">
        <v>21</v>
      </c>
      <c r="E94" t="s">
        <v>28</v>
      </c>
      <c r="F94" t="s">
        <v>102</v>
      </c>
      <c r="G94" s="8">
        <v>5.274</v>
      </c>
      <c r="H94" s="25">
        <v>0.61</v>
      </c>
    </row>
    <row r="95" spans="1:8" x14ac:dyDescent="0.3">
      <c r="A95">
        <v>202604</v>
      </c>
      <c r="B95" t="s">
        <v>46</v>
      </c>
      <c r="C95">
        <v>1755874995</v>
      </c>
      <c r="D95" t="s">
        <v>21</v>
      </c>
      <c r="E95" t="s">
        <v>28</v>
      </c>
      <c r="F95" t="s">
        <v>101</v>
      </c>
      <c r="G95" s="8">
        <v>0.88175000000000003</v>
      </c>
      <c r="H95" s="25">
        <v>0.6</v>
      </c>
    </row>
    <row r="96" spans="1:8" x14ac:dyDescent="0.3">
      <c r="A96">
        <v>202604</v>
      </c>
      <c r="B96" t="s">
        <v>46</v>
      </c>
      <c r="C96">
        <v>1755878540</v>
      </c>
      <c r="D96" t="s">
        <v>27</v>
      </c>
      <c r="E96" t="s">
        <v>22</v>
      </c>
      <c r="F96" t="s">
        <v>103</v>
      </c>
      <c r="G96" s="8">
        <v>0.1</v>
      </c>
      <c r="H96" s="25">
        <v>2.2000000000000002</v>
      </c>
    </row>
    <row r="97" spans="1:8" x14ac:dyDescent="0.3">
      <c r="A97">
        <v>202604</v>
      </c>
      <c r="B97" t="s">
        <v>46</v>
      </c>
      <c r="C97">
        <v>1755883870</v>
      </c>
      <c r="D97" t="s">
        <v>21</v>
      </c>
      <c r="E97" t="s">
        <v>22</v>
      </c>
      <c r="F97" t="s">
        <v>101</v>
      </c>
      <c r="G97" s="8">
        <v>1.7585</v>
      </c>
      <c r="H97" s="25">
        <v>0.6</v>
      </c>
    </row>
    <row r="98" spans="1:8" x14ac:dyDescent="0.3">
      <c r="A98">
        <v>202604</v>
      </c>
      <c r="B98" t="s">
        <v>46</v>
      </c>
      <c r="C98">
        <v>1755890036</v>
      </c>
      <c r="D98" t="s">
        <v>21</v>
      </c>
      <c r="E98" t="s">
        <v>22</v>
      </c>
      <c r="F98" t="s">
        <v>104</v>
      </c>
      <c r="G98" s="8">
        <v>0.70340000000000003</v>
      </c>
      <c r="H98" s="25">
        <v>1.1000000000000001</v>
      </c>
    </row>
    <row r="99" spans="1:8" x14ac:dyDescent="0.3">
      <c r="A99">
        <v>202604</v>
      </c>
      <c r="B99" t="s">
        <v>46</v>
      </c>
      <c r="C99">
        <v>1755890087</v>
      </c>
      <c r="D99" t="s">
        <v>21</v>
      </c>
      <c r="E99" t="s">
        <v>22</v>
      </c>
      <c r="F99" t="s">
        <v>104</v>
      </c>
      <c r="G99" s="8">
        <v>0.70340000000000003</v>
      </c>
      <c r="H99" s="25">
        <v>1.1000000000000001</v>
      </c>
    </row>
    <row r="100" spans="1:8" x14ac:dyDescent="0.3">
      <c r="A100">
        <v>202604</v>
      </c>
      <c r="B100" t="s">
        <v>46</v>
      </c>
      <c r="C100">
        <v>1755895150</v>
      </c>
      <c r="D100" t="s">
        <v>27</v>
      </c>
      <c r="E100" t="s">
        <v>43</v>
      </c>
      <c r="F100" t="s">
        <v>99</v>
      </c>
      <c r="G100" s="8">
        <v>0.18401207999999999</v>
      </c>
      <c r="H100" s="25">
        <v>2.5499999999999998</v>
      </c>
    </row>
    <row r="101" spans="1:8" x14ac:dyDescent="0.3">
      <c r="A101">
        <v>202604</v>
      </c>
      <c r="B101" t="s">
        <v>46</v>
      </c>
      <c r="C101">
        <v>1755895194</v>
      </c>
      <c r="D101" t="s">
        <v>21</v>
      </c>
      <c r="E101" t="s">
        <v>43</v>
      </c>
      <c r="F101" t="s">
        <v>99</v>
      </c>
      <c r="G101" s="8">
        <v>0.26908292674000001</v>
      </c>
      <c r="H101" s="25">
        <v>1.9</v>
      </c>
    </row>
    <row r="102" spans="1:8" x14ac:dyDescent="0.3">
      <c r="A102">
        <v>202604</v>
      </c>
      <c r="B102" t="s">
        <v>48</v>
      </c>
      <c r="C102">
        <v>1751390357</v>
      </c>
      <c r="D102" t="s">
        <v>21</v>
      </c>
      <c r="E102" t="s">
        <v>28</v>
      </c>
      <c r="F102" t="s">
        <v>105</v>
      </c>
      <c r="G102" s="8">
        <v>0.27495999999999998</v>
      </c>
      <c r="H102" s="25">
        <v>5.55</v>
      </c>
    </row>
    <row r="103" spans="1:8" x14ac:dyDescent="0.3">
      <c r="A103">
        <v>202604</v>
      </c>
      <c r="B103" t="s">
        <v>48</v>
      </c>
      <c r="C103">
        <v>1751416224</v>
      </c>
      <c r="D103" t="s">
        <v>27</v>
      </c>
      <c r="E103" t="s">
        <v>28</v>
      </c>
      <c r="F103" t="s">
        <v>106</v>
      </c>
      <c r="G103" s="8">
        <v>0.05</v>
      </c>
      <c r="H103" s="25">
        <v>4.18</v>
      </c>
    </row>
    <row r="104" spans="1:8" x14ac:dyDescent="0.3">
      <c r="A104">
        <v>202604</v>
      </c>
      <c r="B104" t="s">
        <v>48</v>
      </c>
      <c r="C104">
        <v>1751416313</v>
      </c>
      <c r="D104" t="s">
        <v>27</v>
      </c>
      <c r="E104" t="s">
        <v>28</v>
      </c>
      <c r="F104" t="s">
        <v>106</v>
      </c>
      <c r="G104" s="8">
        <v>6.5000000000000002E-2</v>
      </c>
      <c r="H104" s="25">
        <v>4.18</v>
      </c>
    </row>
    <row r="105" spans="1:8" x14ac:dyDescent="0.3">
      <c r="A105">
        <v>202604</v>
      </c>
      <c r="B105" t="s">
        <v>48</v>
      </c>
      <c r="C105">
        <v>1751416330</v>
      </c>
      <c r="D105" t="s">
        <v>27</v>
      </c>
      <c r="E105" t="s">
        <v>28</v>
      </c>
      <c r="F105" t="s">
        <v>106</v>
      </c>
      <c r="G105" s="8">
        <v>5.5E-2</v>
      </c>
      <c r="H105" s="25">
        <v>4.18</v>
      </c>
    </row>
    <row r="106" spans="1:8" x14ac:dyDescent="0.3">
      <c r="A106">
        <v>202604</v>
      </c>
      <c r="B106" t="s">
        <v>48</v>
      </c>
      <c r="C106">
        <v>1755674783</v>
      </c>
      <c r="D106" t="s">
        <v>21</v>
      </c>
      <c r="E106" t="s">
        <v>28</v>
      </c>
      <c r="F106" t="s">
        <v>107</v>
      </c>
      <c r="G106" s="8">
        <v>1.5219</v>
      </c>
      <c r="H106" s="25">
        <v>1.9</v>
      </c>
    </row>
    <row r="107" spans="1:8" x14ac:dyDescent="0.3">
      <c r="A107">
        <v>202604</v>
      </c>
      <c r="B107" t="s">
        <v>48</v>
      </c>
      <c r="C107">
        <v>1755674848</v>
      </c>
      <c r="D107" t="s">
        <v>21</v>
      </c>
      <c r="E107" t="s">
        <v>28</v>
      </c>
      <c r="F107" t="s">
        <v>107</v>
      </c>
      <c r="G107" s="8">
        <v>1.8601000000000001</v>
      </c>
      <c r="H107" s="25">
        <v>1.9</v>
      </c>
    </row>
    <row r="108" spans="1:8" x14ac:dyDescent="0.3">
      <c r="A108">
        <v>202604</v>
      </c>
      <c r="B108" t="s">
        <v>48</v>
      </c>
      <c r="C108">
        <v>1755713096</v>
      </c>
      <c r="D108" t="s">
        <v>27</v>
      </c>
      <c r="E108" t="s">
        <v>28</v>
      </c>
      <c r="F108" t="s">
        <v>106</v>
      </c>
      <c r="G108" s="8">
        <v>3.7999999999999999E-2</v>
      </c>
      <c r="H108" s="25">
        <v>4.25</v>
      </c>
    </row>
    <row r="109" spans="1:8" x14ac:dyDescent="0.3">
      <c r="A109">
        <v>202604</v>
      </c>
      <c r="B109" t="s">
        <v>48</v>
      </c>
      <c r="C109">
        <v>1755713126</v>
      </c>
      <c r="D109" t="s">
        <v>27</v>
      </c>
      <c r="E109" t="s">
        <v>28</v>
      </c>
      <c r="F109" t="s">
        <v>106</v>
      </c>
      <c r="G109" s="8">
        <v>0.05</v>
      </c>
      <c r="H109" s="25">
        <v>4.25</v>
      </c>
    </row>
    <row r="110" spans="1:8" x14ac:dyDescent="0.3">
      <c r="A110">
        <v>202604</v>
      </c>
      <c r="B110" t="s">
        <v>48</v>
      </c>
      <c r="C110">
        <v>1755713207</v>
      </c>
      <c r="D110" t="s">
        <v>27</v>
      </c>
      <c r="E110" t="s">
        <v>28</v>
      </c>
      <c r="F110" t="s">
        <v>106</v>
      </c>
      <c r="G110" s="8">
        <v>3.5999999999999997E-2</v>
      </c>
      <c r="H110" s="25">
        <v>4.5</v>
      </c>
    </row>
    <row r="111" spans="1:8" x14ac:dyDescent="0.3">
      <c r="A111">
        <v>202604</v>
      </c>
      <c r="B111" t="s">
        <v>48</v>
      </c>
      <c r="C111">
        <v>1755733290</v>
      </c>
      <c r="D111" t="s">
        <v>27</v>
      </c>
      <c r="E111" t="s">
        <v>43</v>
      </c>
      <c r="F111" t="s">
        <v>108</v>
      </c>
      <c r="G111" s="8">
        <v>0.58905801000000002</v>
      </c>
      <c r="H111" s="25">
        <v>0.95</v>
      </c>
    </row>
    <row r="112" spans="1:8" x14ac:dyDescent="0.3">
      <c r="A112">
        <v>202604</v>
      </c>
      <c r="B112" t="s">
        <v>48</v>
      </c>
      <c r="C112">
        <v>1755754582</v>
      </c>
      <c r="D112" t="s">
        <v>27</v>
      </c>
      <c r="E112" t="s">
        <v>28</v>
      </c>
      <c r="F112" t="s">
        <v>106</v>
      </c>
      <c r="G112" s="8">
        <v>6.0999999999999999E-2</v>
      </c>
      <c r="H112" s="25">
        <v>4.5</v>
      </c>
    </row>
    <row r="113" spans="1:8" x14ac:dyDescent="0.3">
      <c r="A113">
        <v>202604</v>
      </c>
      <c r="B113" t="s">
        <v>48</v>
      </c>
      <c r="C113">
        <v>1755754639</v>
      </c>
      <c r="D113" t="s">
        <v>27</v>
      </c>
      <c r="E113" t="s">
        <v>28</v>
      </c>
      <c r="F113" t="s">
        <v>106</v>
      </c>
      <c r="G113" s="8">
        <v>6.6000000000000003E-2</v>
      </c>
      <c r="H113" s="25">
        <v>4.25</v>
      </c>
    </row>
    <row r="114" spans="1:8" x14ac:dyDescent="0.3">
      <c r="A114">
        <v>202604</v>
      </c>
      <c r="B114" t="s">
        <v>48</v>
      </c>
      <c r="C114">
        <v>1755754698</v>
      </c>
      <c r="D114" t="s">
        <v>27</v>
      </c>
      <c r="E114" t="s">
        <v>28</v>
      </c>
      <c r="F114" t="s">
        <v>106</v>
      </c>
      <c r="G114" s="8">
        <v>3.5000000000000003E-2</v>
      </c>
      <c r="H114" s="25">
        <v>4.25</v>
      </c>
    </row>
    <row r="115" spans="1:8" x14ac:dyDescent="0.3">
      <c r="A115">
        <v>202604</v>
      </c>
      <c r="B115" t="s">
        <v>48</v>
      </c>
      <c r="C115">
        <v>1755764260</v>
      </c>
      <c r="D115" t="s">
        <v>21</v>
      </c>
      <c r="E115" t="s">
        <v>28</v>
      </c>
      <c r="F115" t="s">
        <v>109</v>
      </c>
      <c r="G115" s="8">
        <v>0.30658569000000002</v>
      </c>
      <c r="H115" s="25">
        <v>0.7</v>
      </c>
    </row>
    <row r="116" spans="1:8" x14ac:dyDescent="0.3">
      <c r="A116">
        <v>202604</v>
      </c>
      <c r="B116" t="s">
        <v>48</v>
      </c>
      <c r="C116">
        <v>1755776250</v>
      </c>
      <c r="D116" t="s">
        <v>21</v>
      </c>
      <c r="E116" t="s">
        <v>43</v>
      </c>
      <c r="F116" t="s">
        <v>109</v>
      </c>
      <c r="G116" s="8">
        <v>0.72129954399999996</v>
      </c>
      <c r="H116" s="25">
        <v>0.51</v>
      </c>
    </row>
    <row r="117" spans="1:8" x14ac:dyDescent="0.3">
      <c r="A117">
        <v>202604</v>
      </c>
      <c r="B117" t="s">
        <v>48</v>
      </c>
      <c r="C117">
        <v>1755783639</v>
      </c>
      <c r="D117" t="s">
        <v>21</v>
      </c>
      <c r="E117" t="s">
        <v>28</v>
      </c>
      <c r="F117" t="s">
        <v>105</v>
      </c>
      <c r="G117" s="8">
        <v>0.34399999999999997</v>
      </c>
      <c r="H117" s="25">
        <v>5.55</v>
      </c>
    </row>
    <row r="118" spans="1:8" x14ac:dyDescent="0.3">
      <c r="A118">
        <v>202604</v>
      </c>
      <c r="B118" t="s">
        <v>48</v>
      </c>
      <c r="C118">
        <v>1755815130</v>
      </c>
      <c r="D118" t="s">
        <v>27</v>
      </c>
      <c r="E118" t="s">
        <v>28</v>
      </c>
      <c r="F118" t="s">
        <v>110</v>
      </c>
      <c r="G118" s="8">
        <v>0.25</v>
      </c>
      <c r="H118" s="25">
        <v>4.8</v>
      </c>
    </row>
    <row r="119" spans="1:8" x14ac:dyDescent="0.3">
      <c r="A119">
        <v>202604</v>
      </c>
      <c r="B119" t="s">
        <v>48</v>
      </c>
      <c r="C119">
        <v>1755849320</v>
      </c>
      <c r="D119" t="s">
        <v>27</v>
      </c>
      <c r="E119" t="s">
        <v>28</v>
      </c>
      <c r="F119" t="s">
        <v>106</v>
      </c>
      <c r="G119" s="8">
        <v>3.9E-2</v>
      </c>
      <c r="H119" s="25">
        <v>4.5</v>
      </c>
    </row>
    <row r="120" spans="1:8" x14ac:dyDescent="0.3">
      <c r="A120">
        <v>202604</v>
      </c>
      <c r="B120" t="s">
        <v>48</v>
      </c>
      <c r="C120">
        <v>1755849443</v>
      </c>
      <c r="D120" t="s">
        <v>27</v>
      </c>
      <c r="E120" t="s">
        <v>28</v>
      </c>
      <c r="F120" t="s">
        <v>106</v>
      </c>
      <c r="G120" s="8">
        <v>4.1000000000000002E-2</v>
      </c>
      <c r="H120" s="25">
        <v>4.25</v>
      </c>
    </row>
    <row r="121" spans="1:8" x14ac:dyDescent="0.3">
      <c r="A121">
        <v>202604</v>
      </c>
      <c r="B121" t="s">
        <v>48</v>
      </c>
      <c r="C121">
        <v>1755849540</v>
      </c>
      <c r="D121" t="s">
        <v>27</v>
      </c>
      <c r="E121" t="s">
        <v>28</v>
      </c>
      <c r="F121" t="s">
        <v>106</v>
      </c>
      <c r="G121" s="8">
        <v>0.06</v>
      </c>
      <c r="H121" s="25">
        <v>4.25</v>
      </c>
    </row>
    <row r="122" spans="1:8" x14ac:dyDescent="0.3">
      <c r="A122">
        <v>202604</v>
      </c>
      <c r="B122" t="s">
        <v>48</v>
      </c>
      <c r="C122">
        <v>1755862539</v>
      </c>
      <c r="D122" t="s">
        <v>21</v>
      </c>
      <c r="E122" t="s">
        <v>28</v>
      </c>
      <c r="F122" t="s">
        <v>111</v>
      </c>
      <c r="G122" s="8">
        <v>0.28127999999999997</v>
      </c>
      <c r="H122" s="25">
        <v>2.35</v>
      </c>
    </row>
    <row r="123" spans="1:8" x14ac:dyDescent="0.3">
      <c r="A123">
        <v>202604</v>
      </c>
      <c r="B123" t="s">
        <v>48</v>
      </c>
      <c r="C123">
        <v>1755867972</v>
      </c>
      <c r="D123" t="s">
        <v>21</v>
      </c>
      <c r="E123" t="s">
        <v>28</v>
      </c>
      <c r="F123" t="s">
        <v>112</v>
      </c>
      <c r="G123" s="8">
        <v>0.17580000000000001</v>
      </c>
      <c r="H123" s="25">
        <v>4.9000000000000004</v>
      </c>
    </row>
    <row r="124" spans="1:8" x14ac:dyDescent="0.3">
      <c r="A124">
        <v>202604</v>
      </c>
      <c r="B124" t="s">
        <v>48</v>
      </c>
      <c r="C124">
        <v>1755868383</v>
      </c>
      <c r="D124" t="s">
        <v>27</v>
      </c>
      <c r="E124" t="s">
        <v>43</v>
      </c>
      <c r="F124" t="s">
        <v>113</v>
      </c>
      <c r="G124" s="8">
        <v>0.13717810999999999</v>
      </c>
      <c r="H124" s="25">
        <v>2.5499999999999998</v>
      </c>
    </row>
    <row r="125" spans="1:8" x14ac:dyDescent="0.3">
      <c r="A125">
        <v>202604</v>
      </c>
      <c r="B125" t="s">
        <v>48</v>
      </c>
      <c r="C125">
        <v>1755868413</v>
      </c>
      <c r="D125" t="s">
        <v>21</v>
      </c>
      <c r="E125" t="s">
        <v>28</v>
      </c>
      <c r="F125" t="s">
        <v>114</v>
      </c>
      <c r="G125" s="8">
        <v>0.879</v>
      </c>
      <c r="H125" s="25">
        <v>1.3</v>
      </c>
    </row>
    <row r="126" spans="1:8" x14ac:dyDescent="0.3">
      <c r="A126">
        <v>202604</v>
      </c>
      <c r="B126" t="s">
        <v>48</v>
      </c>
      <c r="C126">
        <v>1755870272</v>
      </c>
      <c r="D126" t="s">
        <v>21</v>
      </c>
      <c r="E126" t="s">
        <v>28</v>
      </c>
      <c r="F126" t="s">
        <v>111</v>
      </c>
      <c r="G126" s="8">
        <v>0.24689</v>
      </c>
      <c r="H126" s="25">
        <v>2.35</v>
      </c>
    </row>
    <row r="127" spans="1:8" x14ac:dyDescent="0.3">
      <c r="A127">
        <v>202604</v>
      </c>
      <c r="B127" t="s">
        <v>48</v>
      </c>
      <c r="C127">
        <v>1755871058</v>
      </c>
      <c r="D127" t="s">
        <v>27</v>
      </c>
      <c r="E127" t="s">
        <v>28</v>
      </c>
      <c r="F127" t="s">
        <v>106</v>
      </c>
      <c r="G127" s="8">
        <v>0.03</v>
      </c>
      <c r="H127" s="25">
        <v>4.25</v>
      </c>
    </row>
    <row r="128" spans="1:8" x14ac:dyDescent="0.3">
      <c r="A128">
        <v>202604</v>
      </c>
      <c r="B128" t="s">
        <v>48</v>
      </c>
      <c r="C128">
        <v>1755871287</v>
      </c>
      <c r="D128" t="s">
        <v>27</v>
      </c>
      <c r="E128" t="s">
        <v>28</v>
      </c>
      <c r="F128" t="s">
        <v>106</v>
      </c>
      <c r="G128" s="8">
        <v>3.5000000000000003E-2</v>
      </c>
      <c r="H128" s="25">
        <v>4.25</v>
      </c>
    </row>
    <row r="129" spans="1:8" x14ac:dyDescent="0.3">
      <c r="A129">
        <v>202604</v>
      </c>
      <c r="B129" t="s">
        <v>48</v>
      </c>
      <c r="C129">
        <v>1755871317</v>
      </c>
      <c r="D129" t="s">
        <v>27</v>
      </c>
      <c r="E129" t="s">
        <v>28</v>
      </c>
      <c r="F129" t="s">
        <v>106</v>
      </c>
      <c r="G129" s="8">
        <v>3.6999999999999998E-2</v>
      </c>
      <c r="H129" s="25">
        <v>4.25</v>
      </c>
    </row>
    <row r="130" spans="1:8" x14ac:dyDescent="0.3">
      <c r="A130">
        <v>202604</v>
      </c>
      <c r="B130" t="s">
        <v>48</v>
      </c>
      <c r="C130">
        <v>1755879075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1755879105</v>
      </c>
      <c r="D131" t="s">
        <v>21</v>
      </c>
      <c r="E131" t="s">
        <v>22</v>
      </c>
      <c r="F131" t="s">
        <v>115</v>
      </c>
      <c r="G131" s="8">
        <v>0.10581</v>
      </c>
      <c r="H131" s="25">
        <v>5.65</v>
      </c>
    </row>
    <row r="132" spans="1:8" x14ac:dyDescent="0.3">
      <c r="A132">
        <v>202604</v>
      </c>
      <c r="B132" t="s">
        <v>48</v>
      </c>
      <c r="C132">
        <v>1755879120</v>
      </c>
      <c r="D132" t="s">
        <v>21</v>
      </c>
      <c r="E132" t="s">
        <v>22</v>
      </c>
      <c r="F132" t="s">
        <v>115</v>
      </c>
      <c r="G132" s="8">
        <v>0.10581</v>
      </c>
      <c r="H132" s="25">
        <v>5.65</v>
      </c>
    </row>
    <row r="133" spans="1:8" x14ac:dyDescent="0.3">
      <c r="A133">
        <v>202604</v>
      </c>
      <c r="B133" t="s">
        <v>48</v>
      </c>
      <c r="C133">
        <v>1755879156</v>
      </c>
      <c r="D133" t="s">
        <v>21</v>
      </c>
      <c r="E133" t="s">
        <v>22</v>
      </c>
      <c r="F133" t="s">
        <v>115</v>
      </c>
      <c r="G133" s="8">
        <v>3.5270000000000003E-2</v>
      </c>
      <c r="H133" s="25">
        <v>5.65</v>
      </c>
    </row>
    <row r="134" spans="1:8" x14ac:dyDescent="0.3">
      <c r="A134">
        <v>202604</v>
      </c>
      <c r="B134" t="s">
        <v>48</v>
      </c>
      <c r="C134">
        <v>1755881680</v>
      </c>
      <c r="D134" t="s">
        <v>27</v>
      </c>
      <c r="E134" t="s">
        <v>28</v>
      </c>
      <c r="F134" t="s">
        <v>106</v>
      </c>
      <c r="G134" s="8">
        <v>6.8000000000000005E-2</v>
      </c>
      <c r="H134" s="25">
        <v>4</v>
      </c>
    </row>
    <row r="135" spans="1:8" x14ac:dyDescent="0.3">
      <c r="A135">
        <v>202604</v>
      </c>
      <c r="B135" t="s">
        <v>48</v>
      </c>
      <c r="C135">
        <v>1755881843</v>
      </c>
      <c r="D135" t="s">
        <v>27</v>
      </c>
      <c r="E135" t="s">
        <v>28</v>
      </c>
      <c r="F135" t="s">
        <v>106</v>
      </c>
      <c r="G135" s="8">
        <v>7.0000000000000007E-2</v>
      </c>
      <c r="H135" s="25">
        <v>4</v>
      </c>
    </row>
    <row r="136" spans="1:8" x14ac:dyDescent="0.3">
      <c r="A136">
        <v>202604</v>
      </c>
      <c r="B136" t="s">
        <v>48</v>
      </c>
      <c r="C136">
        <v>1755881894</v>
      </c>
      <c r="D136" t="s">
        <v>27</v>
      </c>
      <c r="E136" t="s">
        <v>28</v>
      </c>
      <c r="F136" t="s">
        <v>106</v>
      </c>
      <c r="G136" s="8">
        <v>7.1999999999999995E-2</v>
      </c>
      <c r="H136" s="25">
        <v>3.75</v>
      </c>
    </row>
    <row r="137" spans="1:8" x14ac:dyDescent="0.3">
      <c r="A137">
        <v>202604</v>
      </c>
      <c r="B137" t="s">
        <v>48</v>
      </c>
      <c r="C137">
        <v>1755881924</v>
      </c>
      <c r="D137" t="s">
        <v>27</v>
      </c>
      <c r="E137" t="s">
        <v>28</v>
      </c>
      <c r="F137" t="s">
        <v>106</v>
      </c>
      <c r="G137" s="8">
        <v>0.14000000000000001</v>
      </c>
      <c r="H137" s="25">
        <v>3.75</v>
      </c>
    </row>
    <row r="138" spans="1:8" x14ac:dyDescent="0.3">
      <c r="A138">
        <v>202604</v>
      </c>
      <c r="B138" t="s">
        <v>48</v>
      </c>
      <c r="C138">
        <v>1755895402</v>
      </c>
      <c r="D138" t="s">
        <v>21</v>
      </c>
      <c r="E138" t="s">
        <v>43</v>
      </c>
      <c r="F138" t="s">
        <v>109</v>
      </c>
      <c r="G138" s="8">
        <v>0.49396919162000003</v>
      </c>
      <c r="H138" s="25">
        <v>1.2</v>
      </c>
    </row>
    <row r="139" spans="1:8" x14ac:dyDescent="0.3">
      <c r="A139">
        <v>202604</v>
      </c>
      <c r="B139" t="s">
        <v>50</v>
      </c>
      <c r="C139">
        <v>1751372057</v>
      </c>
      <c r="D139" t="s">
        <v>21</v>
      </c>
      <c r="E139" t="s">
        <v>22</v>
      </c>
      <c r="F139" t="s">
        <v>116</v>
      </c>
      <c r="G139" s="8">
        <v>0.10473</v>
      </c>
      <c r="H139" s="25">
        <v>8</v>
      </c>
    </row>
    <row r="140" spans="1:8" x14ac:dyDescent="0.3">
      <c r="A140">
        <v>202604</v>
      </c>
      <c r="B140" t="s">
        <v>50</v>
      </c>
      <c r="C140">
        <v>1755658354</v>
      </c>
      <c r="D140" t="s">
        <v>21</v>
      </c>
      <c r="E140" t="s">
        <v>28</v>
      </c>
      <c r="F140" t="s">
        <v>117</v>
      </c>
      <c r="G140" s="8">
        <v>1.0768736446</v>
      </c>
      <c r="H140" s="25">
        <v>1.95</v>
      </c>
    </row>
    <row r="141" spans="1:8" x14ac:dyDescent="0.3">
      <c r="A141">
        <v>202604</v>
      </c>
      <c r="B141" t="s">
        <v>50</v>
      </c>
      <c r="C141">
        <v>1755674538</v>
      </c>
      <c r="D141" t="s">
        <v>27</v>
      </c>
      <c r="E141" t="s">
        <v>28</v>
      </c>
      <c r="F141" t="s">
        <v>118</v>
      </c>
      <c r="G141" s="8">
        <v>0.43172500000000003</v>
      </c>
      <c r="H141" s="25">
        <v>3.19</v>
      </c>
    </row>
    <row r="142" spans="1:8" x14ac:dyDescent="0.3">
      <c r="A142">
        <v>202604</v>
      </c>
      <c r="B142" t="s">
        <v>50</v>
      </c>
      <c r="C142">
        <v>1755732902</v>
      </c>
      <c r="D142" t="s">
        <v>21</v>
      </c>
      <c r="E142" t="s">
        <v>119</v>
      </c>
      <c r="F142" t="s">
        <v>116</v>
      </c>
      <c r="G142" s="8">
        <v>0.85799999999999998</v>
      </c>
      <c r="H142" s="25">
        <v>6.1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35</v>
      </c>
      <c r="C245">
        <v>1755913140</v>
      </c>
      <c r="D245" t="s">
        <v>27</v>
      </c>
      <c r="E245" t="s">
        <v>22</v>
      </c>
      <c r="F245" t="s">
        <v>70</v>
      </c>
      <c r="G245" s="8">
        <v>4</v>
      </c>
      <c r="H245" s="25">
        <v>-0.21</v>
      </c>
    </row>
    <row r="246" spans="1:8" x14ac:dyDescent="0.3">
      <c r="A246">
        <v>202605</v>
      </c>
      <c r="B246" t="s">
        <v>38</v>
      </c>
      <c r="C246">
        <v>1755910680</v>
      </c>
      <c r="D246" t="s">
        <v>21</v>
      </c>
      <c r="E246" t="s">
        <v>22</v>
      </c>
      <c r="F246" t="s">
        <v>189</v>
      </c>
      <c r="G246" s="8">
        <v>0.70340000000000003</v>
      </c>
      <c r="H246" s="25">
        <v>2.12</v>
      </c>
    </row>
    <row r="247" spans="1:8" x14ac:dyDescent="0.3">
      <c r="A247">
        <v>202605</v>
      </c>
      <c r="B247" t="s">
        <v>30</v>
      </c>
      <c r="C247">
        <v>1755912470</v>
      </c>
      <c r="D247" t="s">
        <v>27</v>
      </c>
      <c r="E247" t="s">
        <v>22</v>
      </c>
      <c r="F247" t="s">
        <v>96</v>
      </c>
      <c r="G247" s="8">
        <v>4</v>
      </c>
      <c r="H247" s="25">
        <v>0.25</v>
      </c>
    </row>
    <row r="248" spans="1:8" x14ac:dyDescent="0.3">
      <c r="A248">
        <v>202605</v>
      </c>
      <c r="B248" t="s">
        <v>30</v>
      </c>
      <c r="C248">
        <v>1755912650</v>
      </c>
      <c r="D248" t="s">
        <v>27</v>
      </c>
      <c r="E248" t="s">
        <v>22</v>
      </c>
      <c r="F248" t="s">
        <v>96</v>
      </c>
      <c r="G248" s="8">
        <v>5</v>
      </c>
      <c r="H248" s="25">
        <v>0.25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5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8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9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0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935770A1-4356-44BD-99DB-03B731F228E1}">
  <ds:schemaRefs/>
</ds:datastoreItem>
</file>

<file path=customXml/itemProps14.xml><?xml version="1.0" encoding="utf-8"?>
<ds:datastoreItem xmlns:ds="http://schemas.openxmlformats.org/officeDocument/2006/customXml" ds:itemID="{5473549A-9713-4262-B7CF-6901301DAB23}">
  <ds:schemaRefs/>
</ds:datastoreItem>
</file>

<file path=customXml/itemProps15.xml><?xml version="1.0" encoding="utf-8"?>
<ds:datastoreItem xmlns:ds="http://schemas.openxmlformats.org/officeDocument/2006/customXml" ds:itemID="{6D5D4922-7D15-4622-BAA4-1310B8E9DFA3}">
  <ds:schemaRefs/>
</ds:datastoreItem>
</file>

<file path=customXml/itemProps16.xml><?xml version="1.0" encoding="utf-8"?>
<ds:datastoreItem xmlns:ds="http://schemas.openxmlformats.org/officeDocument/2006/customXml" ds:itemID="{E5E75ACC-FEB6-46F9-B7B2-2E770ECA18F3}">
  <ds:schemaRefs/>
</ds:datastoreItem>
</file>

<file path=customXml/itemProps17.xml><?xml version="1.0" encoding="utf-8"?>
<ds:datastoreItem xmlns:ds="http://schemas.openxmlformats.org/officeDocument/2006/customXml" ds:itemID="{D5E8D850-B018-4766-B13D-22684CB4F7D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2026-05-05T17:18:49Z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